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xr:revisionPtr revIDLastSave="0" documentId="8_{C256073F-412C-432D-8F12-5CB75E4D8283}" xr6:coauthVersionLast="47" xr6:coauthVersionMax="47" xr10:uidLastSave="{00000000-0000-0000-0000-000000000000}"/>
  <bookViews>
    <workbookView xWindow="735" yWindow="735" windowWidth="16200" windowHeight="9983" xr2:uid="{2242ED6A-7288-412A-B60E-21F4AD5EA58A}"/>
  </bookViews>
  <sheets>
    <sheet name="交流意见" sheetId="1" r:id="rId1"/>
  </sheets>
  <definedNames>
    <definedName name="_xlnm.Print_Area" localSheetId="0">交流意见!$A$1:$O$27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" i="1" l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</calcChain>
</file>

<file path=xl/sharedStrings.xml><?xml version="1.0" encoding="utf-8"?>
<sst xmlns="http://schemas.openxmlformats.org/spreadsheetml/2006/main" count="181" uniqueCount="99">
  <si>
    <t>导出批次 RP-V02-20261009-140005  同批次结果快照</t>
  </si>
  <si>
    <t>租金市场法专业试用版交流意见表</t>
  </si>
  <si>
    <t>所有资产及金额均为模拟。请逐项填写确认意见；修改完整版后须重新同步导出。</t>
  </si>
  <si>
    <t>序号</t>
  </si>
  <si>
    <t>区域</t>
  </si>
  <si>
    <t>管理单元</t>
  </si>
  <si>
    <t>资产编码</t>
  </si>
  <si>
    <t>资产名称</t>
  </si>
  <si>
    <t>精确地址</t>
  </si>
  <si>
    <t>实际用途</t>
  </si>
  <si>
    <t>单价单位</t>
  </si>
  <si>
    <t>计租数量</t>
  </si>
  <si>
    <t>参考单价</t>
  </si>
  <si>
    <t>本次单价</t>
  </si>
  <si>
    <t>本年年租金元</t>
  </si>
  <si>
    <t>差异率</t>
  </si>
  <si>
    <t>范围说明</t>
  </si>
  <si>
    <t>确认意见</t>
  </si>
  <si>
    <t>演示东区</t>
  </si>
  <si>
    <t>管理单元甲</t>
  </si>
  <si>
    <t>RP-001</t>
  </si>
  <si>
    <t>沿街商铺一</t>
  </si>
  <si>
    <t>模拟商业楼A</t>
  </si>
  <si>
    <t>商业</t>
  </si>
  <si>
    <t>元/㎡/月</t>
  </si>
  <si>
    <t>纳入</t>
  </si>
  <si>
    <t>RP-002</t>
  </si>
  <si>
    <t>沿街商铺二</t>
  </si>
  <si>
    <t>RP-003</t>
  </si>
  <si>
    <t>二层商铺</t>
  </si>
  <si>
    <t>RP-004</t>
  </si>
  <si>
    <t>内部通道商铺</t>
  </si>
  <si>
    <t>模拟商业楼B</t>
  </si>
  <si>
    <t>演示中区</t>
  </si>
  <si>
    <t>管理单元乙</t>
  </si>
  <si>
    <t>RP-005</t>
  </si>
  <si>
    <t>办公用房一</t>
  </si>
  <si>
    <t>模拟办公楼C</t>
  </si>
  <si>
    <t>办公</t>
  </si>
  <si>
    <t>RP-006</t>
  </si>
  <si>
    <t>办公用房二</t>
  </si>
  <si>
    <t>演示西区</t>
  </si>
  <si>
    <t>管理单元丙</t>
  </si>
  <si>
    <t>RP-007</t>
  </si>
  <si>
    <t>仓储库房</t>
  </si>
  <si>
    <t>模拟仓储楼D</t>
  </si>
  <si>
    <t>仓储</t>
  </si>
  <si>
    <t>RP-008</t>
  </si>
  <si>
    <t>工业厂房</t>
  </si>
  <si>
    <t>模拟工业园E</t>
  </si>
  <si>
    <t>厂房</t>
  </si>
  <si>
    <t>RP-009</t>
  </si>
  <si>
    <t>露天场地</t>
  </si>
  <si>
    <t>模拟场地F</t>
  </si>
  <si>
    <t>场地</t>
  </si>
  <si>
    <t>RP-010</t>
  </si>
  <si>
    <t>地面停车位组</t>
  </si>
  <si>
    <t>模拟停车区G</t>
  </si>
  <si>
    <t>车位</t>
  </si>
  <si>
    <t>元/个/月</t>
  </si>
  <si>
    <t>RP-011</t>
  </si>
  <si>
    <t>按间计租宿舍</t>
  </si>
  <si>
    <t>模拟宿舍楼H</t>
  </si>
  <si>
    <t>住宅</t>
  </si>
  <si>
    <t>元/间/月</t>
  </si>
  <si>
    <t>RP-012</t>
  </si>
  <si>
    <t>通信基站点位</t>
  </si>
  <si>
    <t>模拟屋顶I</t>
  </si>
  <si>
    <t>通信基站</t>
  </si>
  <si>
    <t>元/处/月</t>
  </si>
  <si>
    <t>RP-013</t>
  </si>
  <si>
    <t>小型附属库房</t>
  </si>
  <si>
    <t>模拟附属楼J</t>
  </si>
  <si>
    <t>RP-014</t>
  </si>
  <si>
    <t>屋顶使用点位</t>
  </si>
  <si>
    <t>模拟屋顶K</t>
  </si>
  <si>
    <t>RP-015</t>
  </si>
  <si>
    <t>活动场馆</t>
  </si>
  <si>
    <t>模拟场馆L</t>
  </si>
  <si>
    <t>场馆</t>
  </si>
  <si>
    <t>元/场·天</t>
  </si>
  <si>
    <t>RP-016</t>
  </si>
  <si>
    <t>广告设置点位</t>
  </si>
  <si>
    <t>模拟广告点位M</t>
  </si>
  <si>
    <t>广告位</t>
  </si>
  <si>
    <t>RP-017</t>
  </si>
  <si>
    <t>起重设备甲</t>
  </si>
  <si>
    <t>设备</t>
  </si>
  <si>
    <t>元/台/月</t>
  </si>
  <si>
    <t>RP-018</t>
  </si>
  <si>
    <t>加工设备乙</t>
  </si>
  <si>
    <t>RP-019</t>
  </si>
  <si>
    <t>库房重复记录</t>
  </si>
  <si>
    <t/>
  </si>
  <si>
    <t>排除</t>
  </si>
  <si>
    <t>RP-020</t>
  </si>
  <si>
    <t>范围外房屋</t>
  </si>
  <si>
    <t>模拟范围外楼N</t>
  </si>
  <si>
    <t>范围排除的0表示本次不计租，不表示资产市场价值为零。参考价仅作逐项比较，不代替本次测算。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</si>
</sst>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b/>
      <sz val="16"/>
      <color rgb="FFFFFFFF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sz val="10"/>
      <color rgb="FF1D4ED7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D9F1"/>
        <bgColor indexed="64"/>
      </patternFill>
    </fill>
    <fill>
      <patternFill patternType="solid">
        <fgColor rgb="FFFFF8E6"/>
        <bgColor indexed="64"/>
      </patternFill>
    </fill>
  </fills>
  <borders count="2">
    <border>
      <left/>
      <right/>
      <top/>
      <bottom/>
      <diagonal/>
    </border>
    <border>
      <left style="thin">
        <color rgb="FFD9E7E7"/>
      </left>
      <right style="thin">
        <color rgb="FFD9E7E7"/>
      </right>
      <top style="thin">
        <color rgb="FFD9E7E7"/>
      </top>
      <bottom style="thin">
        <color rgb="FFD9E7E7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quotePrefix="1" applyFont="1" applyFill="1" applyBorder="1" applyAlignment="1">
      <alignment vertical="center" wrapText="1"/>
    </xf>
    <xf numFmtId="4" fontId="2" fillId="0" borderId="1" xfId="0" applyNumberFormat="1" applyFont="1" applyFill="1" applyBorder="1" applyAlignment="1">
      <alignment vertical="center" wrapText="1"/>
    </xf>
    <xf numFmtId="4" fontId="2" fillId="0" borderId="1" xfId="0" quotePrefix="1" applyNumberFormat="1" applyFont="1" applyFill="1" applyBorder="1" applyAlignment="1">
      <alignment vertical="center" wrapText="1"/>
    </xf>
    <xf numFmtId="176" fontId="2" fillId="0" borderId="1" xfId="0" applyNumberFormat="1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81C9-0D81-4E2B-88B6-A339C44C2298}">
  <sheetPr>
    <pageSetUpPr fitToPage="1"/>
  </sheetPr>
  <dimension ref="A1:O28"/>
  <sheetViews>
    <sheetView showGridLines="0" tabSelected="1" zoomScale="80" zoomScaleNormal="80" workbookViewId="0">
      <pane ySplit="5" topLeftCell="A6" activePane="bottomLeft" state="frozen"/>
      <selection pane="bottomLeft"/>
    </sheetView>
  </sheetViews>
  <sheetFormatPr defaultRowHeight="13.9" x14ac:dyDescent="0.4"/>
  <cols>
    <col min="1" max="1" width="8.59765625" customWidth="1"/>
    <col min="2" max="2" width="15.59765625" customWidth="1"/>
    <col min="3" max="3" width="18.59765625" customWidth="1"/>
    <col min="4" max="4" width="16.59765625" customWidth="1"/>
    <col min="5" max="5" width="23.59765625" customWidth="1"/>
    <col min="6" max="6" width="22.59765625" customWidth="1"/>
    <col min="7" max="7" width="17.59765625" customWidth="1"/>
    <col min="8" max="8" width="18.59765625" customWidth="1"/>
    <col min="9" max="9" width="14.59765625" customWidth="1"/>
    <col min="10" max="10" width="17.59765625" customWidth="1"/>
    <col min="11" max="11" width="18.59765625" customWidth="1"/>
    <col min="12" max="12" width="20.59765625" customWidth="1"/>
    <col min="13" max="13" width="17.59765625" customWidth="1"/>
    <col min="14" max="14" width="14.59765625" customWidth="1"/>
    <col min="15" max="15" width="44.59765625" customWidth="1"/>
  </cols>
  <sheetData>
    <row r="1" spans="1:15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4.049999999999997" customHeight="1" x14ac:dyDescent="0.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x14ac:dyDescent="0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44" customHeight="1" x14ac:dyDescent="0.4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spans="1:15" ht="46.05" customHeight="1" x14ac:dyDescent="0.4">
      <c r="A6" s="4">
        <v>1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6">
        <v>60</v>
      </c>
      <c r="J6" s="6">
        <v>48</v>
      </c>
      <c r="K6" s="6">
        <v>54.7</v>
      </c>
      <c r="L6" s="6">
        <v>39384</v>
      </c>
      <c r="M6" s="8">
        <f>IF(OR(COUNT(J6:K6)&lt;&gt;2,J6&lt;=0,N6&lt;&gt;"纳入"),"",K6/J6-1)</f>
        <v>0.13958333333333339</v>
      </c>
      <c r="N6" s="5" t="s">
        <v>25</v>
      </c>
      <c r="O6" s="9"/>
    </row>
    <row r="7" spans="1:15" ht="46.05" customHeight="1" x14ac:dyDescent="0.4">
      <c r="A7" s="4">
        <v>2</v>
      </c>
      <c r="B7" s="5" t="s">
        <v>18</v>
      </c>
      <c r="C7" s="5" t="s">
        <v>19</v>
      </c>
      <c r="D7" s="5" t="s">
        <v>26</v>
      </c>
      <c r="E7" s="5" t="s">
        <v>27</v>
      </c>
      <c r="F7" s="5" t="s">
        <v>22</v>
      </c>
      <c r="G7" s="5" t="s">
        <v>23</v>
      </c>
      <c r="H7" s="5" t="s">
        <v>24</v>
      </c>
      <c r="I7" s="6">
        <v>110</v>
      </c>
      <c r="J7" s="6">
        <v>47</v>
      </c>
      <c r="K7" s="6">
        <v>52.2</v>
      </c>
      <c r="L7" s="6">
        <v>68904</v>
      </c>
      <c r="M7" s="8">
        <f>IF(OR(COUNT(J7:K7)&lt;&gt;2,J7&lt;=0,N7&lt;&gt;"纳入"),"",K7/J7-1)</f>
        <v>0.11063829787234059</v>
      </c>
      <c r="N7" s="5" t="s">
        <v>25</v>
      </c>
      <c r="O7" s="9"/>
    </row>
    <row r="8" spans="1:15" ht="46.05" customHeight="1" x14ac:dyDescent="0.4">
      <c r="A8" s="4">
        <v>3</v>
      </c>
      <c r="B8" s="5" t="s">
        <v>18</v>
      </c>
      <c r="C8" s="5" t="s">
        <v>19</v>
      </c>
      <c r="D8" s="5" t="s">
        <v>28</v>
      </c>
      <c r="E8" s="5" t="s">
        <v>29</v>
      </c>
      <c r="F8" s="5" t="s">
        <v>22</v>
      </c>
      <c r="G8" s="5" t="s">
        <v>23</v>
      </c>
      <c r="H8" s="5" t="s">
        <v>24</v>
      </c>
      <c r="I8" s="6">
        <v>95</v>
      </c>
      <c r="J8" s="6">
        <v>42</v>
      </c>
      <c r="K8" s="6">
        <v>44.1</v>
      </c>
      <c r="L8" s="6">
        <v>50274</v>
      </c>
      <c r="M8" s="8">
        <f>IF(OR(COUNT(J8:K8)&lt;&gt;2,J8&lt;=0,N8&lt;&gt;"纳入"),"",K8/J8-1)</f>
        <v>5.0000000000000044E-2</v>
      </c>
      <c r="N8" s="5" t="s">
        <v>25</v>
      </c>
      <c r="O8" s="9"/>
    </row>
    <row r="9" spans="1:15" ht="46.05" customHeight="1" x14ac:dyDescent="0.4">
      <c r="A9" s="4">
        <v>4</v>
      </c>
      <c r="B9" s="5" t="s">
        <v>18</v>
      </c>
      <c r="C9" s="5" t="s">
        <v>19</v>
      </c>
      <c r="D9" s="5" t="s">
        <v>30</v>
      </c>
      <c r="E9" s="5" t="s">
        <v>31</v>
      </c>
      <c r="F9" s="5" t="s">
        <v>32</v>
      </c>
      <c r="G9" s="5" t="s">
        <v>23</v>
      </c>
      <c r="H9" s="5" t="s">
        <v>24</v>
      </c>
      <c r="I9" s="6">
        <v>38</v>
      </c>
      <c r="J9" s="6">
        <v>50</v>
      </c>
      <c r="K9" s="6">
        <v>61.9</v>
      </c>
      <c r="L9" s="6">
        <v>28226.400000000001</v>
      </c>
      <c r="M9" s="8">
        <f>IF(OR(COUNT(J9:K9)&lt;&gt;2,J9&lt;=0,N9&lt;&gt;"纳入"),"",K9/J9-1)</f>
        <v>0.23799999999999999</v>
      </c>
      <c r="N9" s="5" t="s">
        <v>25</v>
      </c>
      <c r="O9" s="9"/>
    </row>
    <row r="10" spans="1:15" ht="46.05" customHeight="1" x14ac:dyDescent="0.4">
      <c r="A10" s="4">
        <v>5</v>
      </c>
      <c r="B10" s="5" t="s">
        <v>33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38</v>
      </c>
      <c r="H10" s="5" t="s">
        <v>24</v>
      </c>
      <c r="I10" s="6">
        <v>140</v>
      </c>
      <c r="J10" s="6">
        <v>14</v>
      </c>
      <c r="K10" s="6">
        <v>26.5</v>
      </c>
      <c r="L10" s="6">
        <v>44520</v>
      </c>
      <c r="M10" s="8">
        <f>IF(OR(COUNT(J10:K10)&lt;&gt;2,J10&lt;=0,N10&lt;&gt;"纳入"),"",K10/J10-1)</f>
        <v>0.89285714285714279</v>
      </c>
      <c r="N10" s="5" t="s">
        <v>25</v>
      </c>
      <c r="O10" s="9"/>
    </row>
    <row r="11" spans="1:15" ht="46.05" customHeight="1" x14ac:dyDescent="0.4">
      <c r="A11" s="4">
        <v>6</v>
      </c>
      <c r="B11" s="5" t="s">
        <v>33</v>
      </c>
      <c r="C11" s="5" t="s">
        <v>34</v>
      </c>
      <c r="D11" s="5" t="s">
        <v>39</v>
      </c>
      <c r="E11" s="5" t="s">
        <v>40</v>
      </c>
      <c r="F11" s="5" t="s">
        <v>37</v>
      </c>
      <c r="G11" s="5" t="s">
        <v>38</v>
      </c>
      <c r="H11" s="5" t="s">
        <v>24</v>
      </c>
      <c r="I11" s="6">
        <v>180</v>
      </c>
      <c r="J11" s="6">
        <v>32</v>
      </c>
      <c r="K11" s="6">
        <v>26.1</v>
      </c>
      <c r="L11" s="6">
        <v>56376</v>
      </c>
      <c r="M11" s="8">
        <f>IF(OR(COUNT(J11:K11)&lt;&gt;2,J11&lt;=0,N11&lt;&gt;"纳入"),"",K11/J11-1)</f>
        <v>-0.18437499999999996</v>
      </c>
      <c r="N11" s="5" t="s">
        <v>25</v>
      </c>
      <c r="O11" s="9"/>
    </row>
    <row r="12" spans="1:15" ht="46.05" customHeight="1" x14ac:dyDescent="0.4">
      <c r="A12" s="4">
        <v>7</v>
      </c>
      <c r="B12" s="5" t="s">
        <v>41</v>
      </c>
      <c r="C12" s="5" t="s">
        <v>42</v>
      </c>
      <c r="D12" s="5" t="s">
        <v>43</v>
      </c>
      <c r="E12" s="5" t="s">
        <v>44</v>
      </c>
      <c r="F12" s="5" t="s">
        <v>45</v>
      </c>
      <c r="G12" s="5" t="s">
        <v>46</v>
      </c>
      <c r="H12" s="5" t="s">
        <v>24</v>
      </c>
      <c r="I12" s="6">
        <v>500</v>
      </c>
      <c r="J12" s="6">
        <v>11</v>
      </c>
      <c r="K12" s="6">
        <v>12.1</v>
      </c>
      <c r="L12" s="6">
        <v>72600</v>
      </c>
      <c r="M12" s="8">
        <f>IF(OR(COUNT(J12:K12)&lt;&gt;2,J12&lt;=0,N12&lt;&gt;"纳入"),"",K12/J12-1)</f>
        <v>9.9999999999999867E-2</v>
      </c>
      <c r="N12" s="5" t="s">
        <v>25</v>
      </c>
      <c r="O12" s="9"/>
    </row>
    <row r="13" spans="1:15" ht="46.05" customHeight="1" x14ac:dyDescent="0.4">
      <c r="A13" s="4">
        <v>8</v>
      </c>
      <c r="B13" s="5" t="s">
        <v>41</v>
      </c>
      <c r="C13" s="5" t="s">
        <v>42</v>
      </c>
      <c r="D13" s="5" t="s">
        <v>47</v>
      </c>
      <c r="E13" s="5" t="s">
        <v>48</v>
      </c>
      <c r="F13" s="5" t="s">
        <v>49</v>
      </c>
      <c r="G13" s="5" t="s">
        <v>50</v>
      </c>
      <c r="H13" s="5" t="s">
        <v>24</v>
      </c>
      <c r="I13" s="6">
        <v>1200</v>
      </c>
      <c r="J13" s="6">
        <v>15</v>
      </c>
      <c r="K13" s="6">
        <v>16.600000000000001</v>
      </c>
      <c r="L13" s="6">
        <v>239040</v>
      </c>
      <c r="M13" s="8">
        <f>IF(OR(COUNT(J13:K13)&lt;&gt;2,J13&lt;=0,N13&lt;&gt;"纳入"),"",K13/J13-1)</f>
        <v>0.10666666666666669</v>
      </c>
      <c r="N13" s="5" t="s">
        <v>25</v>
      </c>
      <c r="O13" s="9"/>
    </row>
    <row r="14" spans="1:15" ht="46.05" customHeight="1" x14ac:dyDescent="0.4">
      <c r="A14" s="4">
        <v>9</v>
      </c>
      <c r="B14" s="5" t="s">
        <v>41</v>
      </c>
      <c r="C14" s="5" t="s">
        <v>42</v>
      </c>
      <c r="D14" s="5" t="s">
        <v>51</v>
      </c>
      <c r="E14" s="5" t="s">
        <v>52</v>
      </c>
      <c r="F14" s="5" t="s">
        <v>53</v>
      </c>
      <c r="G14" s="5" t="s">
        <v>54</v>
      </c>
      <c r="H14" s="5" t="s">
        <v>24</v>
      </c>
      <c r="I14" s="6">
        <v>900</v>
      </c>
      <c r="J14" s="6">
        <v>3</v>
      </c>
      <c r="K14" s="6">
        <v>3.4</v>
      </c>
      <c r="L14" s="6">
        <v>36720</v>
      </c>
      <c r="M14" s="8">
        <f>IF(OR(COUNT(J14:K14)&lt;&gt;2,J14&lt;=0,N14&lt;&gt;"纳入"),"",K14/J14-1)</f>
        <v>0.1333333333333333</v>
      </c>
      <c r="N14" s="5" t="s">
        <v>25</v>
      </c>
      <c r="O14" s="9"/>
    </row>
    <row r="15" spans="1:15" ht="46.05" customHeight="1" x14ac:dyDescent="0.4">
      <c r="A15" s="4">
        <v>10</v>
      </c>
      <c r="B15" s="5" t="s">
        <v>33</v>
      </c>
      <c r="C15" s="5" t="s">
        <v>34</v>
      </c>
      <c r="D15" s="5" t="s">
        <v>55</v>
      </c>
      <c r="E15" s="5" t="s">
        <v>56</v>
      </c>
      <c r="F15" s="5" t="s">
        <v>57</v>
      </c>
      <c r="G15" s="5" t="s">
        <v>58</v>
      </c>
      <c r="H15" s="5" t="s">
        <v>59</v>
      </c>
      <c r="I15" s="6">
        <v>10</v>
      </c>
      <c r="J15" s="6">
        <v>175</v>
      </c>
      <c r="K15" s="6">
        <v>185</v>
      </c>
      <c r="L15" s="6">
        <v>22200</v>
      </c>
      <c r="M15" s="8">
        <f>IF(OR(COUNT(J15:K15)&lt;&gt;2,J15&lt;=0,N15&lt;&gt;"纳入"),"",K15/J15-1)</f>
        <v>5.7142857142857162E-2</v>
      </c>
      <c r="N15" s="5" t="s">
        <v>25</v>
      </c>
      <c r="O15" s="9"/>
    </row>
    <row r="16" spans="1:15" ht="46.05" customHeight="1" x14ac:dyDescent="0.4">
      <c r="A16" s="4">
        <v>11</v>
      </c>
      <c r="B16" s="5" t="s">
        <v>33</v>
      </c>
      <c r="C16" s="5" t="s">
        <v>34</v>
      </c>
      <c r="D16" s="5" t="s">
        <v>60</v>
      </c>
      <c r="E16" s="5" t="s">
        <v>61</v>
      </c>
      <c r="F16" s="5" t="s">
        <v>62</v>
      </c>
      <c r="G16" s="5" t="s">
        <v>63</v>
      </c>
      <c r="H16" s="5" t="s">
        <v>64</v>
      </c>
      <c r="I16" s="6">
        <v>1</v>
      </c>
      <c r="J16" s="6">
        <v>620</v>
      </c>
      <c r="K16" s="6">
        <v>664.4</v>
      </c>
      <c r="L16" s="6">
        <v>7972.8</v>
      </c>
      <c r="M16" s="8">
        <f>IF(OR(COUNT(J16:K16)&lt;&gt;2,J16&lt;=0,N16&lt;&gt;"纳入"),"",K16/J16-1)</f>
        <v>7.1612903225806379E-2</v>
      </c>
      <c r="N16" s="5" t="s">
        <v>25</v>
      </c>
      <c r="O16" s="9"/>
    </row>
    <row r="17" spans="1:15" ht="46.05" customHeight="1" x14ac:dyDescent="0.4">
      <c r="A17" s="4">
        <v>12</v>
      </c>
      <c r="B17" s="5" t="s">
        <v>33</v>
      </c>
      <c r="C17" s="5" t="s">
        <v>34</v>
      </c>
      <c r="D17" s="5" t="s">
        <v>65</v>
      </c>
      <c r="E17" s="5" t="s">
        <v>66</v>
      </c>
      <c r="F17" s="5" t="s">
        <v>67</v>
      </c>
      <c r="G17" s="5" t="s">
        <v>68</v>
      </c>
      <c r="H17" s="5" t="s">
        <v>69</v>
      </c>
      <c r="I17" s="6">
        <v>1</v>
      </c>
      <c r="J17" s="6">
        <v>680</v>
      </c>
      <c r="K17" s="6">
        <v>719</v>
      </c>
      <c r="L17" s="6">
        <v>8628</v>
      </c>
      <c r="M17" s="8">
        <f>IF(OR(COUNT(J17:K17)&lt;&gt;2,J17&lt;=0,N17&lt;&gt;"纳入"),"",K17/J17-1)</f>
        <v>5.7352941176470607E-2</v>
      </c>
      <c r="N17" s="5" t="s">
        <v>25</v>
      </c>
      <c r="O17" s="9"/>
    </row>
    <row r="18" spans="1:15" ht="46.05" customHeight="1" x14ac:dyDescent="0.4">
      <c r="A18" s="4">
        <v>13</v>
      </c>
      <c r="B18" s="5" t="s">
        <v>41</v>
      </c>
      <c r="C18" s="5" t="s">
        <v>42</v>
      </c>
      <c r="D18" s="5" t="s">
        <v>70</v>
      </c>
      <c r="E18" s="5" t="s">
        <v>71</v>
      </c>
      <c r="F18" s="5" t="s">
        <v>72</v>
      </c>
      <c r="G18" s="5" t="s">
        <v>46</v>
      </c>
      <c r="H18" s="5" t="s">
        <v>24</v>
      </c>
      <c r="I18" s="6">
        <v>25</v>
      </c>
      <c r="J18" s="6">
        <v>4</v>
      </c>
      <c r="K18" s="6">
        <v>4.8</v>
      </c>
      <c r="L18" s="6">
        <v>1440</v>
      </c>
      <c r="M18" s="8">
        <f>IF(OR(COUNT(J18:K18)&lt;&gt;2,J18&lt;=0,N18&lt;&gt;"纳入"),"",K18/J18-1)</f>
        <v>0.19999999999999996</v>
      </c>
      <c r="N18" s="5" t="s">
        <v>25</v>
      </c>
      <c r="O18" s="9"/>
    </row>
    <row r="19" spans="1:15" ht="46.05" customHeight="1" x14ac:dyDescent="0.4">
      <c r="A19" s="4">
        <v>14</v>
      </c>
      <c r="B19" s="5" t="s">
        <v>33</v>
      </c>
      <c r="C19" s="5" t="s">
        <v>34</v>
      </c>
      <c r="D19" s="5" t="s">
        <v>73</v>
      </c>
      <c r="E19" s="5" t="s">
        <v>74</v>
      </c>
      <c r="F19" s="5" t="s">
        <v>75</v>
      </c>
      <c r="G19" s="5" t="s">
        <v>54</v>
      </c>
      <c r="H19" s="5" t="s">
        <v>69</v>
      </c>
      <c r="I19" s="6">
        <v>1</v>
      </c>
      <c r="J19" s="6">
        <v>650</v>
      </c>
      <c r="K19" s="6">
        <v>700</v>
      </c>
      <c r="L19" s="6">
        <v>8400</v>
      </c>
      <c r="M19" s="8">
        <f>IF(OR(COUNT(J19:K19)&lt;&gt;2,J19&lt;=0,N19&lt;&gt;"纳入"),"",K19/J19-1)</f>
        <v>7.6923076923076872E-2</v>
      </c>
      <c r="N19" s="5" t="s">
        <v>25</v>
      </c>
      <c r="O19" s="9"/>
    </row>
    <row r="20" spans="1:15" ht="46.05" customHeight="1" x14ac:dyDescent="0.4">
      <c r="A20" s="4">
        <v>15</v>
      </c>
      <c r="B20" s="5" t="s">
        <v>18</v>
      </c>
      <c r="C20" s="5" t="s">
        <v>19</v>
      </c>
      <c r="D20" s="5" t="s">
        <v>76</v>
      </c>
      <c r="E20" s="5" t="s">
        <v>77</v>
      </c>
      <c r="F20" s="5" t="s">
        <v>78</v>
      </c>
      <c r="G20" s="5" t="s">
        <v>79</v>
      </c>
      <c r="H20" s="5" t="s">
        <v>80</v>
      </c>
      <c r="I20" s="6">
        <v>1</v>
      </c>
      <c r="J20" s="6">
        <v>1800</v>
      </c>
      <c r="K20" s="6">
        <v>1950</v>
      </c>
      <c r="L20" s="6">
        <v>70200</v>
      </c>
      <c r="M20" s="8">
        <f>IF(OR(COUNT(J20:K20)&lt;&gt;2,J20&lt;=0,N20&lt;&gt;"纳入"),"",K20/J20-1)</f>
        <v>8.3333333333333259E-2</v>
      </c>
      <c r="N20" s="5" t="s">
        <v>25</v>
      </c>
      <c r="O20" s="9"/>
    </row>
    <row r="21" spans="1:15" ht="46.05" customHeight="1" x14ac:dyDescent="0.4">
      <c r="A21" s="4">
        <v>16</v>
      </c>
      <c r="B21" s="5" t="s">
        <v>18</v>
      </c>
      <c r="C21" s="5" t="s">
        <v>19</v>
      </c>
      <c r="D21" s="5" t="s">
        <v>81</v>
      </c>
      <c r="E21" s="5" t="s">
        <v>82</v>
      </c>
      <c r="F21" s="5" t="s">
        <v>83</v>
      </c>
      <c r="G21" s="5" t="s">
        <v>84</v>
      </c>
      <c r="H21" s="5" t="s">
        <v>69</v>
      </c>
      <c r="I21" s="6">
        <v>1</v>
      </c>
      <c r="J21" s="6">
        <v>380</v>
      </c>
      <c r="K21" s="6">
        <v>400</v>
      </c>
      <c r="L21" s="6">
        <v>4800</v>
      </c>
      <c r="M21" s="8">
        <f>IF(OR(COUNT(J21:K21)&lt;&gt;2,J21&lt;=0,N21&lt;&gt;"纳入"),"",K21/J21-1)</f>
        <v>5.2631578947368363E-2</v>
      </c>
      <c r="N21" s="5" t="s">
        <v>25</v>
      </c>
      <c r="O21" s="9"/>
    </row>
    <row r="22" spans="1:15" ht="46.05" customHeight="1" x14ac:dyDescent="0.4">
      <c r="A22" s="4">
        <v>17</v>
      </c>
      <c r="B22" s="5" t="s">
        <v>41</v>
      </c>
      <c r="C22" s="5" t="s">
        <v>42</v>
      </c>
      <c r="D22" s="5" t="s">
        <v>85</v>
      </c>
      <c r="E22" s="5" t="s">
        <v>86</v>
      </c>
      <c r="F22" s="5" t="s">
        <v>49</v>
      </c>
      <c r="G22" s="5" t="s">
        <v>87</v>
      </c>
      <c r="H22" s="5" t="s">
        <v>88</v>
      </c>
      <c r="I22" s="6">
        <v>1</v>
      </c>
      <c r="J22" s="6">
        <v>266.6666666667</v>
      </c>
      <c r="K22" s="6">
        <v>300</v>
      </c>
      <c r="L22" s="6">
        <v>3600</v>
      </c>
      <c r="M22" s="8">
        <f>IF(OR(COUNT(J22:K22)&lt;&gt;2,J22&lt;=0,N22&lt;&gt;"纳入"),"",K22/J22-1)</f>
        <v>0.12499999999985945</v>
      </c>
      <c r="N22" s="5" t="s">
        <v>25</v>
      </c>
      <c r="O22" s="9"/>
    </row>
    <row r="23" spans="1:15" ht="46.05" customHeight="1" x14ac:dyDescent="0.4">
      <c r="A23" s="4">
        <v>18</v>
      </c>
      <c r="B23" s="5" t="s">
        <v>41</v>
      </c>
      <c r="C23" s="5" t="s">
        <v>42</v>
      </c>
      <c r="D23" s="5" t="s">
        <v>89</v>
      </c>
      <c r="E23" s="5" t="s">
        <v>90</v>
      </c>
      <c r="F23" s="5" t="s">
        <v>49</v>
      </c>
      <c r="G23" s="5" t="s">
        <v>87</v>
      </c>
      <c r="H23" s="5" t="s">
        <v>88</v>
      </c>
      <c r="I23" s="6">
        <v>1</v>
      </c>
      <c r="J23" s="6">
        <v>133.3333333333</v>
      </c>
      <c r="K23" s="6">
        <v>150</v>
      </c>
      <c r="L23" s="6">
        <v>1800</v>
      </c>
      <c r="M23" s="8">
        <f>IF(OR(COUNT(J23:K23)&lt;&gt;2,J23&lt;=0,N23&lt;&gt;"纳入"),"",K23/J23-1)</f>
        <v>0.12500000000028111</v>
      </c>
      <c r="N23" s="5" t="s">
        <v>25</v>
      </c>
      <c r="O23" s="9"/>
    </row>
    <row r="24" spans="1:15" ht="46.05" customHeight="1" x14ac:dyDescent="0.4">
      <c r="A24" s="4">
        <v>19</v>
      </c>
      <c r="B24" s="5" t="s">
        <v>41</v>
      </c>
      <c r="C24" s="5" t="s">
        <v>42</v>
      </c>
      <c r="D24" s="5" t="s">
        <v>91</v>
      </c>
      <c r="E24" s="5" t="s">
        <v>92</v>
      </c>
      <c r="F24" s="5" t="s">
        <v>45</v>
      </c>
      <c r="G24" s="5" t="s">
        <v>46</v>
      </c>
      <c r="H24" s="5" t="s">
        <v>24</v>
      </c>
      <c r="I24" s="6">
        <v>500</v>
      </c>
      <c r="J24" s="7" t="s">
        <v>93</v>
      </c>
      <c r="K24" s="6">
        <v>0</v>
      </c>
      <c r="L24" s="6">
        <v>0</v>
      </c>
      <c r="M24" s="8" t="str">
        <f>IF(OR(COUNT(J24:K24)&lt;&gt;2,J24&lt;=0,N24&lt;&gt;"纳入"),"",K24/J24-1)</f>
        <v/>
      </c>
      <c r="N24" s="5" t="s">
        <v>94</v>
      </c>
      <c r="O24" s="9"/>
    </row>
    <row r="25" spans="1:15" ht="46.05" customHeight="1" x14ac:dyDescent="0.4">
      <c r="A25" s="4">
        <v>20</v>
      </c>
      <c r="B25" s="5" t="s">
        <v>18</v>
      </c>
      <c r="C25" s="5" t="s">
        <v>19</v>
      </c>
      <c r="D25" s="5" t="s">
        <v>95</v>
      </c>
      <c r="E25" s="5" t="s">
        <v>96</v>
      </c>
      <c r="F25" s="5" t="s">
        <v>97</v>
      </c>
      <c r="G25" s="5" t="s">
        <v>38</v>
      </c>
      <c r="H25" s="5" t="s">
        <v>24</v>
      </c>
      <c r="I25" s="6">
        <v>80</v>
      </c>
      <c r="J25" s="7" t="s">
        <v>93</v>
      </c>
      <c r="K25" s="6">
        <v>0</v>
      </c>
      <c r="L25" s="6">
        <v>0</v>
      </c>
      <c r="M25" s="8" t="str">
        <f>IF(OR(COUNT(J25:K25)&lt;&gt;2,J25&lt;=0,N25&lt;&gt;"纳入"),"",K25/J25-1)</f>
        <v/>
      </c>
      <c r="N25" s="5" t="s">
        <v>94</v>
      </c>
      <c r="O25" s="9"/>
    </row>
    <row r="26" spans="1:15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x14ac:dyDescent="0.4">
      <c r="A27" s="1" t="s">
        <v>98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spans="1:15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</sheetData>
  <phoneticPr fontId="1" type="noConversion"/>
  <pageMargins left="0.7" right="0.7" top="0.75" bottom="0.75" header="0.3" footer="0.3"/>
  <pageSetup paperSize="8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交流意见</vt:lpstr>
      <vt:lpstr>交流意见!Print_Area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2026-10-09T06:00:25Z</dcterms:created>
  <dcterms:modified xsi:type="dcterms:W3CDTF">2026-10-09T06:00:28Z</dcterms:modified>
</cp:coreProperties>
</file>