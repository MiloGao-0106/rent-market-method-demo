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3_ncr:1_{2E0ECAB0-862F-496C-8A01-6FC09A748720}" xr6:coauthVersionLast="47" xr6:coauthVersionMax="47" xr10:uidLastSave="{00000000-0000-0000-0000-000000000000}"/>
  <bookViews>
    <workbookView xWindow="2573" yWindow="2573" windowWidth="16199" windowHeight="9982" xr2:uid="{00000000-000D-0000-FFFF-FFFF00000000}"/>
  </bookViews>
  <sheets>
    <sheet name="专业总览" sheetId="1" r:id="rId1"/>
    <sheet name="测算结果" sheetId="2" r:id="rId2"/>
    <sheet name="资产分类汇总" sheetId="3" r:id="rId3"/>
    <sheet name="两年金额对比" sheetId="4" r:id="rId4"/>
    <sheet name="识别与分组" sheetId="5" r:id="rId5"/>
    <sheet name="三案例选用" sheetId="6" r:id="rId6"/>
    <sheet name="三案例测算" sheetId="7" r:id="rId7"/>
    <sheet name="修正明细" sheetId="8" r:id="rId8"/>
    <sheet name="市场案例库" sheetId="9" r:id="rId9"/>
    <sheet name="资产清单" sheetId="10" r:id="rId10"/>
    <sheet name="计租与历史" sheetId="11" r:id="rId11"/>
    <sheet name="测算参数" sheetId="12" r:id="rId12"/>
    <sheet name="租赁资料核定" sheetId="13" r:id="rId13"/>
    <sheet name="特殊计租" sheetId="14" r:id="rId14"/>
    <sheet name="设备附表" sheetId="15" r:id="rId15"/>
    <sheet name="历史离散复核" sheetId="16" r:id="rId16"/>
    <sheet name="大幅变动复核" sheetId="17" r:id="rId17"/>
    <sheet name="内部复核参数" sheetId="18" r:id="rId18"/>
    <sheet name="资料索引" sheetId="19" r:id="rId19"/>
    <sheet name="异常练习" sheetId="20" r:id="rId20"/>
    <sheet name="工时与反馈" sheetId="21" r:id="rId21"/>
  </sheets>
  <definedNames>
    <definedName name="_xlnm.Print_Area" localSheetId="11">测算参数!$A$1:$D$45</definedName>
    <definedName name="_xlnm.Print_Area" localSheetId="1">测算结果!$A$1:$N$28</definedName>
    <definedName name="_xlnm.Print_Area" localSheetId="16">大幅变动复核!$A$1:$J$27</definedName>
    <definedName name="_xlnm.Print_Area" localSheetId="20">工时与反馈!$A$1:$F$28</definedName>
    <definedName name="_xlnm.Print_Area" localSheetId="10">计租与历史!$A$1:$H$28</definedName>
    <definedName name="_xlnm.Print_Area" localSheetId="15">历史离散复核!$A$1:$I$27</definedName>
    <definedName name="_xlnm.Print_Area" localSheetId="3">两年金额对比!$A$1:$H$30</definedName>
    <definedName name="_xlnm.Print_Area" localSheetId="17">内部复核参数!$A$1:$C$14</definedName>
    <definedName name="_xlnm.Print_Area" localSheetId="6">三案例测算!$A$1:$K$43</definedName>
    <definedName name="_xlnm.Print_Area" localSheetId="5">三案例选用!$A$1:$I$19</definedName>
    <definedName name="_xlnm.Print_Area" localSheetId="14">设备附表!$A$1:$I$9</definedName>
    <definedName name="_xlnm.Print_Area" localSheetId="4">识别与分组!$A$1:$J$27</definedName>
    <definedName name="_xlnm.Print_Area" localSheetId="8">市场案例库!$A$1:$R$37</definedName>
    <definedName name="_xlnm.Print_Area" localSheetId="13">特殊计租!$A$1:$K$10</definedName>
    <definedName name="_xlnm.Print_Area" localSheetId="7">修正明细!$A$1:$N$583</definedName>
    <definedName name="_xlnm.Print_Area" localSheetId="19">异常练习!$A$1:$J$24</definedName>
    <definedName name="_xlnm.Print_Area" localSheetId="0">专业总览!$A$1:$F$34</definedName>
    <definedName name="_xlnm.Print_Area" localSheetId="2">资产分类汇总!$A$1:$E$18</definedName>
    <definedName name="_xlnm.Print_Area" localSheetId="9">资产清单!$A$1:$O$27</definedName>
    <definedName name="_xlnm.Print_Area" localSheetId="18">资料索引!$A$1:$F$63</definedName>
    <definedName name="_xlnm.Print_Area" localSheetId="12">租赁资料核定!$A$1:$P$10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1" l="1"/>
  <c r="C15" i="21"/>
  <c r="B15" i="21"/>
  <c r="E13" i="21"/>
  <c r="D13" i="21"/>
  <c r="E12" i="21"/>
  <c r="D12" i="21"/>
  <c r="E11" i="21"/>
  <c r="D11" i="21"/>
  <c r="E10" i="21"/>
  <c r="D10" i="21"/>
  <c r="E9" i="21"/>
  <c r="D9" i="21"/>
  <c r="E8" i="21"/>
  <c r="D8" i="21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F7" i="15"/>
  <c r="E7" i="15"/>
  <c r="G7" i="15" s="1"/>
  <c r="F6" i="15"/>
  <c r="E6" i="15"/>
  <c r="G6" i="15" s="1"/>
  <c r="G7" i="14"/>
  <c r="J7" i="14" s="1"/>
  <c r="J6" i="14"/>
  <c r="G6" i="14"/>
  <c r="F7" i="13"/>
  <c r="M7" i="13" s="1"/>
  <c r="F6" i="13"/>
  <c r="M6" i="13" s="1"/>
  <c r="C41" i="12"/>
  <c r="C40" i="12"/>
  <c r="C39" i="12"/>
  <c r="C38" i="12"/>
  <c r="C37" i="12"/>
  <c r="C36" i="12"/>
  <c r="C35" i="12"/>
  <c r="C31" i="12"/>
  <c r="C30" i="12"/>
  <c r="C29" i="12"/>
  <c r="C28" i="12"/>
  <c r="C27" i="12"/>
  <c r="C26" i="12"/>
  <c r="C25" i="12"/>
  <c r="H581" i="8"/>
  <c r="F581" i="8"/>
  <c r="E581" i="8"/>
  <c r="C581" i="8"/>
  <c r="G581" i="8" s="1"/>
  <c r="H580" i="8"/>
  <c r="G580" i="8"/>
  <c r="F580" i="8"/>
  <c r="E580" i="8"/>
  <c r="C580" i="8"/>
  <c r="H579" i="8"/>
  <c r="G579" i="8"/>
  <c r="F579" i="8"/>
  <c r="E579" i="8"/>
  <c r="C579" i="8"/>
  <c r="H578" i="8"/>
  <c r="G578" i="8"/>
  <c r="F578" i="8"/>
  <c r="E578" i="8"/>
  <c r="C578" i="8"/>
  <c r="H577" i="8"/>
  <c r="F577" i="8"/>
  <c r="E577" i="8"/>
  <c r="C577" i="8"/>
  <c r="H576" i="8"/>
  <c r="J576" i="8" s="1"/>
  <c r="M576" i="8" s="1"/>
  <c r="F576" i="8"/>
  <c r="E576" i="8"/>
  <c r="C576" i="8"/>
  <c r="G576" i="8" s="1"/>
  <c r="H575" i="8"/>
  <c r="F575" i="8"/>
  <c r="E575" i="8"/>
  <c r="C575" i="8"/>
  <c r="H574" i="8"/>
  <c r="F574" i="8"/>
  <c r="E574" i="8"/>
  <c r="C574" i="8"/>
  <c r="H573" i="8"/>
  <c r="F573" i="8"/>
  <c r="E573" i="8"/>
  <c r="C573" i="8"/>
  <c r="G573" i="8" s="1"/>
  <c r="H572" i="8"/>
  <c r="F572" i="8"/>
  <c r="E572" i="8"/>
  <c r="C572" i="8"/>
  <c r="H571" i="8"/>
  <c r="G571" i="8"/>
  <c r="F571" i="8"/>
  <c r="E571" i="8"/>
  <c r="C571" i="8"/>
  <c r="I571" i="8" s="1"/>
  <c r="H570" i="8"/>
  <c r="G570" i="8"/>
  <c r="F570" i="8"/>
  <c r="E570" i="8"/>
  <c r="C570" i="8"/>
  <c r="I570" i="8" s="1"/>
  <c r="H569" i="8"/>
  <c r="F569" i="8"/>
  <c r="E569" i="8"/>
  <c r="C569" i="8"/>
  <c r="H568" i="8"/>
  <c r="F568" i="8"/>
  <c r="E568" i="8"/>
  <c r="C568" i="8"/>
  <c r="H567" i="8"/>
  <c r="F567" i="8"/>
  <c r="E567" i="8"/>
  <c r="C567" i="8"/>
  <c r="H566" i="8"/>
  <c r="F566" i="8"/>
  <c r="E566" i="8"/>
  <c r="C566" i="8"/>
  <c r="I566" i="8" s="1"/>
  <c r="H565" i="8"/>
  <c r="F565" i="8"/>
  <c r="E565" i="8"/>
  <c r="C565" i="8"/>
  <c r="H564" i="8"/>
  <c r="G564" i="8"/>
  <c r="F564" i="8"/>
  <c r="E564" i="8"/>
  <c r="C564" i="8"/>
  <c r="H563" i="8"/>
  <c r="G563" i="8"/>
  <c r="F563" i="8"/>
  <c r="E563" i="8"/>
  <c r="C563" i="8"/>
  <c r="H562" i="8"/>
  <c r="G562" i="8"/>
  <c r="F562" i="8"/>
  <c r="E562" i="8"/>
  <c r="C562" i="8"/>
  <c r="H561" i="8"/>
  <c r="F561" i="8"/>
  <c r="E561" i="8"/>
  <c r="C561" i="8"/>
  <c r="H560" i="8"/>
  <c r="F560" i="8"/>
  <c r="E560" i="8"/>
  <c r="C560" i="8"/>
  <c r="H559" i="8"/>
  <c r="F559" i="8"/>
  <c r="E559" i="8"/>
  <c r="C559" i="8"/>
  <c r="H558" i="8"/>
  <c r="F558" i="8"/>
  <c r="E558" i="8"/>
  <c r="C558" i="8"/>
  <c r="H557" i="8"/>
  <c r="F557" i="8"/>
  <c r="E557" i="8"/>
  <c r="C557" i="8"/>
  <c r="G557" i="8" s="1"/>
  <c r="H556" i="8"/>
  <c r="F556" i="8"/>
  <c r="E556" i="8"/>
  <c r="C556" i="8"/>
  <c r="H555" i="8"/>
  <c r="G555" i="8"/>
  <c r="F555" i="8"/>
  <c r="E555" i="8"/>
  <c r="C555" i="8"/>
  <c r="I555" i="8" s="1"/>
  <c r="H554" i="8"/>
  <c r="G554" i="8"/>
  <c r="F554" i="8"/>
  <c r="E554" i="8"/>
  <c r="C554" i="8"/>
  <c r="I554" i="8" s="1"/>
  <c r="H553" i="8"/>
  <c r="F553" i="8"/>
  <c r="E553" i="8"/>
  <c r="C553" i="8"/>
  <c r="H552" i="8"/>
  <c r="F552" i="8"/>
  <c r="E552" i="8"/>
  <c r="C552" i="8"/>
  <c r="H551" i="8"/>
  <c r="F551" i="8"/>
  <c r="E551" i="8"/>
  <c r="C551" i="8"/>
  <c r="G551" i="8" s="1"/>
  <c r="H550" i="8"/>
  <c r="F550" i="8"/>
  <c r="E550" i="8"/>
  <c r="C550" i="8"/>
  <c r="G550" i="8" s="1"/>
  <c r="H549" i="8"/>
  <c r="F549" i="8"/>
  <c r="E549" i="8"/>
  <c r="C549" i="8"/>
  <c r="G549" i="8" s="1"/>
  <c r="H548" i="8"/>
  <c r="G548" i="8"/>
  <c r="F548" i="8"/>
  <c r="E548" i="8"/>
  <c r="C548" i="8"/>
  <c r="H547" i="8"/>
  <c r="G547" i="8"/>
  <c r="F547" i="8"/>
  <c r="E547" i="8"/>
  <c r="C547" i="8"/>
  <c r="H546" i="8"/>
  <c r="G546" i="8"/>
  <c r="F546" i="8"/>
  <c r="E546" i="8"/>
  <c r="C546" i="8"/>
  <c r="H545" i="8"/>
  <c r="F545" i="8"/>
  <c r="E545" i="8"/>
  <c r="C545" i="8"/>
  <c r="G545" i="8" s="1"/>
  <c r="H544" i="8"/>
  <c r="F544" i="8"/>
  <c r="E544" i="8"/>
  <c r="C544" i="8"/>
  <c r="G544" i="8" s="1"/>
  <c r="H543" i="8"/>
  <c r="F543" i="8"/>
  <c r="E543" i="8"/>
  <c r="C543" i="8"/>
  <c r="G543" i="8" s="1"/>
  <c r="H542" i="8"/>
  <c r="F542" i="8"/>
  <c r="E542" i="8"/>
  <c r="C542" i="8"/>
  <c r="H541" i="8"/>
  <c r="F541" i="8"/>
  <c r="E541" i="8"/>
  <c r="C541" i="8"/>
  <c r="H540" i="8"/>
  <c r="F540" i="8"/>
  <c r="E540" i="8"/>
  <c r="C540" i="8"/>
  <c r="G540" i="8" s="1"/>
  <c r="H539" i="8"/>
  <c r="G539" i="8"/>
  <c r="F539" i="8"/>
  <c r="E539" i="8"/>
  <c r="C539" i="8"/>
  <c r="H538" i="8"/>
  <c r="G538" i="8"/>
  <c r="F538" i="8"/>
  <c r="E538" i="8"/>
  <c r="C538" i="8"/>
  <c r="I538" i="8" s="1"/>
  <c r="H537" i="8"/>
  <c r="F537" i="8"/>
  <c r="E537" i="8"/>
  <c r="C537" i="8"/>
  <c r="H536" i="8"/>
  <c r="F536" i="8"/>
  <c r="E536" i="8"/>
  <c r="C536" i="8"/>
  <c r="G536" i="8" s="1"/>
  <c r="H535" i="8"/>
  <c r="F535" i="8"/>
  <c r="E535" i="8"/>
  <c r="C535" i="8"/>
  <c r="H534" i="8"/>
  <c r="F534" i="8"/>
  <c r="E534" i="8"/>
  <c r="C534" i="8"/>
  <c r="G534" i="8" s="1"/>
  <c r="H533" i="8"/>
  <c r="F533" i="8"/>
  <c r="E533" i="8"/>
  <c r="C533" i="8"/>
  <c r="H532" i="8"/>
  <c r="F532" i="8"/>
  <c r="E532" i="8"/>
  <c r="C532" i="8"/>
  <c r="H531" i="8"/>
  <c r="F531" i="8"/>
  <c r="E531" i="8"/>
  <c r="C531" i="8"/>
  <c r="I531" i="8" s="1"/>
  <c r="H530" i="8"/>
  <c r="F530" i="8"/>
  <c r="E530" i="8"/>
  <c r="C530" i="8"/>
  <c r="H529" i="8"/>
  <c r="F529" i="8"/>
  <c r="E529" i="8"/>
  <c r="C529" i="8"/>
  <c r="G529" i="8" s="1"/>
  <c r="H528" i="8"/>
  <c r="F528" i="8"/>
  <c r="E528" i="8"/>
  <c r="C528" i="8"/>
  <c r="H527" i="8"/>
  <c r="F527" i="8"/>
  <c r="E527" i="8"/>
  <c r="C527" i="8"/>
  <c r="H526" i="8"/>
  <c r="F526" i="8"/>
  <c r="E526" i="8"/>
  <c r="C526" i="8"/>
  <c r="H525" i="8"/>
  <c r="F525" i="8"/>
  <c r="E525" i="8"/>
  <c r="C525" i="8"/>
  <c r="H524" i="8"/>
  <c r="F524" i="8"/>
  <c r="E524" i="8"/>
  <c r="C524" i="8"/>
  <c r="H523" i="8"/>
  <c r="G523" i="8"/>
  <c r="F523" i="8"/>
  <c r="E523" i="8"/>
  <c r="C523" i="8"/>
  <c r="I523" i="8" s="1"/>
  <c r="H522" i="8"/>
  <c r="F522" i="8"/>
  <c r="E522" i="8"/>
  <c r="C522" i="8"/>
  <c r="G522" i="8" s="1"/>
  <c r="H521" i="8"/>
  <c r="F521" i="8"/>
  <c r="E521" i="8"/>
  <c r="C521" i="8"/>
  <c r="H520" i="8"/>
  <c r="F520" i="8"/>
  <c r="E520" i="8"/>
  <c r="C520" i="8"/>
  <c r="H519" i="8"/>
  <c r="F519" i="8"/>
  <c r="E519" i="8"/>
  <c r="C519" i="8"/>
  <c r="H518" i="8"/>
  <c r="F518" i="8"/>
  <c r="E518" i="8"/>
  <c r="C518" i="8"/>
  <c r="G518" i="8" s="1"/>
  <c r="H517" i="8"/>
  <c r="F517" i="8"/>
  <c r="E517" i="8"/>
  <c r="C517" i="8"/>
  <c r="H516" i="8"/>
  <c r="F516" i="8"/>
  <c r="E516" i="8"/>
  <c r="C516" i="8"/>
  <c r="H515" i="8"/>
  <c r="F515" i="8"/>
  <c r="E515" i="8"/>
  <c r="C515" i="8"/>
  <c r="H514" i="8"/>
  <c r="F514" i="8"/>
  <c r="E514" i="8"/>
  <c r="C514" i="8"/>
  <c r="G514" i="8" s="1"/>
  <c r="H513" i="8"/>
  <c r="F513" i="8"/>
  <c r="E513" i="8"/>
  <c r="C513" i="8"/>
  <c r="G513" i="8" s="1"/>
  <c r="H512" i="8"/>
  <c r="F512" i="8"/>
  <c r="E512" i="8"/>
  <c r="C512" i="8"/>
  <c r="H511" i="8"/>
  <c r="F511" i="8"/>
  <c r="E511" i="8"/>
  <c r="C511" i="8"/>
  <c r="H510" i="8"/>
  <c r="F510" i="8"/>
  <c r="E510" i="8"/>
  <c r="C510" i="8"/>
  <c r="H509" i="8"/>
  <c r="F509" i="8"/>
  <c r="E509" i="8"/>
  <c r="C509" i="8"/>
  <c r="H508" i="8"/>
  <c r="F508" i="8"/>
  <c r="E508" i="8"/>
  <c r="C508" i="8"/>
  <c r="G508" i="8" s="1"/>
  <c r="H507" i="8"/>
  <c r="G507" i="8"/>
  <c r="F507" i="8"/>
  <c r="E507" i="8"/>
  <c r="C507" i="8"/>
  <c r="H506" i="8"/>
  <c r="F506" i="8"/>
  <c r="E506" i="8"/>
  <c r="C506" i="8"/>
  <c r="H505" i="8"/>
  <c r="F505" i="8"/>
  <c r="E505" i="8"/>
  <c r="C505" i="8"/>
  <c r="H504" i="8"/>
  <c r="F504" i="8"/>
  <c r="E504" i="8"/>
  <c r="C504" i="8"/>
  <c r="G504" i="8" s="1"/>
  <c r="H503" i="8"/>
  <c r="F503" i="8"/>
  <c r="E503" i="8"/>
  <c r="C503" i="8"/>
  <c r="I503" i="8" s="1"/>
  <c r="H502" i="8"/>
  <c r="F502" i="8"/>
  <c r="E502" i="8"/>
  <c r="C502" i="8"/>
  <c r="G502" i="8" s="1"/>
  <c r="H501" i="8"/>
  <c r="F501" i="8"/>
  <c r="E501" i="8"/>
  <c r="C501" i="8"/>
  <c r="H500" i="8"/>
  <c r="F500" i="8"/>
  <c r="E500" i="8"/>
  <c r="C500" i="8"/>
  <c r="H499" i="8"/>
  <c r="F499" i="8"/>
  <c r="E499" i="8"/>
  <c r="C499" i="8"/>
  <c r="G499" i="8" s="1"/>
  <c r="H498" i="8"/>
  <c r="F498" i="8"/>
  <c r="E498" i="8"/>
  <c r="C498" i="8"/>
  <c r="H497" i="8"/>
  <c r="F497" i="8"/>
  <c r="E497" i="8"/>
  <c r="C497" i="8"/>
  <c r="G497" i="8" s="1"/>
  <c r="H496" i="8"/>
  <c r="F496" i="8"/>
  <c r="E496" i="8"/>
  <c r="C496" i="8"/>
  <c r="H495" i="8"/>
  <c r="F495" i="8"/>
  <c r="E495" i="8"/>
  <c r="C495" i="8"/>
  <c r="H494" i="8"/>
  <c r="F494" i="8"/>
  <c r="E494" i="8"/>
  <c r="C494" i="8"/>
  <c r="H493" i="8"/>
  <c r="F493" i="8"/>
  <c r="E493" i="8"/>
  <c r="C493" i="8"/>
  <c r="H492" i="8"/>
  <c r="F492" i="8"/>
  <c r="E492" i="8"/>
  <c r="C492" i="8"/>
  <c r="H491" i="8"/>
  <c r="G491" i="8"/>
  <c r="F491" i="8"/>
  <c r="E491" i="8"/>
  <c r="C491" i="8"/>
  <c r="I491" i="8" s="1"/>
  <c r="H490" i="8"/>
  <c r="F490" i="8"/>
  <c r="E490" i="8"/>
  <c r="C490" i="8"/>
  <c r="I490" i="8" s="1"/>
  <c r="H489" i="8"/>
  <c r="F489" i="8"/>
  <c r="E489" i="8"/>
  <c r="C489" i="8"/>
  <c r="G489" i="8" s="1"/>
  <c r="H488" i="8"/>
  <c r="F488" i="8"/>
  <c r="E488" i="8"/>
  <c r="C488" i="8"/>
  <c r="H487" i="8"/>
  <c r="F487" i="8"/>
  <c r="E487" i="8"/>
  <c r="C487" i="8"/>
  <c r="H486" i="8"/>
  <c r="F486" i="8"/>
  <c r="E486" i="8"/>
  <c r="C486" i="8"/>
  <c r="I486" i="8" s="1"/>
  <c r="H485" i="8"/>
  <c r="F485" i="8"/>
  <c r="E485" i="8"/>
  <c r="C485" i="8"/>
  <c r="H484" i="8"/>
  <c r="G484" i="8"/>
  <c r="F484" i="8"/>
  <c r="E484" i="8"/>
  <c r="C484" i="8"/>
  <c r="H483" i="8"/>
  <c r="G483" i="8"/>
  <c r="F483" i="8"/>
  <c r="E483" i="8"/>
  <c r="C483" i="8"/>
  <c r="H482" i="8"/>
  <c r="G482" i="8"/>
  <c r="F482" i="8"/>
  <c r="E482" i="8"/>
  <c r="C482" i="8"/>
  <c r="H481" i="8"/>
  <c r="F481" i="8"/>
  <c r="E481" i="8"/>
  <c r="C481" i="8"/>
  <c r="H480" i="8"/>
  <c r="F480" i="8"/>
  <c r="E480" i="8"/>
  <c r="C480" i="8"/>
  <c r="G480" i="8" s="1"/>
  <c r="H479" i="8"/>
  <c r="F479" i="8"/>
  <c r="E479" i="8"/>
  <c r="C479" i="8"/>
  <c r="H478" i="8"/>
  <c r="F478" i="8"/>
  <c r="E478" i="8"/>
  <c r="C478" i="8"/>
  <c r="H477" i="8"/>
  <c r="F477" i="8"/>
  <c r="E477" i="8"/>
  <c r="C477" i="8"/>
  <c r="H476" i="8"/>
  <c r="F476" i="8"/>
  <c r="E476" i="8"/>
  <c r="C476" i="8"/>
  <c r="H475" i="8"/>
  <c r="G475" i="8"/>
  <c r="F475" i="8"/>
  <c r="E475" i="8"/>
  <c r="C475" i="8"/>
  <c r="H474" i="8"/>
  <c r="G474" i="8"/>
  <c r="F474" i="8"/>
  <c r="E474" i="8"/>
  <c r="C474" i="8"/>
  <c r="I474" i="8" s="1"/>
  <c r="H473" i="8"/>
  <c r="F473" i="8"/>
  <c r="E473" i="8"/>
  <c r="C473" i="8"/>
  <c r="G473" i="8" s="1"/>
  <c r="H472" i="8"/>
  <c r="F472" i="8"/>
  <c r="E472" i="8"/>
  <c r="C472" i="8"/>
  <c r="G472" i="8" s="1"/>
  <c r="H471" i="8"/>
  <c r="F471" i="8"/>
  <c r="E471" i="8"/>
  <c r="C471" i="8"/>
  <c r="I471" i="8" s="1"/>
  <c r="H470" i="8"/>
  <c r="F470" i="8"/>
  <c r="E470" i="8"/>
  <c r="C470" i="8"/>
  <c r="G470" i="8" s="1"/>
  <c r="H469" i="8"/>
  <c r="F469" i="8"/>
  <c r="E469" i="8"/>
  <c r="C469" i="8"/>
  <c r="H468" i="8"/>
  <c r="G468" i="8"/>
  <c r="F468" i="8"/>
  <c r="E468" i="8"/>
  <c r="C468" i="8"/>
  <c r="H467" i="8"/>
  <c r="G467" i="8"/>
  <c r="F467" i="8"/>
  <c r="E467" i="8"/>
  <c r="C467" i="8"/>
  <c r="I467" i="8" s="1"/>
  <c r="H466" i="8"/>
  <c r="G466" i="8"/>
  <c r="F466" i="8"/>
  <c r="E466" i="8"/>
  <c r="C466" i="8"/>
  <c r="H465" i="8"/>
  <c r="F465" i="8"/>
  <c r="E465" i="8"/>
  <c r="C465" i="8"/>
  <c r="G465" i="8" s="1"/>
  <c r="H464" i="8"/>
  <c r="F464" i="8"/>
  <c r="E464" i="8"/>
  <c r="C464" i="8"/>
  <c r="H463" i="8"/>
  <c r="F463" i="8"/>
  <c r="E463" i="8"/>
  <c r="C463" i="8"/>
  <c r="H462" i="8"/>
  <c r="F462" i="8"/>
  <c r="E462" i="8"/>
  <c r="C462" i="8"/>
  <c r="H461" i="8"/>
  <c r="F461" i="8"/>
  <c r="E461" i="8"/>
  <c r="C461" i="8"/>
  <c r="H460" i="8"/>
  <c r="F460" i="8"/>
  <c r="E460" i="8"/>
  <c r="C460" i="8"/>
  <c r="H459" i="8"/>
  <c r="G459" i="8"/>
  <c r="F459" i="8"/>
  <c r="E459" i="8"/>
  <c r="C459" i="8"/>
  <c r="I459" i="8" s="1"/>
  <c r="H458" i="8"/>
  <c r="G458" i="8"/>
  <c r="F458" i="8"/>
  <c r="E458" i="8"/>
  <c r="C458" i="8"/>
  <c r="I458" i="8" s="1"/>
  <c r="H457" i="8"/>
  <c r="F457" i="8"/>
  <c r="E457" i="8"/>
  <c r="C457" i="8"/>
  <c r="G457" i="8" s="1"/>
  <c r="H456" i="8"/>
  <c r="F456" i="8"/>
  <c r="E456" i="8"/>
  <c r="C456" i="8"/>
  <c r="H455" i="8"/>
  <c r="F455" i="8"/>
  <c r="E455" i="8"/>
  <c r="C455" i="8"/>
  <c r="H454" i="8"/>
  <c r="F454" i="8"/>
  <c r="E454" i="8"/>
  <c r="C454" i="8"/>
  <c r="G454" i="8" s="1"/>
  <c r="H453" i="8"/>
  <c r="F453" i="8"/>
  <c r="E453" i="8"/>
  <c r="C453" i="8"/>
  <c r="H452" i="8"/>
  <c r="G452" i="8"/>
  <c r="F452" i="8"/>
  <c r="E452" i="8"/>
  <c r="C452" i="8"/>
  <c r="H451" i="8"/>
  <c r="G451" i="8"/>
  <c r="F451" i="8"/>
  <c r="E451" i="8"/>
  <c r="C451" i="8"/>
  <c r="H450" i="8"/>
  <c r="G450" i="8"/>
  <c r="F450" i="8"/>
  <c r="E450" i="8"/>
  <c r="C450" i="8"/>
  <c r="H449" i="8"/>
  <c r="F449" i="8"/>
  <c r="E449" i="8"/>
  <c r="C449" i="8"/>
  <c r="G449" i="8" s="1"/>
  <c r="H448" i="8"/>
  <c r="F448" i="8"/>
  <c r="E448" i="8"/>
  <c r="C448" i="8"/>
  <c r="H447" i="8"/>
  <c r="F447" i="8"/>
  <c r="E447" i="8"/>
  <c r="C447" i="8"/>
  <c r="H446" i="8"/>
  <c r="F446" i="8"/>
  <c r="E446" i="8"/>
  <c r="C446" i="8"/>
  <c r="H445" i="8"/>
  <c r="F445" i="8"/>
  <c r="E445" i="8"/>
  <c r="C445" i="8"/>
  <c r="H444" i="8"/>
  <c r="F444" i="8"/>
  <c r="E444" i="8"/>
  <c r="C444" i="8"/>
  <c r="H443" i="8"/>
  <c r="G443" i="8"/>
  <c r="F443" i="8"/>
  <c r="E443" i="8"/>
  <c r="C443" i="8"/>
  <c r="H442" i="8"/>
  <c r="G442" i="8"/>
  <c r="F442" i="8"/>
  <c r="E442" i="8"/>
  <c r="C442" i="8"/>
  <c r="I442" i="8" s="1"/>
  <c r="H441" i="8"/>
  <c r="F441" i="8"/>
  <c r="E441" i="8"/>
  <c r="C441" i="8"/>
  <c r="G441" i="8" s="1"/>
  <c r="H440" i="8"/>
  <c r="F440" i="8"/>
  <c r="E440" i="8"/>
  <c r="C440" i="8"/>
  <c r="G440" i="8" s="1"/>
  <c r="H439" i="8"/>
  <c r="F439" i="8"/>
  <c r="E439" i="8"/>
  <c r="C439" i="8"/>
  <c r="H438" i="8"/>
  <c r="F438" i="8"/>
  <c r="E438" i="8"/>
  <c r="C438" i="8"/>
  <c r="G438" i="8" s="1"/>
  <c r="H437" i="8"/>
  <c r="F437" i="8"/>
  <c r="E437" i="8"/>
  <c r="C437" i="8"/>
  <c r="G437" i="8" s="1"/>
  <c r="H436" i="8"/>
  <c r="G436" i="8"/>
  <c r="F436" i="8"/>
  <c r="E436" i="8"/>
  <c r="C436" i="8"/>
  <c r="H435" i="8"/>
  <c r="G435" i="8"/>
  <c r="F435" i="8"/>
  <c r="E435" i="8"/>
  <c r="C435" i="8"/>
  <c r="I435" i="8" s="1"/>
  <c r="H434" i="8"/>
  <c r="G434" i="8"/>
  <c r="F434" i="8"/>
  <c r="E434" i="8"/>
  <c r="C434" i="8"/>
  <c r="H433" i="8"/>
  <c r="F433" i="8"/>
  <c r="E433" i="8"/>
  <c r="C433" i="8"/>
  <c r="G433" i="8" s="1"/>
  <c r="H432" i="8"/>
  <c r="F432" i="8"/>
  <c r="E432" i="8"/>
  <c r="C432" i="8"/>
  <c r="G432" i="8" s="1"/>
  <c r="H431" i="8"/>
  <c r="F431" i="8"/>
  <c r="E431" i="8"/>
  <c r="C431" i="8"/>
  <c r="H430" i="8"/>
  <c r="F430" i="8"/>
  <c r="E430" i="8"/>
  <c r="C430" i="8"/>
  <c r="H429" i="8"/>
  <c r="F429" i="8"/>
  <c r="E429" i="8"/>
  <c r="C429" i="8"/>
  <c r="H428" i="8"/>
  <c r="F428" i="8"/>
  <c r="E428" i="8"/>
  <c r="C428" i="8"/>
  <c r="H427" i="8"/>
  <c r="G427" i="8"/>
  <c r="F427" i="8"/>
  <c r="E427" i="8"/>
  <c r="C427" i="8"/>
  <c r="I427" i="8" s="1"/>
  <c r="H426" i="8"/>
  <c r="G426" i="8"/>
  <c r="F426" i="8"/>
  <c r="E426" i="8"/>
  <c r="C426" i="8"/>
  <c r="I426" i="8" s="1"/>
  <c r="H425" i="8"/>
  <c r="F425" i="8"/>
  <c r="E425" i="8"/>
  <c r="C425" i="8"/>
  <c r="G425" i="8" s="1"/>
  <c r="H424" i="8"/>
  <c r="F424" i="8"/>
  <c r="E424" i="8"/>
  <c r="C424" i="8"/>
  <c r="H423" i="8"/>
  <c r="F423" i="8"/>
  <c r="E423" i="8"/>
  <c r="C423" i="8"/>
  <c r="H422" i="8"/>
  <c r="F422" i="8"/>
  <c r="E422" i="8"/>
  <c r="C422" i="8"/>
  <c r="I422" i="8" s="1"/>
  <c r="H421" i="8"/>
  <c r="F421" i="8"/>
  <c r="E421" i="8"/>
  <c r="C421" i="8"/>
  <c r="H420" i="8"/>
  <c r="G420" i="8"/>
  <c r="F420" i="8"/>
  <c r="E420" i="8"/>
  <c r="C420" i="8"/>
  <c r="H419" i="8"/>
  <c r="G419" i="8"/>
  <c r="F419" i="8"/>
  <c r="E419" i="8"/>
  <c r="C419" i="8"/>
  <c r="I419" i="8" s="1"/>
  <c r="H418" i="8"/>
  <c r="G418" i="8"/>
  <c r="F418" i="8"/>
  <c r="E418" i="8"/>
  <c r="C418" i="8"/>
  <c r="H417" i="8"/>
  <c r="F417" i="8"/>
  <c r="E417" i="8"/>
  <c r="C417" i="8"/>
  <c r="H416" i="8"/>
  <c r="F416" i="8"/>
  <c r="E416" i="8"/>
  <c r="C416" i="8"/>
  <c r="H415" i="8"/>
  <c r="F415" i="8"/>
  <c r="E415" i="8"/>
  <c r="C415" i="8"/>
  <c r="H414" i="8"/>
  <c r="F414" i="8"/>
  <c r="E414" i="8"/>
  <c r="C414" i="8"/>
  <c r="H413" i="8"/>
  <c r="F413" i="8"/>
  <c r="E413" i="8"/>
  <c r="C413" i="8"/>
  <c r="H412" i="8"/>
  <c r="F412" i="8"/>
  <c r="E412" i="8"/>
  <c r="C412" i="8"/>
  <c r="H411" i="8"/>
  <c r="G411" i="8"/>
  <c r="F411" i="8"/>
  <c r="E411" i="8"/>
  <c r="C411" i="8"/>
  <c r="H410" i="8"/>
  <c r="G410" i="8"/>
  <c r="F410" i="8"/>
  <c r="E410" i="8"/>
  <c r="C410" i="8"/>
  <c r="I410" i="8" s="1"/>
  <c r="H409" i="8"/>
  <c r="F409" i="8"/>
  <c r="E409" i="8"/>
  <c r="C409" i="8"/>
  <c r="G409" i="8" s="1"/>
  <c r="H408" i="8"/>
  <c r="F408" i="8"/>
  <c r="E408" i="8"/>
  <c r="C408" i="8"/>
  <c r="G408" i="8" s="1"/>
  <c r="H407" i="8"/>
  <c r="F407" i="8"/>
  <c r="E407" i="8"/>
  <c r="C407" i="8"/>
  <c r="H406" i="8"/>
  <c r="F406" i="8"/>
  <c r="E406" i="8"/>
  <c r="C406" i="8"/>
  <c r="G406" i="8" s="1"/>
  <c r="H405" i="8"/>
  <c r="F405" i="8"/>
  <c r="E405" i="8"/>
  <c r="C405" i="8"/>
  <c r="H404" i="8"/>
  <c r="G404" i="8"/>
  <c r="F404" i="8"/>
  <c r="E404" i="8"/>
  <c r="C404" i="8"/>
  <c r="H403" i="8"/>
  <c r="G403" i="8"/>
  <c r="F403" i="8"/>
  <c r="E403" i="8"/>
  <c r="C403" i="8"/>
  <c r="I403" i="8" s="1"/>
  <c r="H402" i="8"/>
  <c r="G402" i="8"/>
  <c r="F402" i="8"/>
  <c r="E402" i="8"/>
  <c r="C402" i="8"/>
  <c r="H401" i="8"/>
  <c r="F401" i="8"/>
  <c r="E401" i="8"/>
  <c r="C401" i="8"/>
  <c r="G401" i="8" s="1"/>
  <c r="H400" i="8"/>
  <c r="F400" i="8"/>
  <c r="E400" i="8"/>
  <c r="C400" i="8"/>
  <c r="G400" i="8" s="1"/>
  <c r="H399" i="8"/>
  <c r="F399" i="8"/>
  <c r="E399" i="8"/>
  <c r="C399" i="8"/>
  <c r="H398" i="8"/>
  <c r="F398" i="8"/>
  <c r="E398" i="8"/>
  <c r="C398" i="8"/>
  <c r="H397" i="8"/>
  <c r="F397" i="8"/>
  <c r="E397" i="8"/>
  <c r="C397" i="8"/>
  <c r="G397" i="8" s="1"/>
  <c r="H396" i="8"/>
  <c r="F396" i="8"/>
  <c r="E396" i="8"/>
  <c r="C396" i="8"/>
  <c r="H395" i="8"/>
  <c r="G395" i="8"/>
  <c r="F395" i="8"/>
  <c r="E395" i="8"/>
  <c r="C395" i="8"/>
  <c r="I395" i="8" s="1"/>
  <c r="H394" i="8"/>
  <c r="G394" i="8"/>
  <c r="F394" i="8"/>
  <c r="E394" i="8"/>
  <c r="C394" i="8"/>
  <c r="I394" i="8" s="1"/>
  <c r="H393" i="8"/>
  <c r="F393" i="8"/>
  <c r="E393" i="8"/>
  <c r="C393" i="8"/>
  <c r="H392" i="8"/>
  <c r="F392" i="8"/>
  <c r="E392" i="8"/>
  <c r="C392" i="8"/>
  <c r="H391" i="8"/>
  <c r="F391" i="8"/>
  <c r="E391" i="8"/>
  <c r="C391" i="8"/>
  <c r="I391" i="8" s="1"/>
  <c r="H390" i="8"/>
  <c r="F390" i="8"/>
  <c r="E390" i="8"/>
  <c r="C390" i="8"/>
  <c r="I390" i="8" s="1"/>
  <c r="H389" i="8"/>
  <c r="F389" i="8"/>
  <c r="E389" i="8"/>
  <c r="C389" i="8"/>
  <c r="H388" i="8"/>
  <c r="F388" i="8"/>
  <c r="E388" i="8"/>
  <c r="C388" i="8"/>
  <c r="H387" i="8"/>
  <c r="F387" i="8"/>
  <c r="E387" i="8"/>
  <c r="C387" i="8"/>
  <c r="G387" i="8" s="1"/>
  <c r="H386" i="8"/>
  <c r="F386" i="8"/>
  <c r="E386" i="8"/>
  <c r="C386" i="8"/>
  <c r="H385" i="8"/>
  <c r="F385" i="8"/>
  <c r="E385" i="8"/>
  <c r="C385" i="8"/>
  <c r="H384" i="8"/>
  <c r="F384" i="8"/>
  <c r="E384" i="8"/>
  <c r="C384" i="8"/>
  <c r="G384" i="8" s="1"/>
  <c r="H383" i="8"/>
  <c r="F383" i="8"/>
  <c r="E383" i="8"/>
  <c r="C383" i="8"/>
  <c r="H382" i="8"/>
  <c r="F382" i="8"/>
  <c r="E382" i="8"/>
  <c r="C382" i="8"/>
  <c r="H381" i="8"/>
  <c r="F381" i="8"/>
  <c r="E381" i="8"/>
  <c r="C381" i="8"/>
  <c r="G381" i="8" s="1"/>
  <c r="H380" i="8"/>
  <c r="F380" i="8"/>
  <c r="E380" i="8"/>
  <c r="C380" i="8"/>
  <c r="H379" i="8"/>
  <c r="F379" i="8"/>
  <c r="E379" i="8"/>
  <c r="C379" i="8"/>
  <c r="G379" i="8" s="1"/>
  <c r="H378" i="8"/>
  <c r="G378" i="8"/>
  <c r="F378" i="8"/>
  <c r="E378" i="8"/>
  <c r="C378" i="8"/>
  <c r="I378" i="8" s="1"/>
  <c r="H377" i="8"/>
  <c r="F377" i="8"/>
  <c r="E377" i="8"/>
  <c r="C377" i="8"/>
  <c r="H376" i="8"/>
  <c r="F376" i="8"/>
  <c r="E376" i="8"/>
  <c r="C376" i="8"/>
  <c r="G376" i="8" s="1"/>
  <c r="H375" i="8"/>
  <c r="F375" i="8"/>
  <c r="E375" i="8"/>
  <c r="C375" i="8"/>
  <c r="H374" i="8"/>
  <c r="F374" i="8"/>
  <c r="E374" i="8"/>
  <c r="C374" i="8"/>
  <c r="G374" i="8" s="1"/>
  <c r="H373" i="8"/>
  <c r="F373" i="8"/>
  <c r="E373" i="8"/>
  <c r="C373" i="8"/>
  <c r="G373" i="8" s="1"/>
  <c r="H372" i="8"/>
  <c r="F372" i="8"/>
  <c r="E372" i="8"/>
  <c r="C372" i="8"/>
  <c r="H371" i="8"/>
  <c r="F371" i="8"/>
  <c r="E371" i="8"/>
  <c r="C371" i="8"/>
  <c r="H370" i="8"/>
  <c r="F370" i="8"/>
  <c r="E370" i="8"/>
  <c r="C370" i="8"/>
  <c r="G370" i="8" s="1"/>
  <c r="H369" i="8"/>
  <c r="F369" i="8"/>
  <c r="E369" i="8"/>
  <c r="C369" i="8"/>
  <c r="G369" i="8" s="1"/>
  <c r="H368" i="8"/>
  <c r="F368" i="8"/>
  <c r="E368" i="8"/>
  <c r="C368" i="8"/>
  <c r="H367" i="8"/>
  <c r="F367" i="8"/>
  <c r="E367" i="8"/>
  <c r="C367" i="8"/>
  <c r="H366" i="8"/>
  <c r="F366" i="8"/>
  <c r="E366" i="8"/>
  <c r="C366" i="8"/>
  <c r="H365" i="8"/>
  <c r="F365" i="8"/>
  <c r="E365" i="8"/>
  <c r="C365" i="8"/>
  <c r="H364" i="8"/>
  <c r="F364" i="8"/>
  <c r="E364" i="8"/>
  <c r="C364" i="8"/>
  <c r="G364" i="8" s="1"/>
  <c r="H363" i="8"/>
  <c r="F363" i="8"/>
  <c r="E363" i="8"/>
  <c r="C363" i="8"/>
  <c r="G363" i="8" s="1"/>
  <c r="H362" i="8"/>
  <c r="G362" i="8"/>
  <c r="F362" i="8"/>
  <c r="E362" i="8"/>
  <c r="C362" i="8"/>
  <c r="I362" i="8" s="1"/>
  <c r="H361" i="8"/>
  <c r="F361" i="8"/>
  <c r="E361" i="8"/>
  <c r="C361" i="8"/>
  <c r="G361" i="8" s="1"/>
  <c r="H360" i="8"/>
  <c r="F360" i="8"/>
  <c r="E360" i="8"/>
  <c r="C360" i="8"/>
  <c r="G360" i="8" s="1"/>
  <c r="H359" i="8"/>
  <c r="F359" i="8"/>
  <c r="E359" i="8"/>
  <c r="C359" i="8"/>
  <c r="H358" i="8"/>
  <c r="F358" i="8"/>
  <c r="E358" i="8"/>
  <c r="C358" i="8"/>
  <c r="I358" i="8" s="1"/>
  <c r="H357" i="8"/>
  <c r="F357" i="8"/>
  <c r="E357" i="8"/>
  <c r="C357" i="8"/>
  <c r="H356" i="8"/>
  <c r="F356" i="8"/>
  <c r="E356" i="8"/>
  <c r="C356" i="8"/>
  <c r="H355" i="8"/>
  <c r="F355" i="8"/>
  <c r="E355" i="8"/>
  <c r="C355" i="8"/>
  <c r="I355" i="8" s="1"/>
  <c r="H354" i="8"/>
  <c r="F354" i="8"/>
  <c r="E354" i="8"/>
  <c r="C354" i="8"/>
  <c r="G354" i="8" s="1"/>
  <c r="H353" i="8"/>
  <c r="F353" i="8"/>
  <c r="E353" i="8"/>
  <c r="C353" i="8"/>
  <c r="H352" i="8"/>
  <c r="F352" i="8"/>
  <c r="E352" i="8"/>
  <c r="C352" i="8"/>
  <c r="H351" i="8"/>
  <c r="F351" i="8"/>
  <c r="E351" i="8"/>
  <c r="C351" i="8"/>
  <c r="H350" i="8"/>
  <c r="F350" i="8"/>
  <c r="E350" i="8"/>
  <c r="C350" i="8"/>
  <c r="H349" i="8"/>
  <c r="F349" i="8"/>
  <c r="E349" i="8"/>
  <c r="C349" i="8"/>
  <c r="H348" i="8"/>
  <c r="F348" i="8"/>
  <c r="E348" i="8"/>
  <c r="C348" i="8"/>
  <c r="H347" i="8"/>
  <c r="F347" i="8"/>
  <c r="E347" i="8"/>
  <c r="C347" i="8"/>
  <c r="G347" i="8" s="1"/>
  <c r="H346" i="8"/>
  <c r="G346" i="8"/>
  <c r="F346" i="8"/>
  <c r="E346" i="8"/>
  <c r="C346" i="8"/>
  <c r="H345" i="8"/>
  <c r="F345" i="8"/>
  <c r="E345" i="8"/>
  <c r="C345" i="8"/>
  <c r="H344" i="8"/>
  <c r="F344" i="8"/>
  <c r="E344" i="8"/>
  <c r="C344" i="8"/>
  <c r="G344" i="8" s="1"/>
  <c r="H343" i="8"/>
  <c r="F343" i="8"/>
  <c r="E343" i="8"/>
  <c r="C343" i="8"/>
  <c r="H342" i="8"/>
  <c r="F342" i="8"/>
  <c r="E342" i="8"/>
  <c r="C342" i="8"/>
  <c r="G342" i="8" s="1"/>
  <c r="H341" i="8"/>
  <c r="F341" i="8"/>
  <c r="E341" i="8"/>
  <c r="C341" i="8"/>
  <c r="G341" i="8" s="1"/>
  <c r="H340" i="8"/>
  <c r="F340" i="8"/>
  <c r="E340" i="8"/>
  <c r="C340" i="8"/>
  <c r="H339" i="8"/>
  <c r="F339" i="8"/>
  <c r="E339" i="8"/>
  <c r="C339" i="8"/>
  <c r="I339" i="8" s="1"/>
  <c r="H338" i="8"/>
  <c r="F338" i="8"/>
  <c r="E338" i="8"/>
  <c r="C338" i="8"/>
  <c r="H337" i="8"/>
  <c r="F337" i="8"/>
  <c r="E337" i="8"/>
  <c r="C337" i="8"/>
  <c r="G337" i="8" s="1"/>
  <c r="H336" i="8"/>
  <c r="F336" i="8"/>
  <c r="E336" i="8"/>
  <c r="C336" i="8"/>
  <c r="G336" i="8" s="1"/>
  <c r="H335" i="8"/>
  <c r="F335" i="8"/>
  <c r="E335" i="8"/>
  <c r="C335" i="8"/>
  <c r="H334" i="8"/>
  <c r="F334" i="8"/>
  <c r="E334" i="8"/>
  <c r="C334" i="8"/>
  <c r="H333" i="8"/>
  <c r="F333" i="8"/>
  <c r="E333" i="8"/>
  <c r="C333" i="8"/>
  <c r="G333" i="8" s="1"/>
  <c r="H332" i="8"/>
  <c r="F332" i="8"/>
  <c r="E332" i="8"/>
  <c r="C332" i="8"/>
  <c r="G332" i="8" s="1"/>
  <c r="H331" i="8"/>
  <c r="F331" i="8"/>
  <c r="E331" i="8"/>
  <c r="C331" i="8"/>
  <c r="I331" i="8" s="1"/>
  <c r="H330" i="8"/>
  <c r="G330" i="8"/>
  <c r="F330" i="8"/>
  <c r="E330" i="8"/>
  <c r="C330" i="8"/>
  <c r="I330" i="8" s="1"/>
  <c r="H329" i="8"/>
  <c r="F329" i="8"/>
  <c r="E329" i="8"/>
  <c r="C329" i="8"/>
  <c r="H328" i="8"/>
  <c r="F328" i="8"/>
  <c r="E328" i="8"/>
  <c r="C328" i="8"/>
  <c r="H327" i="8"/>
  <c r="F327" i="8"/>
  <c r="E327" i="8"/>
  <c r="C327" i="8"/>
  <c r="H326" i="8"/>
  <c r="F326" i="8"/>
  <c r="E326" i="8"/>
  <c r="C326" i="8"/>
  <c r="G326" i="8" s="1"/>
  <c r="H325" i="8"/>
  <c r="F325" i="8"/>
  <c r="E325" i="8"/>
  <c r="C325" i="8"/>
  <c r="H324" i="8"/>
  <c r="F324" i="8"/>
  <c r="E324" i="8"/>
  <c r="C324" i="8"/>
  <c r="G324" i="8" s="1"/>
  <c r="H323" i="8"/>
  <c r="F323" i="8"/>
  <c r="E323" i="8"/>
  <c r="C323" i="8"/>
  <c r="H322" i="8"/>
  <c r="F322" i="8"/>
  <c r="E322" i="8"/>
  <c r="C322" i="8"/>
  <c r="G322" i="8" s="1"/>
  <c r="H321" i="8"/>
  <c r="F321" i="8"/>
  <c r="E321" i="8"/>
  <c r="C321" i="8"/>
  <c r="G321" i="8" s="1"/>
  <c r="H320" i="8"/>
  <c r="F320" i="8"/>
  <c r="E320" i="8"/>
  <c r="C320" i="8"/>
  <c r="G320" i="8" s="1"/>
  <c r="H319" i="8"/>
  <c r="F319" i="8"/>
  <c r="E319" i="8"/>
  <c r="C319" i="8"/>
  <c r="H318" i="8"/>
  <c r="F318" i="8"/>
  <c r="E318" i="8"/>
  <c r="C318" i="8"/>
  <c r="H317" i="8"/>
  <c r="F317" i="8"/>
  <c r="E317" i="8"/>
  <c r="C317" i="8"/>
  <c r="H316" i="8"/>
  <c r="F316" i="8"/>
  <c r="E316" i="8"/>
  <c r="C316" i="8"/>
  <c r="G316" i="8" s="1"/>
  <c r="H315" i="8"/>
  <c r="F315" i="8"/>
  <c r="E315" i="8"/>
  <c r="C315" i="8"/>
  <c r="G315" i="8" s="1"/>
  <c r="H314" i="8"/>
  <c r="G314" i="8"/>
  <c r="F314" i="8"/>
  <c r="E314" i="8"/>
  <c r="C314" i="8"/>
  <c r="I314" i="8" s="1"/>
  <c r="H313" i="8"/>
  <c r="F313" i="8"/>
  <c r="E313" i="8"/>
  <c r="C313" i="8"/>
  <c r="H312" i="8"/>
  <c r="F312" i="8"/>
  <c r="E312" i="8"/>
  <c r="C312" i="8"/>
  <c r="H311" i="8"/>
  <c r="F311" i="8"/>
  <c r="E311" i="8"/>
  <c r="C311" i="8"/>
  <c r="H310" i="8"/>
  <c r="F310" i="8"/>
  <c r="E310" i="8"/>
  <c r="C310" i="8"/>
  <c r="G310" i="8" s="1"/>
  <c r="H309" i="8"/>
  <c r="F309" i="8"/>
  <c r="E309" i="8"/>
  <c r="C309" i="8"/>
  <c r="G309" i="8" s="1"/>
  <c r="H308" i="8"/>
  <c r="F308" i="8"/>
  <c r="E308" i="8"/>
  <c r="C308" i="8"/>
  <c r="H307" i="8"/>
  <c r="F307" i="8"/>
  <c r="E307" i="8"/>
  <c r="C307" i="8"/>
  <c r="H306" i="8"/>
  <c r="F306" i="8"/>
  <c r="E306" i="8"/>
  <c r="C306" i="8"/>
  <c r="H305" i="8"/>
  <c r="F305" i="8"/>
  <c r="E305" i="8"/>
  <c r="C305" i="8"/>
  <c r="G305" i="8" s="1"/>
  <c r="H304" i="8"/>
  <c r="F304" i="8"/>
  <c r="E304" i="8"/>
  <c r="C304" i="8"/>
  <c r="H303" i="8"/>
  <c r="F303" i="8"/>
  <c r="E303" i="8"/>
  <c r="C303" i="8"/>
  <c r="G303" i="8" s="1"/>
  <c r="H302" i="8"/>
  <c r="F302" i="8"/>
  <c r="E302" i="8"/>
  <c r="C302" i="8"/>
  <c r="H301" i="8"/>
  <c r="F301" i="8"/>
  <c r="E301" i="8"/>
  <c r="C301" i="8"/>
  <c r="H300" i="8"/>
  <c r="F300" i="8"/>
  <c r="E300" i="8"/>
  <c r="C300" i="8"/>
  <c r="G300" i="8" s="1"/>
  <c r="H299" i="8"/>
  <c r="F299" i="8"/>
  <c r="E299" i="8"/>
  <c r="C299" i="8"/>
  <c r="H298" i="8"/>
  <c r="G298" i="8"/>
  <c r="F298" i="8"/>
  <c r="E298" i="8"/>
  <c r="C298" i="8"/>
  <c r="I298" i="8" s="1"/>
  <c r="H297" i="8"/>
  <c r="F297" i="8"/>
  <c r="E297" i="8"/>
  <c r="C297" i="8"/>
  <c r="H296" i="8"/>
  <c r="F296" i="8"/>
  <c r="E296" i="8"/>
  <c r="C296" i="8"/>
  <c r="H295" i="8"/>
  <c r="F295" i="8"/>
  <c r="E295" i="8"/>
  <c r="C295" i="8"/>
  <c r="I295" i="8" s="1"/>
  <c r="H294" i="8"/>
  <c r="F294" i="8"/>
  <c r="E294" i="8"/>
  <c r="C294" i="8"/>
  <c r="G294" i="8" s="1"/>
  <c r="H293" i="8"/>
  <c r="F293" i="8"/>
  <c r="E293" i="8"/>
  <c r="C293" i="8"/>
  <c r="G293" i="8" s="1"/>
  <c r="H292" i="8"/>
  <c r="F292" i="8"/>
  <c r="E292" i="8"/>
  <c r="C292" i="8"/>
  <c r="H291" i="8"/>
  <c r="F291" i="8"/>
  <c r="E291" i="8"/>
  <c r="C291" i="8"/>
  <c r="H290" i="8"/>
  <c r="F290" i="8"/>
  <c r="E290" i="8"/>
  <c r="C290" i="8"/>
  <c r="H289" i="8"/>
  <c r="F289" i="8"/>
  <c r="E289" i="8"/>
  <c r="C289" i="8"/>
  <c r="G289" i="8" s="1"/>
  <c r="H288" i="8"/>
  <c r="F288" i="8"/>
  <c r="E288" i="8"/>
  <c r="C288" i="8"/>
  <c r="H287" i="8"/>
  <c r="F287" i="8"/>
  <c r="E287" i="8"/>
  <c r="C287" i="8"/>
  <c r="G287" i="8" s="1"/>
  <c r="H286" i="8"/>
  <c r="F286" i="8"/>
  <c r="E286" i="8"/>
  <c r="C286" i="8"/>
  <c r="H285" i="8"/>
  <c r="F285" i="8"/>
  <c r="E285" i="8"/>
  <c r="C285" i="8"/>
  <c r="H284" i="8"/>
  <c r="F284" i="8"/>
  <c r="E284" i="8"/>
  <c r="C284" i="8"/>
  <c r="G284" i="8" s="1"/>
  <c r="H283" i="8"/>
  <c r="F283" i="8"/>
  <c r="E283" i="8"/>
  <c r="C283" i="8"/>
  <c r="H282" i="8"/>
  <c r="F282" i="8"/>
  <c r="E282" i="8"/>
  <c r="C282" i="8"/>
  <c r="I282" i="8" s="1"/>
  <c r="H281" i="8"/>
  <c r="F281" i="8"/>
  <c r="E281" i="8"/>
  <c r="C281" i="8"/>
  <c r="H280" i="8"/>
  <c r="F280" i="8"/>
  <c r="E280" i="8"/>
  <c r="C280" i="8"/>
  <c r="G280" i="8" s="1"/>
  <c r="H279" i="8"/>
  <c r="F279" i="8"/>
  <c r="E279" i="8"/>
  <c r="C279" i="8"/>
  <c r="I279" i="8" s="1"/>
  <c r="H278" i="8"/>
  <c r="F278" i="8"/>
  <c r="E278" i="8"/>
  <c r="C278" i="8"/>
  <c r="G278" i="8" s="1"/>
  <c r="H277" i="8"/>
  <c r="F277" i="8"/>
  <c r="E277" i="8"/>
  <c r="C277" i="8"/>
  <c r="G277" i="8" s="1"/>
  <c r="H276" i="8"/>
  <c r="F276" i="8"/>
  <c r="E276" i="8"/>
  <c r="C276" i="8"/>
  <c r="H275" i="8"/>
  <c r="F275" i="8"/>
  <c r="E275" i="8"/>
  <c r="C275" i="8"/>
  <c r="I275" i="8" s="1"/>
  <c r="H274" i="8"/>
  <c r="F274" i="8"/>
  <c r="E274" i="8"/>
  <c r="C274" i="8"/>
  <c r="H273" i="8"/>
  <c r="F273" i="8"/>
  <c r="E273" i="8"/>
  <c r="C273" i="8"/>
  <c r="G273" i="8" s="1"/>
  <c r="H272" i="8"/>
  <c r="F272" i="8"/>
  <c r="E272" i="8"/>
  <c r="C272" i="8"/>
  <c r="G272" i="8" s="1"/>
  <c r="H271" i="8"/>
  <c r="F271" i="8"/>
  <c r="E271" i="8"/>
  <c r="C271" i="8"/>
  <c r="H270" i="8"/>
  <c r="F270" i="8"/>
  <c r="E270" i="8"/>
  <c r="C270" i="8"/>
  <c r="H269" i="8"/>
  <c r="F269" i="8"/>
  <c r="E269" i="8"/>
  <c r="C269" i="8"/>
  <c r="H268" i="8"/>
  <c r="F268" i="8"/>
  <c r="E268" i="8"/>
  <c r="C268" i="8"/>
  <c r="H267" i="8"/>
  <c r="F267" i="8"/>
  <c r="E267" i="8"/>
  <c r="C267" i="8"/>
  <c r="H266" i="8"/>
  <c r="F266" i="8"/>
  <c r="E266" i="8"/>
  <c r="C266" i="8"/>
  <c r="I266" i="8" s="1"/>
  <c r="H265" i="8"/>
  <c r="F265" i="8"/>
  <c r="E265" i="8"/>
  <c r="C265" i="8"/>
  <c r="H264" i="8"/>
  <c r="F264" i="8"/>
  <c r="E264" i="8"/>
  <c r="C264" i="8"/>
  <c r="G264" i="8" s="1"/>
  <c r="H263" i="8"/>
  <c r="F263" i="8"/>
  <c r="E263" i="8"/>
  <c r="C263" i="8"/>
  <c r="I263" i="8" s="1"/>
  <c r="H262" i="8"/>
  <c r="F262" i="8"/>
  <c r="E262" i="8"/>
  <c r="C262" i="8"/>
  <c r="I262" i="8" s="1"/>
  <c r="H261" i="8"/>
  <c r="F261" i="8"/>
  <c r="E261" i="8"/>
  <c r="C261" i="8"/>
  <c r="G261" i="8" s="1"/>
  <c r="H260" i="8"/>
  <c r="F260" i="8"/>
  <c r="E260" i="8"/>
  <c r="C260" i="8"/>
  <c r="H259" i="8"/>
  <c r="F259" i="8"/>
  <c r="E259" i="8"/>
  <c r="C259" i="8"/>
  <c r="I259" i="8" s="1"/>
  <c r="H258" i="8"/>
  <c r="F258" i="8"/>
  <c r="E258" i="8"/>
  <c r="C258" i="8"/>
  <c r="H257" i="8"/>
  <c r="F257" i="8"/>
  <c r="E257" i="8"/>
  <c r="C257" i="8"/>
  <c r="G257" i="8" s="1"/>
  <c r="H256" i="8"/>
  <c r="F256" i="8"/>
  <c r="E256" i="8"/>
  <c r="C256" i="8"/>
  <c r="H255" i="8"/>
  <c r="F255" i="8"/>
  <c r="E255" i="8"/>
  <c r="C255" i="8"/>
  <c r="G255" i="8" s="1"/>
  <c r="H254" i="8"/>
  <c r="F254" i="8"/>
  <c r="E254" i="8"/>
  <c r="C254" i="8"/>
  <c r="H253" i="8"/>
  <c r="F253" i="8"/>
  <c r="E253" i="8"/>
  <c r="C253" i="8"/>
  <c r="G253" i="8" s="1"/>
  <c r="H252" i="8"/>
  <c r="F252" i="8"/>
  <c r="E252" i="8"/>
  <c r="C252" i="8"/>
  <c r="H251" i="8"/>
  <c r="F251" i="8"/>
  <c r="E251" i="8"/>
  <c r="C251" i="8"/>
  <c r="I251" i="8" s="1"/>
  <c r="H250" i="8"/>
  <c r="F250" i="8"/>
  <c r="E250" i="8"/>
  <c r="C250" i="8"/>
  <c r="H249" i="8"/>
  <c r="F249" i="8"/>
  <c r="E249" i="8"/>
  <c r="C249" i="8"/>
  <c r="G249" i="8" s="1"/>
  <c r="H248" i="8"/>
  <c r="F248" i="8"/>
  <c r="E248" i="8"/>
  <c r="C248" i="8"/>
  <c r="G248" i="8" s="1"/>
  <c r="H247" i="8"/>
  <c r="F247" i="8"/>
  <c r="E247" i="8"/>
  <c r="C247" i="8"/>
  <c r="H246" i="8"/>
  <c r="F246" i="8"/>
  <c r="E246" i="8"/>
  <c r="C246" i="8"/>
  <c r="G246" i="8" s="1"/>
  <c r="H245" i="8"/>
  <c r="F245" i="8"/>
  <c r="E245" i="8"/>
  <c r="C245" i="8"/>
  <c r="H244" i="8"/>
  <c r="F244" i="8"/>
  <c r="E244" i="8"/>
  <c r="C244" i="8"/>
  <c r="H243" i="8"/>
  <c r="F243" i="8"/>
  <c r="E243" i="8"/>
  <c r="C243" i="8"/>
  <c r="G243" i="8" s="1"/>
  <c r="H242" i="8"/>
  <c r="F242" i="8"/>
  <c r="E242" i="8"/>
  <c r="C242" i="8"/>
  <c r="H241" i="8"/>
  <c r="F241" i="8"/>
  <c r="E241" i="8"/>
  <c r="C241" i="8"/>
  <c r="G241" i="8" s="1"/>
  <c r="H240" i="8"/>
  <c r="F240" i="8"/>
  <c r="E240" i="8"/>
  <c r="C240" i="8"/>
  <c r="H239" i="8"/>
  <c r="F239" i="8"/>
  <c r="E239" i="8"/>
  <c r="C239" i="8"/>
  <c r="H238" i="8"/>
  <c r="F238" i="8"/>
  <c r="E238" i="8"/>
  <c r="C238" i="8"/>
  <c r="G238" i="8" s="1"/>
  <c r="H237" i="8"/>
  <c r="F237" i="8"/>
  <c r="E237" i="8"/>
  <c r="C237" i="8"/>
  <c r="H236" i="8"/>
  <c r="F236" i="8"/>
  <c r="E236" i="8"/>
  <c r="C236" i="8"/>
  <c r="H235" i="8"/>
  <c r="F235" i="8"/>
  <c r="E235" i="8"/>
  <c r="C235" i="8"/>
  <c r="G235" i="8" s="1"/>
  <c r="H234" i="8"/>
  <c r="F234" i="8"/>
  <c r="E234" i="8"/>
  <c r="C234" i="8"/>
  <c r="H233" i="8"/>
  <c r="F233" i="8"/>
  <c r="E233" i="8"/>
  <c r="C233" i="8"/>
  <c r="H232" i="8"/>
  <c r="F232" i="8"/>
  <c r="E232" i="8"/>
  <c r="C232" i="8"/>
  <c r="H231" i="8"/>
  <c r="F231" i="8"/>
  <c r="E231" i="8"/>
  <c r="C231" i="8"/>
  <c r="H230" i="8"/>
  <c r="F230" i="8"/>
  <c r="E230" i="8"/>
  <c r="C230" i="8"/>
  <c r="I230" i="8" s="1"/>
  <c r="H229" i="8"/>
  <c r="F229" i="8"/>
  <c r="E229" i="8"/>
  <c r="C229" i="8"/>
  <c r="G229" i="8" s="1"/>
  <c r="H228" i="8"/>
  <c r="F228" i="8"/>
  <c r="E228" i="8"/>
  <c r="C228" i="8"/>
  <c r="H227" i="8"/>
  <c r="F227" i="8"/>
  <c r="E227" i="8"/>
  <c r="C227" i="8"/>
  <c r="I227" i="8" s="1"/>
  <c r="H226" i="8"/>
  <c r="F226" i="8"/>
  <c r="E226" i="8"/>
  <c r="C226" i="8"/>
  <c r="H225" i="8"/>
  <c r="F225" i="8"/>
  <c r="E225" i="8"/>
  <c r="C225" i="8"/>
  <c r="G225" i="8" s="1"/>
  <c r="H224" i="8"/>
  <c r="F224" i="8"/>
  <c r="E224" i="8"/>
  <c r="C224" i="8"/>
  <c r="H223" i="8"/>
  <c r="F223" i="8"/>
  <c r="E223" i="8"/>
  <c r="C223" i="8"/>
  <c r="G223" i="8" s="1"/>
  <c r="H222" i="8"/>
  <c r="F222" i="8"/>
  <c r="E222" i="8"/>
  <c r="C222" i="8"/>
  <c r="G222" i="8" s="1"/>
  <c r="H221" i="8"/>
  <c r="F221" i="8"/>
  <c r="E221" i="8"/>
  <c r="C221" i="8"/>
  <c r="G221" i="8" s="1"/>
  <c r="H220" i="8"/>
  <c r="F220" i="8"/>
  <c r="E220" i="8"/>
  <c r="C220" i="8"/>
  <c r="H219" i="8"/>
  <c r="F219" i="8"/>
  <c r="E219" i="8"/>
  <c r="C219" i="8"/>
  <c r="I219" i="8" s="1"/>
  <c r="H218" i="8"/>
  <c r="F218" i="8"/>
  <c r="E218" i="8"/>
  <c r="C218" i="8"/>
  <c r="H217" i="8"/>
  <c r="F217" i="8"/>
  <c r="E217" i="8"/>
  <c r="C217" i="8"/>
  <c r="G217" i="8" s="1"/>
  <c r="H216" i="8"/>
  <c r="F216" i="8"/>
  <c r="E216" i="8"/>
  <c r="C216" i="8"/>
  <c r="H215" i="8"/>
  <c r="F215" i="8"/>
  <c r="E215" i="8"/>
  <c r="C215" i="8"/>
  <c r="I215" i="8" s="1"/>
  <c r="H214" i="8"/>
  <c r="F214" i="8"/>
  <c r="E214" i="8"/>
  <c r="C214" i="8"/>
  <c r="G214" i="8" s="1"/>
  <c r="H213" i="8"/>
  <c r="F213" i="8"/>
  <c r="E213" i="8"/>
  <c r="C213" i="8"/>
  <c r="H212" i="8"/>
  <c r="F212" i="8"/>
  <c r="E212" i="8"/>
  <c r="C212" i="8"/>
  <c r="G212" i="8" s="1"/>
  <c r="H211" i="8"/>
  <c r="F211" i="8"/>
  <c r="E211" i="8"/>
  <c r="C211" i="8"/>
  <c r="I211" i="8" s="1"/>
  <c r="H210" i="8"/>
  <c r="F210" i="8"/>
  <c r="E210" i="8"/>
  <c r="C210" i="8"/>
  <c r="H209" i="8"/>
  <c r="F209" i="8"/>
  <c r="E209" i="8"/>
  <c r="C209" i="8"/>
  <c r="H208" i="8"/>
  <c r="F208" i="8"/>
  <c r="E208" i="8"/>
  <c r="C208" i="8"/>
  <c r="H207" i="8"/>
  <c r="F207" i="8"/>
  <c r="E207" i="8"/>
  <c r="C207" i="8"/>
  <c r="H206" i="8"/>
  <c r="F206" i="8"/>
  <c r="E206" i="8"/>
  <c r="C206" i="8"/>
  <c r="G206" i="8" s="1"/>
  <c r="H205" i="8"/>
  <c r="F205" i="8"/>
  <c r="E205" i="8"/>
  <c r="C205" i="8"/>
  <c r="H204" i="8"/>
  <c r="F204" i="8"/>
  <c r="E204" i="8"/>
  <c r="C204" i="8"/>
  <c r="G204" i="8" s="1"/>
  <c r="H203" i="8"/>
  <c r="F203" i="8"/>
  <c r="E203" i="8"/>
  <c r="C203" i="8"/>
  <c r="I203" i="8" s="1"/>
  <c r="H202" i="8"/>
  <c r="F202" i="8"/>
  <c r="E202" i="8"/>
  <c r="C202" i="8"/>
  <c r="G202" i="8" s="1"/>
  <c r="H201" i="8"/>
  <c r="F201" i="8"/>
  <c r="E201" i="8"/>
  <c r="C201" i="8"/>
  <c r="H200" i="8"/>
  <c r="F200" i="8"/>
  <c r="E200" i="8"/>
  <c r="C200" i="8"/>
  <c r="H199" i="8"/>
  <c r="F199" i="8"/>
  <c r="E199" i="8"/>
  <c r="C199" i="8"/>
  <c r="G199" i="8" s="1"/>
  <c r="H198" i="8"/>
  <c r="F198" i="8"/>
  <c r="E198" i="8"/>
  <c r="C198" i="8"/>
  <c r="H197" i="8"/>
  <c r="F197" i="8"/>
  <c r="E197" i="8"/>
  <c r="C197" i="8"/>
  <c r="G197" i="8" s="1"/>
  <c r="H196" i="8"/>
  <c r="F196" i="8"/>
  <c r="E196" i="8"/>
  <c r="C196" i="8"/>
  <c r="H195" i="8"/>
  <c r="F195" i="8"/>
  <c r="E195" i="8"/>
  <c r="C195" i="8"/>
  <c r="I195" i="8" s="1"/>
  <c r="H194" i="8"/>
  <c r="F194" i="8"/>
  <c r="E194" i="8"/>
  <c r="C194" i="8"/>
  <c r="G194" i="8" s="1"/>
  <c r="H193" i="8"/>
  <c r="F193" i="8"/>
  <c r="E193" i="8"/>
  <c r="C193" i="8"/>
  <c r="G193" i="8" s="1"/>
  <c r="H192" i="8"/>
  <c r="F192" i="8"/>
  <c r="E192" i="8"/>
  <c r="C192" i="8"/>
  <c r="H191" i="8"/>
  <c r="F191" i="8"/>
  <c r="E191" i="8"/>
  <c r="C191" i="8"/>
  <c r="H190" i="8"/>
  <c r="F190" i="8"/>
  <c r="E190" i="8"/>
  <c r="C190" i="8"/>
  <c r="H189" i="8"/>
  <c r="F189" i="8"/>
  <c r="E189" i="8"/>
  <c r="C189" i="8"/>
  <c r="H188" i="8"/>
  <c r="F188" i="8"/>
  <c r="E188" i="8"/>
  <c r="C188" i="8"/>
  <c r="G188" i="8" s="1"/>
  <c r="H187" i="8"/>
  <c r="F187" i="8"/>
  <c r="E187" i="8"/>
  <c r="C187" i="8"/>
  <c r="I187" i="8" s="1"/>
  <c r="H186" i="8"/>
  <c r="F186" i="8"/>
  <c r="E186" i="8"/>
  <c r="C186" i="8"/>
  <c r="H185" i="8"/>
  <c r="F185" i="8"/>
  <c r="E185" i="8"/>
  <c r="C185" i="8"/>
  <c r="G185" i="8" s="1"/>
  <c r="H184" i="8"/>
  <c r="F184" i="8"/>
  <c r="E184" i="8"/>
  <c r="C184" i="8"/>
  <c r="H183" i="8"/>
  <c r="F183" i="8"/>
  <c r="E183" i="8"/>
  <c r="C183" i="8"/>
  <c r="I183" i="8" s="1"/>
  <c r="H182" i="8"/>
  <c r="F182" i="8"/>
  <c r="E182" i="8"/>
  <c r="C182" i="8"/>
  <c r="G182" i="8" s="1"/>
  <c r="H181" i="8"/>
  <c r="F181" i="8"/>
  <c r="E181" i="8"/>
  <c r="C181" i="8"/>
  <c r="G181" i="8" s="1"/>
  <c r="H180" i="8"/>
  <c r="F180" i="8"/>
  <c r="E180" i="8"/>
  <c r="C180" i="8"/>
  <c r="H179" i="8"/>
  <c r="F179" i="8"/>
  <c r="E179" i="8"/>
  <c r="C179" i="8"/>
  <c r="I179" i="8" s="1"/>
  <c r="H178" i="8"/>
  <c r="F178" i="8"/>
  <c r="E178" i="8"/>
  <c r="C178" i="8"/>
  <c r="G178" i="8" s="1"/>
  <c r="H177" i="8"/>
  <c r="F177" i="8"/>
  <c r="E177" i="8"/>
  <c r="C177" i="8"/>
  <c r="H176" i="8"/>
  <c r="F176" i="8"/>
  <c r="E176" i="8"/>
  <c r="C176" i="8"/>
  <c r="G176" i="8" s="1"/>
  <c r="H175" i="8"/>
  <c r="F175" i="8"/>
  <c r="E175" i="8"/>
  <c r="C175" i="8"/>
  <c r="H174" i="8"/>
  <c r="F174" i="8"/>
  <c r="E174" i="8"/>
  <c r="C174" i="8"/>
  <c r="H173" i="8"/>
  <c r="F173" i="8"/>
  <c r="E173" i="8"/>
  <c r="C173" i="8"/>
  <c r="H172" i="8"/>
  <c r="F172" i="8"/>
  <c r="E172" i="8"/>
  <c r="C172" i="8"/>
  <c r="H171" i="8"/>
  <c r="F171" i="8"/>
  <c r="E171" i="8"/>
  <c r="C171" i="8"/>
  <c r="I171" i="8" s="1"/>
  <c r="H170" i="8"/>
  <c r="F170" i="8"/>
  <c r="E170" i="8"/>
  <c r="C170" i="8"/>
  <c r="G170" i="8" s="1"/>
  <c r="H169" i="8"/>
  <c r="F169" i="8"/>
  <c r="E169" i="8"/>
  <c r="C169" i="8"/>
  <c r="H168" i="8"/>
  <c r="F168" i="8"/>
  <c r="E168" i="8"/>
  <c r="C168" i="8"/>
  <c r="G168" i="8" s="1"/>
  <c r="H167" i="8"/>
  <c r="F167" i="8"/>
  <c r="E167" i="8"/>
  <c r="C167" i="8"/>
  <c r="I167" i="8" s="1"/>
  <c r="H166" i="8"/>
  <c r="F166" i="8"/>
  <c r="E166" i="8"/>
  <c r="C166" i="8"/>
  <c r="I166" i="8" s="1"/>
  <c r="H165" i="8"/>
  <c r="F165" i="8"/>
  <c r="E165" i="8"/>
  <c r="C165" i="8"/>
  <c r="H164" i="8"/>
  <c r="F164" i="8"/>
  <c r="E164" i="8"/>
  <c r="C164" i="8"/>
  <c r="H163" i="8"/>
  <c r="F163" i="8"/>
  <c r="E163" i="8"/>
  <c r="C163" i="8"/>
  <c r="I163" i="8" s="1"/>
  <c r="H162" i="8"/>
  <c r="F162" i="8"/>
  <c r="E162" i="8"/>
  <c r="C162" i="8"/>
  <c r="H161" i="8"/>
  <c r="F161" i="8"/>
  <c r="E161" i="8"/>
  <c r="C161" i="8"/>
  <c r="G161" i="8" s="1"/>
  <c r="H160" i="8"/>
  <c r="F160" i="8"/>
  <c r="E160" i="8"/>
  <c r="C160" i="8"/>
  <c r="G160" i="8" s="1"/>
  <c r="H159" i="8"/>
  <c r="F159" i="8"/>
  <c r="E159" i="8"/>
  <c r="C159" i="8"/>
  <c r="H158" i="8"/>
  <c r="F158" i="8"/>
  <c r="E158" i="8"/>
  <c r="C158" i="8"/>
  <c r="G158" i="8" s="1"/>
  <c r="H157" i="8"/>
  <c r="F157" i="8"/>
  <c r="E157" i="8"/>
  <c r="C157" i="8"/>
  <c r="G157" i="8" s="1"/>
  <c r="H156" i="8"/>
  <c r="F156" i="8"/>
  <c r="E156" i="8"/>
  <c r="C156" i="8"/>
  <c r="H155" i="8"/>
  <c r="F155" i="8"/>
  <c r="E155" i="8"/>
  <c r="C155" i="8"/>
  <c r="I155" i="8" s="1"/>
  <c r="H154" i="8"/>
  <c r="F154" i="8"/>
  <c r="E154" i="8"/>
  <c r="C154" i="8"/>
  <c r="I154" i="8" s="1"/>
  <c r="H153" i="8"/>
  <c r="F153" i="8"/>
  <c r="E153" i="8"/>
  <c r="C153" i="8"/>
  <c r="G153" i="8" s="1"/>
  <c r="H152" i="8"/>
  <c r="F152" i="8"/>
  <c r="E152" i="8"/>
  <c r="C152" i="8"/>
  <c r="G152" i="8" s="1"/>
  <c r="H151" i="8"/>
  <c r="F151" i="8"/>
  <c r="E151" i="8"/>
  <c r="C151" i="8"/>
  <c r="H150" i="8"/>
  <c r="F150" i="8"/>
  <c r="E150" i="8"/>
  <c r="C150" i="8"/>
  <c r="I150" i="8" s="1"/>
  <c r="H149" i="8"/>
  <c r="F149" i="8"/>
  <c r="E149" i="8"/>
  <c r="C149" i="8"/>
  <c r="G149" i="8" s="1"/>
  <c r="H148" i="8"/>
  <c r="F148" i="8"/>
  <c r="E148" i="8"/>
  <c r="C148" i="8"/>
  <c r="G148" i="8" s="1"/>
  <c r="H147" i="8"/>
  <c r="F147" i="8"/>
  <c r="E147" i="8"/>
  <c r="C147" i="8"/>
  <c r="H146" i="8"/>
  <c r="F146" i="8"/>
  <c r="E146" i="8"/>
  <c r="C146" i="8"/>
  <c r="G146" i="8" s="1"/>
  <c r="H145" i="8"/>
  <c r="F145" i="8"/>
  <c r="E145" i="8"/>
  <c r="C145" i="8"/>
  <c r="H144" i="8"/>
  <c r="F144" i="8"/>
  <c r="E144" i="8"/>
  <c r="C144" i="8"/>
  <c r="H143" i="8"/>
  <c r="F143" i="8"/>
  <c r="E143" i="8"/>
  <c r="C143" i="8"/>
  <c r="G143" i="8" s="1"/>
  <c r="H142" i="8"/>
  <c r="F142" i="8"/>
  <c r="E142" i="8"/>
  <c r="C142" i="8"/>
  <c r="H141" i="8"/>
  <c r="F141" i="8"/>
  <c r="E141" i="8"/>
  <c r="C141" i="8"/>
  <c r="H140" i="8"/>
  <c r="F140" i="8"/>
  <c r="E140" i="8"/>
  <c r="C140" i="8"/>
  <c r="G140" i="8" s="1"/>
  <c r="H139" i="8"/>
  <c r="F139" i="8"/>
  <c r="E139" i="8"/>
  <c r="C139" i="8"/>
  <c r="H138" i="8"/>
  <c r="F138" i="8"/>
  <c r="E138" i="8"/>
  <c r="C138" i="8"/>
  <c r="H137" i="8"/>
  <c r="F137" i="8"/>
  <c r="E137" i="8"/>
  <c r="C137" i="8"/>
  <c r="H136" i="8"/>
  <c r="F136" i="8"/>
  <c r="E136" i="8"/>
  <c r="C136" i="8"/>
  <c r="G136" i="8" s="1"/>
  <c r="H135" i="8"/>
  <c r="F135" i="8"/>
  <c r="E135" i="8"/>
  <c r="C135" i="8"/>
  <c r="H134" i="8"/>
  <c r="F134" i="8"/>
  <c r="E134" i="8"/>
  <c r="C134" i="8"/>
  <c r="H133" i="8"/>
  <c r="F133" i="8"/>
  <c r="E133" i="8"/>
  <c r="C133" i="8"/>
  <c r="H132" i="8"/>
  <c r="F132" i="8"/>
  <c r="E132" i="8"/>
  <c r="C132" i="8"/>
  <c r="H131" i="8"/>
  <c r="F131" i="8"/>
  <c r="E131" i="8"/>
  <c r="C131" i="8"/>
  <c r="I131" i="8" s="1"/>
  <c r="H130" i="8"/>
  <c r="F130" i="8"/>
  <c r="E130" i="8"/>
  <c r="C130" i="8"/>
  <c r="H129" i="8"/>
  <c r="F129" i="8"/>
  <c r="E129" i="8"/>
  <c r="C129" i="8"/>
  <c r="H128" i="8"/>
  <c r="F128" i="8"/>
  <c r="E128" i="8"/>
  <c r="C128" i="8"/>
  <c r="G128" i="8" s="1"/>
  <c r="H127" i="8"/>
  <c r="F127" i="8"/>
  <c r="E127" i="8"/>
  <c r="C127" i="8"/>
  <c r="G127" i="8" s="1"/>
  <c r="H126" i="8"/>
  <c r="F126" i="8"/>
  <c r="E126" i="8"/>
  <c r="C126" i="8"/>
  <c r="H125" i="8"/>
  <c r="F125" i="8"/>
  <c r="E125" i="8"/>
  <c r="C125" i="8"/>
  <c r="H124" i="8"/>
  <c r="F124" i="8"/>
  <c r="E124" i="8"/>
  <c r="C124" i="8"/>
  <c r="H123" i="8"/>
  <c r="F123" i="8"/>
  <c r="E123" i="8"/>
  <c r="C123" i="8"/>
  <c r="H122" i="8"/>
  <c r="F122" i="8"/>
  <c r="E122" i="8"/>
  <c r="C122" i="8"/>
  <c r="G122" i="8" s="1"/>
  <c r="H121" i="8"/>
  <c r="F121" i="8"/>
  <c r="E121" i="8"/>
  <c r="C121" i="8"/>
  <c r="G121" i="8" s="1"/>
  <c r="H120" i="8"/>
  <c r="F120" i="8"/>
  <c r="E120" i="8"/>
  <c r="C120" i="8"/>
  <c r="G120" i="8" s="1"/>
  <c r="H119" i="8"/>
  <c r="F119" i="8"/>
  <c r="E119" i="8"/>
  <c r="C119" i="8"/>
  <c r="H118" i="8"/>
  <c r="F118" i="8"/>
  <c r="E118" i="8"/>
  <c r="C118" i="8"/>
  <c r="I118" i="8" s="1"/>
  <c r="H117" i="8"/>
  <c r="F117" i="8"/>
  <c r="E117" i="8"/>
  <c r="C117" i="8"/>
  <c r="H116" i="8"/>
  <c r="F116" i="8"/>
  <c r="E116" i="8"/>
  <c r="C116" i="8"/>
  <c r="G116" i="8" s="1"/>
  <c r="H115" i="8"/>
  <c r="F115" i="8"/>
  <c r="E115" i="8"/>
  <c r="C115" i="8"/>
  <c r="I115" i="8" s="1"/>
  <c r="H114" i="8"/>
  <c r="F114" i="8"/>
  <c r="E114" i="8"/>
  <c r="C114" i="8"/>
  <c r="H113" i="8"/>
  <c r="F113" i="8"/>
  <c r="E113" i="8"/>
  <c r="C113" i="8"/>
  <c r="H112" i="8"/>
  <c r="F112" i="8"/>
  <c r="E112" i="8"/>
  <c r="C112" i="8"/>
  <c r="G112" i="8" s="1"/>
  <c r="H111" i="8"/>
  <c r="F111" i="8"/>
  <c r="E111" i="8"/>
  <c r="C111" i="8"/>
  <c r="H110" i="8"/>
  <c r="F110" i="8"/>
  <c r="E110" i="8"/>
  <c r="C110" i="8"/>
  <c r="H109" i="8"/>
  <c r="F109" i="8"/>
  <c r="E109" i="8"/>
  <c r="C109" i="8"/>
  <c r="G109" i="8" s="1"/>
  <c r="H108" i="8"/>
  <c r="F108" i="8"/>
  <c r="E108" i="8"/>
  <c r="C108" i="8"/>
  <c r="H107" i="8"/>
  <c r="F107" i="8"/>
  <c r="E107" i="8"/>
  <c r="C107" i="8"/>
  <c r="G107" i="8" s="1"/>
  <c r="H106" i="8"/>
  <c r="F106" i="8"/>
  <c r="E106" i="8"/>
  <c r="C106" i="8"/>
  <c r="H105" i="8"/>
  <c r="F105" i="8"/>
  <c r="E105" i="8"/>
  <c r="C105" i="8"/>
  <c r="H104" i="8"/>
  <c r="F104" i="8"/>
  <c r="E104" i="8"/>
  <c r="C104" i="8"/>
  <c r="G104" i="8" s="1"/>
  <c r="H103" i="8"/>
  <c r="F103" i="8"/>
  <c r="E103" i="8"/>
  <c r="C103" i="8"/>
  <c r="G103" i="8" s="1"/>
  <c r="H102" i="8"/>
  <c r="F102" i="8"/>
  <c r="E102" i="8"/>
  <c r="C102" i="8"/>
  <c r="G102" i="8" s="1"/>
  <c r="H101" i="8"/>
  <c r="F101" i="8"/>
  <c r="E101" i="8"/>
  <c r="C101" i="8"/>
  <c r="H100" i="8"/>
  <c r="F100" i="8"/>
  <c r="E100" i="8"/>
  <c r="C100" i="8"/>
  <c r="H99" i="8"/>
  <c r="F99" i="8"/>
  <c r="E99" i="8"/>
  <c r="C99" i="8"/>
  <c r="G99" i="8" s="1"/>
  <c r="H98" i="8"/>
  <c r="F98" i="8"/>
  <c r="E98" i="8"/>
  <c r="C98" i="8"/>
  <c r="H97" i="8"/>
  <c r="F97" i="8"/>
  <c r="E97" i="8"/>
  <c r="C97" i="8"/>
  <c r="G97" i="8" s="1"/>
  <c r="H96" i="8"/>
  <c r="F96" i="8"/>
  <c r="E96" i="8"/>
  <c r="C96" i="8"/>
  <c r="G96" i="8" s="1"/>
  <c r="H95" i="8"/>
  <c r="F95" i="8"/>
  <c r="E95" i="8"/>
  <c r="C95" i="8"/>
  <c r="H94" i="8"/>
  <c r="F94" i="8"/>
  <c r="E94" i="8"/>
  <c r="C94" i="8"/>
  <c r="G94" i="8" s="1"/>
  <c r="H93" i="8"/>
  <c r="F93" i="8"/>
  <c r="E93" i="8"/>
  <c r="C93" i="8"/>
  <c r="H92" i="8"/>
  <c r="F92" i="8"/>
  <c r="E92" i="8"/>
  <c r="C92" i="8"/>
  <c r="G92" i="8" s="1"/>
  <c r="H91" i="8"/>
  <c r="F91" i="8"/>
  <c r="E91" i="8"/>
  <c r="C91" i="8"/>
  <c r="G91" i="8" s="1"/>
  <c r="H90" i="8"/>
  <c r="F90" i="8"/>
  <c r="E90" i="8"/>
  <c r="C90" i="8"/>
  <c r="G90" i="8" s="1"/>
  <c r="H89" i="8"/>
  <c r="F89" i="8"/>
  <c r="E89" i="8"/>
  <c r="C89" i="8"/>
  <c r="H88" i="8"/>
  <c r="F88" i="8"/>
  <c r="E88" i="8"/>
  <c r="C88" i="8"/>
  <c r="H87" i="8"/>
  <c r="F87" i="8"/>
  <c r="E87" i="8"/>
  <c r="C87" i="8"/>
  <c r="G87" i="8" s="1"/>
  <c r="H86" i="8"/>
  <c r="F86" i="8"/>
  <c r="E86" i="8"/>
  <c r="C86" i="8"/>
  <c r="I86" i="8" s="1"/>
  <c r="H85" i="8"/>
  <c r="F85" i="8"/>
  <c r="E85" i="8"/>
  <c r="C85" i="8"/>
  <c r="H84" i="8"/>
  <c r="F84" i="8"/>
  <c r="E84" i="8"/>
  <c r="C84" i="8"/>
  <c r="H83" i="8"/>
  <c r="F83" i="8"/>
  <c r="E83" i="8"/>
  <c r="C83" i="8"/>
  <c r="H82" i="8"/>
  <c r="F82" i="8"/>
  <c r="E82" i="8"/>
  <c r="C82" i="8"/>
  <c r="H81" i="8"/>
  <c r="F81" i="8"/>
  <c r="E81" i="8"/>
  <c r="C81" i="8"/>
  <c r="G81" i="8" s="1"/>
  <c r="H80" i="8"/>
  <c r="F80" i="8"/>
  <c r="E80" i="8"/>
  <c r="C80" i="8"/>
  <c r="H79" i="8"/>
  <c r="F79" i="8"/>
  <c r="E79" i="8"/>
  <c r="C79" i="8"/>
  <c r="G79" i="8" s="1"/>
  <c r="H78" i="8"/>
  <c r="F78" i="8"/>
  <c r="E78" i="8"/>
  <c r="C78" i="8"/>
  <c r="G78" i="8" s="1"/>
  <c r="H77" i="8"/>
  <c r="F77" i="8"/>
  <c r="E77" i="8"/>
  <c r="C77" i="8"/>
  <c r="G77" i="8" s="1"/>
  <c r="H76" i="8"/>
  <c r="F76" i="8"/>
  <c r="E76" i="8"/>
  <c r="C76" i="8"/>
  <c r="H75" i="8"/>
  <c r="F75" i="8"/>
  <c r="E75" i="8"/>
  <c r="C75" i="8"/>
  <c r="H74" i="8"/>
  <c r="F74" i="8"/>
  <c r="E74" i="8"/>
  <c r="C74" i="8"/>
  <c r="H73" i="8"/>
  <c r="F73" i="8"/>
  <c r="E73" i="8"/>
  <c r="C73" i="8"/>
  <c r="H72" i="8"/>
  <c r="F72" i="8"/>
  <c r="E72" i="8"/>
  <c r="C72" i="8"/>
  <c r="H71" i="8"/>
  <c r="F71" i="8"/>
  <c r="E71" i="8"/>
  <c r="C71" i="8"/>
  <c r="H70" i="8"/>
  <c r="F70" i="8"/>
  <c r="E70" i="8"/>
  <c r="C70" i="8"/>
  <c r="H69" i="8"/>
  <c r="F69" i="8"/>
  <c r="E69" i="8"/>
  <c r="C69" i="8"/>
  <c r="G69" i="8" s="1"/>
  <c r="H68" i="8"/>
  <c r="F68" i="8"/>
  <c r="E68" i="8"/>
  <c r="C68" i="8"/>
  <c r="G68" i="8" s="1"/>
  <c r="H67" i="8"/>
  <c r="F67" i="8"/>
  <c r="E67" i="8"/>
  <c r="C67" i="8"/>
  <c r="G67" i="8" s="1"/>
  <c r="H66" i="8"/>
  <c r="F66" i="8"/>
  <c r="E66" i="8"/>
  <c r="C66" i="8"/>
  <c r="H65" i="8"/>
  <c r="F65" i="8"/>
  <c r="E65" i="8"/>
  <c r="C65" i="8"/>
  <c r="G65" i="8" s="1"/>
  <c r="H64" i="8"/>
  <c r="F64" i="8"/>
  <c r="E64" i="8"/>
  <c r="C64" i="8"/>
  <c r="G64" i="8" s="1"/>
  <c r="H63" i="8"/>
  <c r="F63" i="8"/>
  <c r="E63" i="8"/>
  <c r="C63" i="8"/>
  <c r="H62" i="8"/>
  <c r="F62" i="8"/>
  <c r="E62" i="8"/>
  <c r="C62" i="8"/>
  <c r="H61" i="8"/>
  <c r="F61" i="8"/>
  <c r="E61" i="8"/>
  <c r="C61" i="8"/>
  <c r="H60" i="8"/>
  <c r="F60" i="8"/>
  <c r="E60" i="8"/>
  <c r="C60" i="8"/>
  <c r="G60" i="8" s="1"/>
  <c r="H59" i="8"/>
  <c r="F59" i="8"/>
  <c r="E59" i="8"/>
  <c r="C59" i="8"/>
  <c r="H58" i="8"/>
  <c r="F58" i="8"/>
  <c r="E58" i="8"/>
  <c r="C58" i="8"/>
  <c r="I58" i="8" s="1"/>
  <c r="H57" i="8"/>
  <c r="F57" i="8"/>
  <c r="E57" i="8"/>
  <c r="C57" i="8"/>
  <c r="G57" i="8" s="1"/>
  <c r="H56" i="8"/>
  <c r="F56" i="8"/>
  <c r="E56" i="8"/>
  <c r="C56" i="8"/>
  <c r="H55" i="8"/>
  <c r="F55" i="8"/>
  <c r="E55" i="8"/>
  <c r="C55" i="8"/>
  <c r="H54" i="8"/>
  <c r="F54" i="8"/>
  <c r="E54" i="8"/>
  <c r="C54" i="8"/>
  <c r="I54" i="8" s="1"/>
  <c r="H53" i="8"/>
  <c r="F53" i="8"/>
  <c r="E53" i="8"/>
  <c r="C53" i="8"/>
  <c r="H52" i="8"/>
  <c r="F52" i="8"/>
  <c r="E52" i="8"/>
  <c r="C52" i="8"/>
  <c r="G52" i="8" s="1"/>
  <c r="H51" i="8"/>
  <c r="F51" i="8"/>
  <c r="E51" i="8"/>
  <c r="C51" i="8"/>
  <c r="H50" i="8"/>
  <c r="F50" i="8"/>
  <c r="E50" i="8"/>
  <c r="C50" i="8"/>
  <c r="H49" i="8"/>
  <c r="F49" i="8"/>
  <c r="E49" i="8"/>
  <c r="C49" i="8"/>
  <c r="H48" i="8"/>
  <c r="F48" i="8"/>
  <c r="E48" i="8"/>
  <c r="C48" i="8"/>
  <c r="H47" i="8"/>
  <c r="F47" i="8"/>
  <c r="E47" i="8"/>
  <c r="C47" i="8"/>
  <c r="G47" i="8" s="1"/>
  <c r="H46" i="8"/>
  <c r="F46" i="8"/>
  <c r="E46" i="8"/>
  <c r="C46" i="8"/>
  <c r="G46" i="8" s="1"/>
  <c r="H45" i="8"/>
  <c r="F45" i="8"/>
  <c r="E45" i="8"/>
  <c r="C45" i="8"/>
  <c r="H44" i="8"/>
  <c r="F44" i="8"/>
  <c r="E44" i="8"/>
  <c r="C44" i="8"/>
  <c r="H43" i="8"/>
  <c r="F43" i="8"/>
  <c r="E43" i="8"/>
  <c r="C43" i="8"/>
  <c r="G43" i="8" s="1"/>
  <c r="H42" i="8"/>
  <c r="F42" i="8"/>
  <c r="E42" i="8"/>
  <c r="C42" i="8"/>
  <c r="G42" i="8" s="1"/>
  <c r="H41" i="8"/>
  <c r="F41" i="8"/>
  <c r="E41" i="8"/>
  <c r="C41" i="8"/>
  <c r="G41" i="8" s="1"/>
  <c r="H40" i="8"/>
  <c r="F40" i="8"/>
  <c r="E40" i="8"/>
  <c r="C40" i="8"/>
  <c r="H39" i="8"/>
  <c r="F39" i="8"/>
  <c r="E39" i="8"/>
  <c r="C39" i="8"/>
  <c r="H38" i="8"/>
  <c r="F38" i="8"/>
  <c r="E38" i="8"/>
  <c r="C38" i="8"/>
  <c r="H37" i="8"/>
  <c r="F37" i="8"/>
  <c r="E37" i="8"/>
  <c r="C37" i="8"/>
  <c r="G37" i="8" s="1"/>
  <c r="H36" i="8"/>
  <c r="F36" i="8"/>
  <c r="E36" i="8"/>
  <c r="C36" i="8"/>
  <c r="H35" i="8"/>
  <c r="F35" i="8"/>
  <c r="E35" i="8"/>
  <c r="C35" i="8"/>
  <c r="G35" i="8" s="1"/>
  <c r="H34" i="8"/>
  <c r="F34" i="8"/>
  <c r="E34" i="8"/>
  <c r="C34" i="8"/>
  <c r="G34" i="8" s="1"/>
  <c r="H33" i="8"/>
  <c r="F33" i="8"/>
  <c r="E33" i="8"/>
  <c r="C33" i="8"/>
  <c r="H32" i="8"/>
  <c r="F32" i="8"/>
  <c r="E32" i="8"/>
  <c r="C32" i="8"/>
  <c r="G32" i="8" s="1"/>
  <c r="H31" i="8"/>
  <c r="F31" i="8"/>
  <c r="E31" i="8"/>
  <c r="C31" i="8"/>
  <c r="G31" i="8" s="1"/>
  <c r="H30" i="8"/>
  <c r="F30" i="8"/>
  <c r="E30" i="8"/>
  <c r="C30" i="8"/>
  <c r="H29" i="8"/>
  <c r="F29" i="8"/>
  <c r="E29" i="8"/>
  <c r="C29" i="8"/>
  <c r="G29" i="8" s="1"/>
  <c r="H28" i="8"/>
  <c r="F28" i="8"/>
  <c r="E28" i="8"/>
  <c r="C28" i="8"/>
  <c r="H27" i="8"/>
  <c r="F27" i="8"/>
  <c r="E27" i="8"/>
  <c r="C27" i="8"/>
  <c r="H26" i="8"/>
  <c r="F26" i="8"/>
  <c r="E26" i="8"/>
  <c r="C26" i="8"/>
  <c r="H25" i="8"/>
  <c r="F25" i="8"/>
  <c r="E25" i="8"/>
  <c r="C25" i="8"/>
  <c r="H24" i="8"/>
  <c r="F24" i="8"/>
  <c r="E24" i="8"/>
  <c r="C24" i="8"/>
  <c r="G24" i="8" s="1"/>
  <c r="H23" i="8"/>
  <c r="F23" i="8"/>
  <c r="E23" i="8"/>
  <c r="C23" i="8"/>
  <c r="G23" i="8" s="1"/>
  <c r="H22" i="8"/>
  <c r="F22" i="8"/>
  <c r="E22" i="8"/>
  <c r="C22" i="8"/>
  <c r="H21" i="8"/>
  <c r="F21" i="8"/>
  <c r="E21" i="8"/>
  <c r="C21" i="8"/>
  <c r="H20" i="8"/>
  <c r="F20" i="8"/>
  <c r="E20" i="8"/>
  <c r="C20" i="8"/>
  <c r="H19" i="8"/>
  <c r="F19" i="8"/>
  <c r="E19" i="8"/>
  <c r="C19" i="8"/>
  <c r="I19" i="8" s="1"/>
  <c r="H18" i="8"/>
  <c r="F18" i="8"/>
  <c r="E18" i="8"/>
  <c r="C18" i="8"/>
  <c r="G18" i="8" s="1"/>
  <c r="H17" i="8"/>
  <c r="F17" i="8"/>
  <c r="E17" i="8"/>
  <c r="C17" i="8"/>
  <c r="G17" i="8" s="1"/>
  <c r="H16" i="8"/>
  <c r="F16" i="8"/>
  <c r="E16" i="8"/>
  <c r="C16" i="8"/>
  <c r="H15" i="8"/>
  <c r="F15" i="8"/>
  <c r="E15" i="8"/>
  <c r="C15" i="8"/>
  <c r="G15" i="8" s="1"/>
  <c r="H14" i="8"/>
  <c r="F14" i="8"/>
  <c r="E14" i="8"/>
  <c r="C14" i="8"/>
  <c r="H13" i="8"/>
  <c r="F13" i="8"/>
  <c r="E13" i="8"/>
  <c r="C13" i="8"/>
  <c r="H12" i="8"/>
  <c r="F12" i="8"/>
  <c r="E12" i="8"/>
  <c r="C12" i="8"/>
  <c r="G12" i="8" s="1"/>
  <c r="H11" i="8"/>
  <c r="F11" i="8"/>
  <c r="E11" i="8"/>
  <c r="C11" i="8"/>
  <c r="H10" i="8"/>
  <c r="F10" i="8"/>
  <c r="E10" i="8"/>
  <c r="C10" i="8"/>
  <c r="H9" i="8"/>
  <c r="F9" i="8"/>
  <c r="E9" i="8"/>
  <c r="C9" i="8"/>
  <c r="G9" i="8" s="1"/>
  <c r="H8" i="8"/>
  <c r="F8" i="8"/>
  <c r="E8" i="8"/>
  <c r="C8" i="8"/>
  <c r="G8" i="8" s="1"/>
  <c r="H7" i="8"/>
  <c r="F7" i="8"/>
  <c r="E7" i="8"/>
  <c r="C7" i="8"/>
  <c r="H6" i="8"/>
  <c r="F6" i="8"/>
  <c r="E6" i="8"/>
  <c r="C6" i="8"/>
  <c r="C41" i="7"/>
  <c r="C40" i="7"/>
  <c r="C39" i="7"/>
  <c r="C38" i="7"/>
  <c r="F38" i="7" s="1"/>
  <c r="C37" i="7"/>
  <c r="D37" i="7" s="1"/>
  <c r="C36" i="7"/>
  <c r="F36" i="7" s="1"/>
  <c r="C35" i="7"/>
  <c r="F35" i="7" s="1"/>
  <c r="C34" i="7"/>
  <c r="E34" i="7" s="1"/>
  <c r="C33" i="7"/>
  <c r="D33" i="7" s="1"/>
  <c r="C32" i="7"/>
  <c r="F32" i="7" s="1"/>
  <c r="C31" i="7"/>
  <c r="C30" i="7"/>
  <c r="D30" i="7" s="1"/>
  <c r="C29" i="7"/>
  <c r="D29" i="7" s="1"/>
  <c r="C28" i="7"/>
  <c r="F28" i="7" s="1"/>
  <c r="C27" i="7"/>
  <c r="D27" i="7" s="1"/>
  <c r="C26" i="7"/>
  <c r="F26" i="7" s="1"/>
  <c r="C25" i="7"/>
  <c r="E25" i="7" s="1"/>
  <c r="C24" i="7"/>
  <c r="F24" i="7" s="1"/>
  <c r="C23" i="7"/>
  <c r="C22" i="7"/>
  <c r="E22" i="7" s="1"/>
  <c r="C21" i="7"/>
  <c r="D21" i="7" s="1"/>
  <c r="C20" i="7"/>
  <c r="C19" i="7"/>
  <c r="C18" i="7"/>
  <c r="E18" i="7" s="1"/>
  <c r="C17" i="7"/>
  <c r="C16" i="7"/>
  <c r="E16" i="7" s="1"/>
  <c r="C15" i="7"/>
  <c r="C14" i="7"/>
  <c r="E14" i="7" s="1"/>
  <c r="C13" i="7"/>
  <c r="C12" i="7"/>
  <c r="E12" i="7" s="1"/>
  <c r="C11" i="7"/>
  <c r="C10" i="7"/>
  <c r="E10" i="7" s="1"/>
  <c r="C9" i="7"/>
  <c r="C8" i="7"/>
  <c r="E8" i="7" s="1"/>
  <c r="C7" i="7"/>
  <c r="C6" i="7"/>
  <c r="E6" i="7" s="1"/>
  <c r="H17" i="6"/>
  <c r="F17" i="6"/>
  <c r="G17" i="6" s="1"/>
  <c r="H16" i="6"/>
  <c r="F16" i="6"/>
  <c r="G16" i="6" s="1"/>
  <c r="H15" i="6"/>
  <c r="F15" i="6"/>
  <c r="G15" i="6" s="1"/>
  <c r="H14" i="6"/>
  <c r="F14" i="6"/>
  <c r="G14" i="6" s="1"/>
  <c r="H13" i="6"/>
  <c r="F13" i="6"/>
  <c r="G13" i="6" s="1"/>
  <c r="H12" i="6"/>
  <c r="F12" i="6"/>
  <c r="G12" i="6" s="1"/>
  <c r="H11" i="6"/>
  <c r="F11" i="6"/>
  <c r="G11" i="6" s="1"/>
  <c r="H10" i="6"/>
  <c r="F10" i="6"/>
  <c r="G10" i="6" s="1"/>
  <c r="H9" i="6"/>
  <c r="F9" i="6"/>
  <c r="G9" i="6" s="1"/>
  <c r="H8" i="6"/>
  <c r="F8" i="6"/>
  <c r="H7" i="6"/>
  <c r="F7" i="6"/>
  <c r="G7" i="6" s="1"/>
  <c r="H6" i="6"/>
  <c r="F6" i="6"/>
  <c r="E25" i="5"/>
  <c r="H25" i="5" s="1"/>
  <c r="I25" i="5" s="1"/>
  <c r="B25" i="16" s="1"/>
  <c r="C25" i="5"/>
  <c r="D25" i="5" s="1"/>
  <c r="B25" i="5"/>
  <c r="E24" i="5"/>
  <c r="H24" i="5" s="1"/>
  <c r="I24" i="5" s="1"/>
  <c r="B24" i="16" s="1"/>
  <c r="C24" i="5"/>
  <c r="D24" i="5" s="1"/>
  <c r="B24" i="5"/>
  <c r="E23" i="5"/>
  <c r="H23" i="5" s="1"/>
  <c r="I23" i="5" s="1"/>
  <c r="B23" i="16" s="1"/>
  <c r="D23" i="5"/>
  <c r="C23" i="5"/>
  <c r="B23" i="5"/>
  <c r="E22" i="5"/>
  <c r="D22" i="5"/>
  <c r="C22" i="5"/>
  <c r="B22" i="5"/>
  <c r="E21" i="5"/>
  <c r="H21" i="5" s="1"/>
  <c r="I21" i="5" s="1"/>
  <c r="B21" i="16" s="1"/>
  <c r="D21" i="5"/>
  <c r="C21" i="5"/>
  <c r="B21" i="5"/>
  <c r="E20" i="5"/>
  <c r="D20" i="5"/>
  <c r="C20" i="5"/>
  <c r="B20" i="5"/>
  <c r="E19" i="5"/>
  <c r="C19" i="5"/>
  <c r="D19" i="5" s="1"/>
  <c r="B19" i="5"/>
  <c r="E18" i="5"/>
  <c r="H18" i="5" s="1"/>
  <c r="I18" i="5" s="1"/>
  <c r="B18" i="16" s="1"/>
  <c r="C18" i="5"/>
  <c r="D18" i="5" s="1"/>
  <c r="B18" i="5"/>
  <c r="E17" i="5"/>
  <c r="D17" i="5"/>
  <c r="C17" i="5"/>
  <c r="B17" i="5"/>
  <c r="E16" i="5"/>
  <c r="C16" i="5"/>
  <c r="D16" i="5" s="1"/>
  <c r="B16" i="5"/>
  <c r="E15" i="5"/>
  <c r="H15" i="5" s="1"/>
  <c r="I15" i="5" s="1"/>
  <c r="B15" i="16" s="1"/>
  <c r="D15" i="5"/>
  <c r="C15" i="5"/>
  <c r="B15" i="5"/>
  <c r="E14" i="5"/>
  <c r="H14" i="5" s="1"/>
  <c r="I14" i="5" s="1"/>
  <c r="B14" i="16" s="1"/>
  <c r="D14" i="5"/>
  <c r="C14" i="5"/>
  <c r="B14" i="5"/>
  <c r="E13" i="5"/>
  <c r="G13" i="5" s="1"/>
  <c r="C13" i="5"/>
  <c r="D13" i="5" s="1"/>
  <c r="B13" i="5"/>
  <c r="E12" i="5"/>
  <c r="H12" i="5" s="1"/>
  <c r="I12" i="5" s="1"/>
  <c r="B12" i="16" s="1"/>
  <c r="C12" i="5"/>
  <c r="D12" i="5" s="1"/>
  <c r="B12" i="5"/>
  <c r="E11" i="5"/>
  <c r="C11" i="5"/>
  <c r="D11" i="5" s="1"/>
  <c r="B11" i="5"/>
  <c r="E10" i="5"/>
  <c r="C10" i="5"/>
  <c r="D10" i="5" s="1"/>
  <c r="B10" i="5"/>
  <c r="E9" i="5"/>
  <c r="H9" i="5" s="1"/>
  <c r="I9" i="5" s="1"/>
  <c r="B9" i="16" s="1"/>
  <c r="D9" i="5"/>
  <c r="C9" i="5"/>
  <c r="B9" i="5"/>
  <c r="E8" i="5"/>
  <c r="G8" i="5" s="1"/>
  <c r="C8" i="5"/>
  <c r="D8" i="5" s="1"/>
  <c r="B8" i="5"/>
  <c r="E7" i="5"/>
  <c r="G7" i="5" s="1"/>
  <c r="C7" i="5"/>
  <c r="D7" i="5" s="1"/>
  <c r="B7" i="5"/>
  <c r="E6" i="5"/>
  <c r="H6" i="5" s="1"/>
  <c r="I6" i="5" s="1"/>
  <c r="B6" i="16" s="1"/>
  <c r="C6" i="5"/>
  <c r="D6" i="5" s="1"/>
  <c r="B6" i="5"/>
  <c r="A25" i="4"/>
  <c r="D25" i="4" s="1"/>
  <c r="A24" i="4"/>
  <c r="D24" i="4" s="1"/>
  <c r="A23" i="4"/>
  <c r="D23" i="4" s="1"/>
  <c r="A22" i="4"/>
  <c r="D22" i="4" s="1"/>
  <c r="A21" i="4"/>
  <c r="D21" i="4" s="1"/>
  <c r="A20" i="4"/>
  <c r="D20" i="4" s="1"/>
  <c r="A19" i="4"/>
  <c r="D19" i="4" s="1"/>
  <c r="A18" i="4"/>
  <c r="D18" i="4" s="1"/>
  <c r="A17" i="4"/>
  <c r="D17" i="4" s="1"/>
  <c r="A16" i="4"/>
  <c r="D16" i="4" s="1"/>
  <c r="A15" i="4"/>
  <c r="D15" i="4" s="1"/>
  <c r="A14" i="4"/>
  <c r="D14" i="4" s="1"/>
  <c r="A13" i="4"/>
  <c r="D13" i="4" s="1"/>
  <c r="A12" i="4"/>
  <c r="D12" i="4" s="1"/>
  <c r="A11" i="4"/>
  <c r="D11" i="4" s="1"/>
  <c r="A10" i="4"/>
  <c r="D10" i="4" s="1"/>
  <c r="A9" i="4"/>
  <c r="D9" i="4" s="1"/>
  <c r="A8" i="4"/>
  <c r="D8" i="4" s="1"/>
  <c r="A7" i="4"/>
  <c r="D7" i="4" s="1"/>
  <c r="A6" i="4"/>
  <c r="D6" i="4" s="1"/>
  <c r="M25" i="2"/>
  <c r="L25" i="2"/>
  <c r="I25" i="2"/>
  <c r="D25" i="17" s="1"/>
  <c r="F25" i="2"/>
  <c r="E25" i="2"/>
  <c r="D25" i="2"/>
  <c r="C25" i="2"/>
  <c r="B25" i="2"/>
  <c r="B25" i="17" s="1"/>
  <c r="M24" i="2"/>
  <c r="L24" i="2"/>
  <c r="G24" i="17" s="1"/>
  <c r="J24" i="17" s="1"/>
  <c r="I24" i="2"/>
  <c r="D24" i="17" s="1"/>
  <c r="F24" i="2"/>
  <c r="E24" i="2"/>
  <c r="D24" i="2"/>
  <c r="C24" i="17" s="1"/>
  <c r="C24" i="2"/>
  <c r="B24" i="2"/>
  <c r="B24" i="17" s="1"/>
  <c r="M23" i="2"/>
  <c r="L23" i="2"/>
  <c r="I23" i="2"/>
  <c r="D23" i="17" s="1"/>
  <c r="F23" i="2"/>
  <c r="E23" i="2"/>
  <c r="D23" i="2"/>
  <c r="C23" i="17" s="1"/>
  <c r="C23" i="2"/>
  <c r="B23" i="2"/>
  <c r="M22" i="2"/>
  <c r="L22" i="2"/>
  <c r="I22" i="2"/>
  <c r="D22" i="17" s="1"/>
  <c r="F22" i="2"/>
  <c r="E22" i="2"/>
  <c r="D22" i="2"/>
  <c r="C22" i="17" s="1"/>
  <c r="C22" i="2"/>
  <c r="B22" i="2"/>
  <c r="B22" i="17" s="1"/>
  <c r="M21" i="2"/>
  <c r="L21" i="2"/>
  <c r="I21" i="2"/>
  <c r="D21" i="17" s="1"/>
  <c r="F21" i="2"/>
  <c r="E21" i="2"/>
  <c r="D21" i="2"/>
  <c r="C21" i="17" s="1"/>
  <c r="C21" i="2"/>
  <c r="B21" i="2"/>
  <c r="B21" i="17" s="1"/>
  <c r="M20" i="2"/>
  <c r="L20" i="2"/>
  <c r="I20" i="2"/>
  <c r="D20" i="17" s="1"/>
  <c r="F20" i="2"/>
  <c r="E20" i="2"/>
  <c r="D20" i="2"/>
  <c r="C20" i="17" s="1"/>
  <c r="C20" i="2"/>
  <c r="B20" i="2"/>
  <c r="B20" i="17" s="1"/>
  <c r="M19" i="2"/>
  <c r="L19" i="2"/>
  <c r="I19" i="2"/>
  <c r="D19" i="17" s="1"/>
  <c r="F19" i="2"/>
  <c r="E19" i="2"/>
  <c r="D19" i="2"/>
  <c r="C19" i="17" s="1"/>
  <c r="C19" i="2"/>
  <c r="B19" i="2"/>
  <c r="B19" i="17" s="1"/>
  <c r="M18" i="2"/>
  <c r="L18" i="2"/>
  <c r="I18" i="2"/>
  <c r="D18" i="17" s="1"/>
  <c r="F18" i="2"/>
  <c r="E18" i="2"/>
  <c r="D18" i="2"/>
  <c r="C18" i="17" s="1"/>
  <c r="C18" i="2"/>
  <c r="B18" i="2"/>
  <c r="B18" i="17" s="1"/>
  <c r="M17" i="2"/>
  <c r="L17" i="2"/>
  <c r="I17" i="2"/>
  <c r="D17" i="17" s="1"/>
  <c r="F17" i="2"/>
  <c r="E17" i="2"/>
  <c r="D17" i="2"/>
  <c r="C17" i="17" s="1"/>
  <c r="C17" i="2"/>
  <c r="B17" i="2"/>
  <c r="B17" i="17" s="1"/>
  <c r="M16" i="2"/>
  <c r="L16" i="2"/>
  <c r="I16" i="2"/>
  <c r="D16" i="17" s="1"/>
  <c r="F16" i="2"/>
  <c r="E16" i="2"/>
  <c r="D16" i="2"/>
  <c r="C16" i="2"/>
  <c r="B16" i="2"/>
  <c r="B16" i="17" s="1"/>
  <c r="M15" i="2"/>
  <c r="L15" i="2"/>
  <c r="I15" i="2"/>
  <c r="D15" i="17" s="1"/>
  <c r="F15" i="2"/>
  <c r="E15" i="2"/>
  <c r="D15" i="2"/>
  <c r="C15" i="17" s="1"/>
  <c r="C15" i="2"/>
  <c r="B15" i="2"/>
  <c r="B15" i="17" s="1"/>
  <c r="M14" i="2"/>
  <c r="L14" i="2"/>
  <c r="I14" i="2"/>
  <c r="D14" i="17" s="1"/>
  <c r="F14" i="2"/>
  <c r="E14" i="2"/>
  <c r="D14" i="2"/>
  <c r="C14" i="17" s="1"/>
  <c r="C14" i="2"/>
  <c r="B14" i="2"/>
  <c r="M13" i="2"/>
  <c r="L13" i="2"/>
  <c r="I13" i="2"/>
  <c r="D13" i="17" s="1"/>
  <c r="F13" i="2"/>
  <c r="E13" i="2"/>
  <c r="D13" i="2"/>
  <c r="C13" i="17" s="1"/>
  <c r="C13" i="2"/>
  <c r="B13" i="2"/>
  <c r="B13" i="17" s="1"/>
  <c r="M12" i="2"/>
  <c r="L12" i="2"/>
  <c r="I12" i="2"/>
  <c r="D12" i="17" s="1"/>
  <c r="F12" i="2"/>
  <c r="E12" i="2"/>
  <c r="D12" i="2"/>
  <c r="C12" i="17" s="1"/>
  <c r="C12" i="2"/>
  <c r="B12" i="2"/>
  <c r="B12" i="17" s="1"/>
  <c r="M11" i="2"/>
  <c r="L11" i="2"/>
  <c r="I11" i="2"/>
  <c r="D11" i="17" s="1"/>
  <c r="F11" i="2"/>
  <c r="E11" i="2"/>
  <c r="D11" i="2"/>
  <c r="C11" i="17" s="1"/>
  <c r="C11" i="2"/>
  <c r="B11" i="2"/>
  <c r="B11" i="17" s="1"/>
  <c r="M10" i="2"/>
  <c r="L10" i="2"/>
  <c r="I10" i="2"/>
  <c r="D10" i="17" s="1"/>
  <c r="F10" i="2"/>
  <c r="E10" i="2"/>
  <c r="D10" i="2"/>
  <c r="C10" i="17" s="1"/>
  <c r="C10" i="2"/>
  <c r="B10" i="2"/>
  <c r="B10" i="17" s="1"/>
  <c r="M9" i="2"/>
  <c r="L9" i="2"/>
  <c r="I9" i="2"/>
  <c r="D9" i="17" s="1"/>
  <c r="F9" i="2"/>
  <c r="E9" i="2"/>
  <c r="D9" i="2"/>
  <c r="C9" i="17" s="1"/>
  <c r="C9" i="2"/>
  <c r="B9" i="2"/>
  <c r="B9" i="17" s="1"/>
  <c r="M8" i="2"/>
  <c r="L8" i="2"/>
  <c r="I8" i="2"/>
  <c r="D8" i="17" s="1"/>
  <c r="F8" i="2"/>
  <c r="E8" i="2"/>
  <c r="D8" i="2"/>
  <c r="C8" i="17" s="1"/>
  <c r="C8" i="2"/>
  <c r="B8" i="2"/>
  <c r="B8" i="17" s="1"/>
  <c r="M7" i="2"/>
  <c r="L7" i="2"/>
  <c r="I7" i="2"/>
  <c r="D7" i="17" s="1"/>
  <c r="F7" i="2"/>
  <c r="E7" i="2"/>
  <c r="D7" i="2"/>
  <c r="C7" i="2"/>
  <c r="B7" i="2"/>
  <c r="B7" i="17" s="1"/>
  <c r="M6" i="2"/>
  <c r="L6" i="2"/>
  <c r="I6" i="2"/>
  <c r="D6" i="17" s="1"/>
  <c r="F6" i="2"/>
  <c r="E6" i="2"/>
  <c r="D6" i="2"/>
  <c r="C6" i="4" s="1"/>
  <c r="C6" i="2"/>
  <c r="B6" i="2"/>
  <c r="B6" i="17" s="1"/>
  <c r="B7" i="1"/>
  <c r="J578" i="8" l="1"/>
  <c r="M578" i="8" s="1"/>
  <c r="I107" i="8"/>
  <c r="J526" i="8"/>
  <c r="J317" i="8"/>
  <c r="J521" i="8"/>
  <c r="M521" i="8" s="1"/>
  <c r="J112" i="8"/>
  <c r="M112" i="8" s="1"/>
  <c r="J177" i="8"/>
  <c r="M177" i="8" s="1"/>
  <c r="J145" i="8"/>
  <c r="J279" i="8"/>
  <c r="M279" i="8" s="1"/>
  <c r="J187" i="8"/>
  <c r="M187" i="8" s="1"/>
  <c r="G266" i="8"/>
  <c r="J213" i="8"/>
  <c r="M213" i="8" s="1"/>
  <c r="J285" i="8"/>
  <c r="M285" i="8" s="1"/>
  <c r="J245" i="8"/>
  <c r="M245" i="8" s="1"/>
  <c r="J531" i="8"/>
  <c r="M531" i="8" s="1"/>
  <c r="F18" i="7"/>
  <c r="I522" i="8"/>
  <c r="J522" i="8" s="1"/>
  <c r="M522" i="8" s="1"/>
  <c r="J446" i="8"/>
  <c r="M446" i="8" s="1"/>
  <c r="J510" i="8"/>
  <c r="M510" i="8" s="1"/>
  <c r="I99" i="8"/>
  <c r="J99" i="8" s="1"/>
  <c r="M99" i="8" s="1"/>
  <c r="J345" i="8"/>
  <c r="M345" i="8" s="1"/>
  <c r="J203" i="8"/>
  <c r="M203" i="8" s="1"/>
  <c r="F6" i="5"/>
  <c r="J230" i="8"/>
  <c r="M230" i="8" s="1"/>
  <c r="J295" i="8"/>
  <c r="M295" i="8" s="1"/>
  <c r="G317" i="8"/>
  <c r="G177" i="8"/>
  <c r="J304" i="8"/>
  <c r="M304" i="8" s="1"/>
  <c r="J369" i="8"/>
  <c r="M369" i="8" s="1"/>
  <c r="I470" i="8"/>
  <c r="J470" i="8" s="1"/>
  <c r="I534" i="8"/>
  <c r="J534" i="8" s="1"/>
  <c r="M534" i="8" s="1"/>
  <c r="J261" i="8"/>
  <c r="M261" i="8" s="1"/>
  <c r="I550" i="8"/>
  <c r="J550" i="8" s="1"/>
  <c r="M550" i="8" s="1"/>
  <c r="J459" i="8"/>
  <c r="M459" i="8" s="1"/>
  <c r="I90" i="8"/>
  <c r="J90" i="8" s="1"/>
  <c r="M90" i="8" s="1"/>
  <c r="J94" i="8"/>
  <c r="M94" i="8" s="1"/>
  <c r="J200" i="8"/>
  <c r="M200" i="8" s="1"/>
  <c r="J108" i="8"/>
  <c r="M108" i="8" s="1"/>
  <c r="I182" i="8"/>
  <c r="J182" i="8" s="1"/>
  <c r="M182" i="8" s="1"/>
  <c r="I235" i="8"/>
  <c r="J235" i="8" s="1"/>
  <c r="M235" i="8" s="1"/>
  <c r="J15" i="8"/>
  <c r="M15" i="8" s="1"/>
  <c r="J161" i="8"/>
  <c r="M161" i="8" s="1"/>
  <c r="J380" i="8"/>
  <c r="M380" i="8" s="1"/>
  <c r="J485" i="8"/>
  <c r="J29" i="8"/>
  <c r="M29" i="8" s="1"/>
  <c r="I214" i="8"/>
  <c r="J214" i="8" s="1"/>
  <c r="M214" i="8" s="1"/>
  <c r="J272" i="8"/>
  <c r="M272" i="8" s="1"/>
  <c r="D32" i="7"/>
  <c r="J114" i="8"/>
  <c r="M114" i="8" s="1"/>
  <c r="J141" i="8"/>
  <c r="M141" i="8" s="1"/>
  <c r="G171" i="8"/>
  <c r="J436" i="8"/>
  <c r="M436" i="8" s="1"/>
  <c r="J481" i="8"/>
  <c r="M481" i="8" s="1"/>
  <c r="J163" i="8"/>
  <c r="M163" i="8" s="1"/>
  <c r="J206" i="8"/>
  <c r="J403" i="8"/>
  <c r="J482" i="8"/>
  <c r="M482" i="8" s="1"/>
  <c r="G18" i="2"/>
  <c r="E18" i="17" s="1"/>
  <c r="D18" i="7"/>
  <c r="J44" i="8"/>
  <c r="M44" i="8" s="1"/>
  <c r="J89" i="8"/>
  <c r="M89" i="8" s="1"/>
  <c r="J269" i="8"/>
  <c r="M269" i="8" s="1"/>
  <c r="J557" i="8"/>
  <c r="M557" i="8" s="1"/>
  <c r="E33" i="7"/>
  <c r="J488" i="8"/>
  <c r="M488" i="8" s="1"/>
  <c r="J224" i="8"/>
  <c r="M224" i="8" s="1"/>
  <c r="J47" i="8"/>
  <c r="M47" i="8" s="1"/>
  <c r="J69" i="8"/>
  <c r="J78" i="8"/>
  <c r="M78" i="8" s="1"/>
  <c r="J113" i="8"/>
  <c r="M113" i="8" s="1"/>
  <c r="J153" i="8"/>
  <c r="M153" i="8" s="1"/>
  <c r="J216" i="8"/>
  <c r="M216" i="8" s="1"/>
  <c r="J301" i="8"/>
  <c r="M301" i="8" s="1"/>
  <c r="C13" i="4"/>
  <c r="J48" i="8"/>
  <c r="M48" i="8" s="1"/>
  <c r="J66" i="8"/>
  <c r="M66" i="8" s="1"/>
  <c r="J149" i="8"/>
  <c r="M149" i="8" s="1"/>
  <c r="I406" i="8"/>
  <c r="J406" i="8" s="1"/>
  <c r="M406" i="8" s="1"/>
  <c r="J476" i="8"/>
  <c r="M476" i="8" s="1"/>
  <c r="J493" i="8"/>
  <c r="I518" i="8"/>
  <c r="J518" i="8" s="1"/>
  <c r="M518" i="8" s="1"/>
  <c r="G531" i="8"/>
  <c r="J194" i="8"/>
  <c r="M194" i="8" s="1"/>
  <c r="C18" i="4"/>
  <c r="F23" i="5"/>
  <c r="D38" i="7"/>
  <c r="J528" i="8"/>
  <c r="M528" i="8" s="1"/>
  <c r="J532" i="8"/>
  <c r="M532" i="8" s="1"/>
  <c r="I246" i="8"/>
  <c r="J246" i="8" s="1"/>
  <c r="M246" i="8" s="1"/>
  <c r="J489" i="8"/>
  <c r="M489" i="8" s="1"/>
  <c r="J552" i="8"/>
  <c r="M552" i="8" s="1"/>
  <c r="B18" i="4"/>
  <c r="D26" i="7"/>
  <c r="E26" i="7"/>
  <c r="J36" i="8"/>
  <c r="M36" i="8" s="1"/>
  <c r="J76" i="8"/>
  <c r="M76" i="8" s="1"/>
  <c r="J166" i="8"/>
  <c r="M166" i="8" s="1"/>
  <c r="G187" i="8"/>
  <c r="J196" i="8"/>
  <c r="M196" i="8" s="1"/>
  <c r="J205" i="8"/>
  <c r="M205" i="8" s="1"/>
  <c r="J221" i="8"/>
  <c r="M221" i="8" s="1"/>
  <c r="G251" i="8"/>
  <c r="I387" i="8"/>
  <c r="J387" i="8" s="1"/>
  <c r="M387" i="8" s="1"/>
  <c r="J412" i="8"/>
  <c r="M412" i="8" s="1"/>
  <c r="G166" i="8"/>
  <c r="H21" i="2"/>
  <c r="E21" i="4" s="1"/>
  <c r="G183" i="8"/>
  <c r="J217" i="8"/>
  <c r="M217" i="8" s="1"/>
  <c r="G345" i="8"/>
  <c r="I67" i="8"/>
  <c r="J67" i="8" s="1"/>
  <c r="M67" i="8" s="1"/>
  <c r="J201" i="8"/>
  <c r="M201" i="8" s="1"/>
  <c r="G230" i="8"/>
  <c r="G282" i="8"/>
  <c r="I294" i="8"/>
  <c r="J294" i="8" s="1"/>
  <c r="M294" i="8" s="1"/>
  <c r="J417" i="8"/>
  <c r="M417" i="8" s="1"/>
  <c r="J457" i="8"/>
  <c r="M457" i="8" s="1"/>
  <c r="J495" i="8"/>
  <c r="M495" i="8" s="1"/>
  <c r="J553" i="8"/>
  <c r="M553" i="8" s="1"/>
  <c r="J155" i="8"/>
  <c r="M155" i="8" s="1"/>
  <c r="J393" i="8"/>
  <c r="M393" i="8" s="1"/>
  <c r="G23" i="5"/>
  <c r="J115" i="8"/>
  <c r="M115" i="8" s="1"/>
  <c r="G163" i="8"/>
  <c r="J192" i="8"/>
  <c r="M192" i="8" s="1"/>
  <c r="J320" i="8"/>
  <c r="M320" i="8" s="1"/>
  <c r="J350" i="8"/>
  <c r="M350" i="8" s="1"/>
  <c r="G358" i="8"/>
  <c r="J425" i="8"/>
  <c r="M425" i="8" s="1"/>
  <c r="J517" i="8"/>
  <c r="M517" i="8" s="1"/>
  <c r="J562" i="8"/>
  <c r="M562" i="8" s="1"/>
  <c r="B11" i="4"/>
  <c r="J172" i="8"/>
  <c r="M172" i="8" s="1"/>
  <c r="J227" i="8"/>
  <c r="M227" i="8" s="1"/>
  <c r="J321" i="8"/>
  <c r="M321" i="8" s="1"/>
  <c r="J529" i="8"/>
  <c r="M529" i="8" s="1"/>
  <c r="J545" i="8"/>
  <c r="M545" i="8" s="1"/>
  <c r="J164" i="8"/>
  <c r="M164" i="8" s="1"/>
  <c r="J181" i="8"/>
  <c r="M181" i="8" s="1"/>
  <c r="J211" i="8"/>
  <c r="M211" i="8" s="1"/>
  <c r="J219" i="8"/>
  <c r="M219" i="8" s="1"/>
  <c r="J385" i="8"/>
  <c r="M385" i="8" s="1"/>
  <c r="J467" i="8"/>
  <c r="M467" i="8" s="1"/>
  <c r="J496" i="8"/>
  <c r="M496" i="8" s="1"/>
  <c r="J525" i="8"/>
  <c r="M525" i="8" s="1"/>
  <c r="J215" i="8"/>
  <c r="M215" i="8" s="1"/>
  <c r="J355" i="8"/>
  <c r="J575" i="8"/>
  <c r="M575" i="8" s="1"/>
  <c r="E32" i="7"/>
  <c r="B22" i="4"/>
  <c r="J165" i="8"/>
  <c r="M165" i="8" s="1"/>
  <c r="J204" i="8"/>
  <c r="M204" i="8" s="1"/>
  <c r="J209" i="8"/>
  <c r="M209" i="8" s="1"/>
  <c r="J368" i="8"/>
  <c r="M368" i="8" s="1"/>
  <c r="I499" i="8"/>
  <c r="J499" i="8" s="1"/>
  <c r="M499" i="8" s="1"/>
  <c r="J512" i="8"/>
  <c r="M512" i="8" s="1"/>
  <c r="G113" i="8"/>
  <c r="J305" i="8"/>
  <c r="M305" i="8" s="1"/>
  <c r="D8" i="7"/>
  <c r="G89" i="8"/>
  <c r="J97" i="8"/>
  <c r="M97" i="8" s="1"/>
  <c r="G114" i="8"/>
  <c r="J140" i="8"/>
  <c r="M140" i="8" s="1"/>
  <c r="G262" i="8"/>
  <c r="G18" i="5"/>
  <c r="G219" i="8"/>
  <c r="F8" i="7"/>
  <c r="J560" i="8"/>
  <c r="J568" i="8"/>
  <c r="M568" i="8" s="1"/>
  <c r="J405" i="8"/>
  <c r="M405" i="8" s="1"/>
  <c r="E24" i="7"/>
  <c r="J12" i="8"/>
  <c r="M12" i="8" s="1"/>
  <c r="J17" i="8"/>
  <c r="M17" i="8" s="1"/>
  <c r="J127" i="8"/>
  <c r="M127" i="8" s="1"/>
  <c r="J136" i="8"/>
  <c r="M136" i="8" s="1"/>
  <c r="J162" i="8"/>
  <c r="M162" i="8" s="1"/>
  <c r="J185" i="8"/>
  <c r="M185" i="8" s="1"/>
  <c r="G201" i="8"/>
  <c r="G213" i="8"/>
  <c r="J237" i="8"/>
  <c r="M237" i="8" s="1"/>
  <c r="J263" i="8"/>
  <c r="M263" i="8" s="1"/>
  <c r="J292" i="8"/>
  <c r="M292" i="8" s="1"/>
  <c r="I315" i="8"/>
  <c r="J315" i="8" s="1"/>
  <c r="M315" i="8" s="1"/>
  <c r="J421" i="8"/>
  <c r="M421" i="8" s="1"/>
  <c r="J453" i="8"/>
  <c r="M453" i="8" s="1"/>
  <c r="J469" i="8"/>
  <c r="M469" i="8" s="1"/>
  <c r="G476" i="8"/>
  <c r="J580" i="8"/>
  <c r="M580" i="8" s="1"/>
  <c r="F17" i="5"/>
  <c r="J121" i="8"/>
  <c r="M121" i="8" s="1"/>
  <c r="C11" i="4"/>
  <c r="J8" i="8"/>
  <c r="M8" i="8" s="1"/>
  <c r="J13" i="8"/>
  <c r="M13" i="8" s="1"/>
  <c r="I42" i="8"/>
  <c r="J42" i="8" s="1"/>
  <c r="M42" i="8" s="1"/>
  <c r="J46" i="8"/>
  <c r="M46" i="8" s="1"/>
  <c r="J68" i="8"/>
  <c r="M68" i="8" s="1"/>
  <c r="M145" i="8"/>
  <c r="J197" i="8"/>
  <c r="M197" i="8" s="1"/>
  <c r="J233" i="8"/>
  <c r="M233" i="8" s="1"/>
  <c r="J241" i="8"/>
  <c r="M241" i="8" s="1"/>
  <c r="G295" i="8"/>
  <c r="J353" i="8"/>
  <c r="M353" i="8" s="1"/>
  <c r="J402" i="8"/>
  <c r="M402" i="8" s="1"/>
  <c r="J437" i="8"/>
  <c r="M437" i="8" s="1"/>
  <c r="J461" i="8"/>
  <c r="M461" i="8" s="1"/>
  <c r="J501" i="8"/>
  <c r="M501" i="8" s="1"/>
  <c r="J509" i="8"/>
  <c r="J541" i="8"/>
  <c r="M541" i="8" s="1"/>
  <c r="G552" i="8"/>
  <c r="J124" i="8"/>
  <c r="M124" i="8" s="1"/>
  <c r="J254" i="8"/>
  <c r="J336" i="8"/>
  <c r="M336" i="8" s="1"/>
  <c r="J386" i="8"/>
  <c r="M386" i="8" s="1"/>
  <c r="J390" i="8"/>
  <c r="M390" i="8" s="1"/>
  <c r="J397" i="8"/>
  <c r="M397" i="8" s="1"/>
  <c r="G405" i="8"/>
  <c r="J433" i="8"/>
  <c r="M433" i="8" s="1"/>
  <c r="F16" i="5"/>
  <c r="J268" i="8"/>
  <c r="M268" i="8" s="1"/>
  <c r="J349" i="8"/>
  <c r="M349" i="8" s="1"/>
  <c r="J382" i="8"/>
  <c r="M382" i="8" s="1"/>
  <c r="J450" i="8"/>
  <c r="M450" i="8" s="1"/>
  <c r="J179" i="8"/>
  <c r="M179" i="8" s="1"/>
  <c r="J358" i="8"/>
  <c r="M358" i="8" s="1"/>
  <c r="J514" i="8"/>
  <c r="M514" i="8" s="1"/>
  <c r="J530" i="8"/>
  <c r="M530" i="8" s="1"/>
  <c r="J565" i="8"/>
  <c r="M565" i="8" s="1"/>
  <c r="J577" i="8"/>
  <c r="M577" i="8" s="1"/>
  <c r="J14" i="8"/>
  <c r="M14" i="8" s="1"/>
  <c r="J95" i="8"/>
  <c r="M95" i="8" s="1"/>
  <c r="M317" i="8"/>
  <c r="J325" i="8"/>
  <c r="M325" i="8" s="1"/>
  <c r="J546" i="8"/>
  <c r="M546" i="8" s="1"/>
  <c r="J573" i="8"/>
  <c r="M573" i="8" s="1"/>
  <c r="J395" i="8"/>
  <c r="M395" i="8" s="1"/>
  <c r="K25" i="2"/>
  <c r="F18" i="5"/>
  <c r="G44" i="8"/>
  <c r="J57" i="8"/>
  <c r="M57" i="8" s="1"/>
  <c r="J92" i="8"/>
  <c r="J167" i="8"/>
  <c r="M167" i="8" s="1"/>
  <c r="J183" i="8"/>
  <c r="M183" i="8" s="1"/>
  <c r="J222" i="8"/>
  <c r="M222" i="8" s="1"/>
  <c r="J252" i="8"/>
  <c r="M252" i="8" s="1"/>
  <c r="G391" i="8"/>
  <c r="I243" i="8"/>
  <c r="J243" i="8" s="1"/>
  <c r="M243" i="8" s="1"/>
  <c r="G269" i="8"/>
  <c r="J273" i="8"/>
  <c r="M273" i="8" s="1"/>
  <c r="G301" i="8"/>
  <c r="G486" i="8"/>
  <c r="J494" i="8"/>
  <c r="M494" i="8" s="1"/>
  <c r="J79" i="8"/>
  <c r="M79" i="8" s="1"/>
  <c r="J486" i="8"/>
  <c r="M486" i="8" s="1"/>
  <c r="B17" i="21"/>
  <c r="J339" i="8"/>
  <c r="M339" i="8" s="1"/>
  <c r="J396" i="8"/>
  <c r="M396" i="8" s="1"/>
  <c r="J456" i="8"/>
  <c r="M456" i="8" s="1"/>
  <c r="J536" i="8"/>
  <c r="M536" i="8" s="1"/>
  <c r="J558" i="8"/>
  <c r="M558" i="8" s="1"/>
  <c r="J571" i="8"/>
  <c r="M571" i="8" s="1"/>
  <c r="G215" i="8"/>
  <c r="F9" i="5"/>
  <c r="G9" i="5"/>
  <c r="G196" i="8"/>
  <c r="G227" i="8"/>
  <c r="J360" i="8"/>
  <c r="M360" i="8" s="1"/>
  <c r="J408" i="8"/>
  <c r="M408" i="8" s="1"/>
  <c r="J416" i="8"/>
  <c r="M416" i="8" s="1"/>
  <c r="J424" i="8"/>
  <c r="M424" i="8" s="1"/>
  <c r="G412" i="8"/>
  <c r="G416" i="8"/>
  <c r="G422" i="8"/>
  <c r="J465" i="8"/>
  <c r="M465" i="8" s="1"/>
  <c r="J497" i="8"/>
  <c r="M497" i="8" s="1"/>
  <c r="G530" i="8"/>
  <c r="J538" i="8"/>
  <c r="M538" i="8" s="1"/>
  <c r="J19" i="8"/>
  <c r="M19" i="8" s="1"/>
  <c r="J131" i="8"/>
  <c r="M131" i="8" s="1"/>
  <c r="J146" i="8"/>
  <c r="M146" i="8" s="1"/>
  <c r="J262" i="8"/>
  <c r="M262" i="8" s="1"/>
  <c r="J274" i="8"/>
  <c r="M274" i="8" s="1"/>
  <c r="J306" i="8"/>
  <c r="M306" i="8" s="1"/>
  <c r="I326" i="8"/>
  <c r="J326" i="8" s="1"/>
  <c r="M326" i="8" s="1"/>
  <c r="I347" i="8"/>
  <c r="J347" i="8" s="1"/>
  <c r="M347" i="8" s="1"/>
  <c r="J422" i="8"/>
  <c r="M422" i="8" s="1"/>
  <c r="J448" i="8"/>
  <c r="M448" i="8" s="1"/>
  <c r="I454" i="8"/>
  <c r="J454" i="8" s="1"/>
  <c r="M454" i="8" s="1"/>
  <c r="J466" i="8"/>
  <c r="M466" i="8" s="1"/>
  <c r="J484" i="8"/>
  <c r="M484" i="8" s="1"/>
  <c r="J498" i="8"/>
  <c r="M498" i="8" s="1"/>
  <c r="J520" i="8"/>
  <c r="M520" i="8" s="1"/>
  <c r="F10" i="7"/>
  <c r="G131" i="8"/>
  <c r="B11" i="3"/>
  <c r="H25" i="2"/>
  <c r="E25" i="4" s="1"/>
  <c r="J225" i="8"/>
  <c r="M225" i="8" s="1"/>
  <c r="B10" i="3"/>
  <c r="B12" i="4"/>
  <c r="D12" i="7"/>
  <c r="F30" i="7"/>
  <c r="G13" i="8"/>
  <c r="G36" i="8"/>
  <c r="I43" i="8"/>
  <c r="J43" i="8" s="1"/>
  <c r="M43" i="8" s="1"/>
  <c r="J77" i="8"/>
  <c r="M77" i="8" s="1"/>
  <c r="I91" i="8"/>
  <c r="J91" i="8" s="1"/>
  <c r="M91" i="8" s="1"/>
  <c r="I102" i="8"/>
  <c r="J102" i="8" s="1"/>
  <c r="M102" i="8" s="1"/>
  <c r="J116" i="8"/>
  <c r="M116" i="8" s="1"/>
  <c r="J120" i="8"/>
  <c r="M120" i="8" s="1"/>
  <c r="G124" i="8"/>
  <c r="G198" i="8"/>
  <c r="J229" i="8"/>
  <c r="M229" i="8" s="1"/>
  <c r="G288" i="8"/>
  <c r="J316" i="8"/>
  <c r="M316" i="8" s="1"/>
  <c r="J333" i="8"/>
  <c r="M333" i="8" s="1"/>
  <c r="J391" i="8"/>
  <c r="M391" i="8" s="1"/>
  <c r="J399" i="8"/>
  <c r="M399" i="8" s="1"/>
  <c r="G490" i="8"/>
  <c r="G512" i="8"/>
  <c r="J527" i="8"/>
  <c r="M527" i="8" s="1"/>
  <c r="G541" i="8"/>
  <c r="J559" i="8"/>
  <c r="M559" i="8" s="1"/>
  <c r="E37" i="7"/>
  <c r="E21" i="7"/>
  <c r="E30" i="7"/>
  <c r="C12" i="4"/>
  <c r="C21" i="4"/>
  <c r="F12" i="7"/>
  <c r="J32" i="8"/>
  <c r="M32" i="8" s="1"/>
  <c r="G95" i="8"/>
  <c r="G150" i="8"/>
  <c r="J157" i="8"/>
  <c r="M157" i="8" s="1"/>
  <c r="G164" i="8"/>
  <c r="J174" i="8"/>
  <c r="M174" i="8" s="1"/>
  <c r="G195" i="8"/>
  <c r="G209" i="8"/>
  <c r="G259" i="8"/>
  <c r="J277" i="8"/>
  <c r="M277" i="8" s="1"/>
  <c r="J309" i="8"/>
  <c r="M309" i="8" s="1"/>
  <c r="J337" i="8"/>
  <c r="M337" i="8" s="1"/>
  <c r="G355" i="8"/>
  <c r="J392" i="8"/>
  <c r="M392" i="8" s="1"/>
  <c r="J409" i="8"/>
  <c r="M409" i="8" s="1"/>
  <c r="J420" i="8"/>
  <c r="M420" i="8" s="1"/>
  <c r="J434" i="8"/>
  <c r="M434" i="8" s="1"/>
  <c r="J490" i="8"/>
  <c r="M490" i="8" s="1"/>
  <c r="E29" i="7"/>
  <c r="J24" i="8"/>
  <c r="M24" i="8" s="1"/>
  <c r="J128" i="8"/>
  <c r="M128" i="8" s="1"/>
  <c r="G167" i="8"/>
  <c r="I198" i="8"/>
  <c r="J198" i="8" s="1"/>
  <c r="M198" i="8" s="1"/>
  <c r="G237" i="8"/>
  <c r="G274" i="8"/>
  <c r="J288" i="8"/>
  <c r="M288" i="8" s="1"/>
  <c r="G306" i="8"/>
  <c r="I374" i="8"/>
  <c r="J374" i="8" s="1"/>
  <c r="M374" i="8" s="1"/>
  <c r="G385" i="8"/>
  <c r="J410" i="8"/>
  <c r="M410" i="8" s="1"/>
  <c r="G444" i="8"/>
  <c r="G448" i="8"/>
  <c r="J458" i="8"/>
  <c r="M458" i="8" s="1"/>
  <c r="G498" i="8"/>
  <c r="G520" i="8"/>
  <c r="J150" i="8"/>
  <c r="M150" i="8" s="1"/>
  <c r="J570" i="8"/>
  <c r="M570" i="8" s="1"/>
  <c r="B8" i="3"/>
  <c r="J107" i="8"/>
  <c r="M107" i="8" s="1"/>
  <c r="J210" i="8"/>
  <c r="M210" i="8" s="1"/>
  <c r="J242" i="8"/>
  <c r="M242" i="8" s="1"/>
  <c r="G245" i="8"/>
  <c r="G331" i="8"/>
  <c r="G392" i="8"/>
  <c r="G417" i="8"/>
  <c r="J444" i="8"/>
  <c r="M444" i="8" s="1"/>
  <c r="J463" i="8"/>
  <c r="M463" i="8" s="1"/>
  <c r="G481" i="8"/>
  <c r="G535" i="8"/>
  <c r="G16" i="5"/>
  <c r="B6" i="4"/>
  <c r="C14" i="4"/>
  <c r="C23" i="4"/>
  <c r="I502" i="8"/>
  <c r="G506" i="8"/>
  <c r="M509" i="8"/>
  <c r="G517" i="8"/>
  <c r="I563" i="8"/>
  <c r="J563" i="8" s="1"/>
  <c r="M563" i="8" s="1"/>
  <c r="G567" i="8"/>
  <c r="G19" i="8"/>
  <c r="D6" i="7"/>
  <c r="G14" i="8"/>
  <c r="J125" i="8"/>
  <c r="M125" i="8" s="1"/>
  <c r="G129" i="8"/>
  <c r="J158" i="8"/>
  <c r="M158" i="8" s="1"/>
  <c r="J171" i="8"/>
  <c r="M171" i="8" s="1"/>
  <c r="G179" i="8"/>
  <c r="G189" i="8"/>
  <c r="I202" i="8"/>
  <c r="J202" i="8" s="1"/>
  <c r="M202" i="8" s="1"/>
  <c r="J256" i="8"/>
  <c r="M256" i="8" s="1"/>
  <c r="I278" i="8"/>
  <c r="J278" i="8" s="1"/>
  <c r="M278" i="8" s="1"/>
  <c r="G488" i="8"/>
  <c r="J513" i="8"/>
  <c r="M513" i="8" s="1"/>
  <c r="I535" i="8"/>
  <c r="J535" i="8" s="1"/>
  <c r="M535" i="8" s="1"/>
  <c r="J564" i="8"/>
  <c r="M564" i="8" s="1"/>
  <c r="H8" i="5"/>
  <c r="I8" i="5" s="1"/>
  <c r="B8" i="16" s="1"/>
  <c r="H16" i="5"/>
  <c r="I16" i="5" s="1"/>
  <c r="B16" i="16" s="1"/>
  <c r="F14" i="7"/>
  <c r="F6" i="7"/>
  <c r="G48" i="8"/>
  <c r="I342" i="8"/>
  <c r="J342" i="8" s="1"/>
  <c r="M342" i="8" s="1"/>
  <c r="I506" i="8"/>
  <c r="J506" i="8" s="1"/>
  <c r="M506" i="8" s="1"/>
  <c r="J542" i="8"/>
  <c r="M542" i="8" s="1"/>
  <c r="I567" i="8"/>
  <c r="J567" i="8" s="1"/>
  <c r="M567" i="8" s="1"/>
  <c r="J574" i="8"/>
  <c r="M574" i="8" s="1"/>
  <c r="G577" i="8"/>
  <c r="G54" i="8"/>
  <c r="G162" i="8"/>
  <c r="G165" i="8"/>
  <c r="I310" i="8"/>
  <c r="J310" i="8" s="1"/>
  <c r="M310" i="8" s="1"/>
  <c r="B8" i="4"/>
  <c r="G24" i="5"/>
  <c r="D16" i="7"/>
  <c r="J52" i="8"/>
  <c r="M52" i="8" s="1"/>
  <c r="J60" i="8"/>
  <c r="M60" i="8" s="1"/>
  <c r="J129" i="8"/>
  <c r="M129" i="8" s="1"/>
  <c r="G155" i="8"/>
  <c r="J238" i="8"/>
  <c r="M238" i="8" s="1"/>
  <c r="G268" i="8"/>
  <c r="G275" i="8"/>
  <c r="J289" i="8"/>
  <c r="M289" i="8" s="1"/>
  <c r="G307" i="8"/>
  <c r="G349" i="8"/>
  <c r="G353" i="8"/>
  <c r="G368" i="8"/>
  <c r="G386" i="8"/>
  <c r="J404" i="8"/>
  <c r="M404" i="8" s="1"/>
  <c r="J418" i="8"/>
  <c r="M418" i="8" s="1"/>
  <c r="G424" i="8"/>
  <c r="G456" i="8"/>
  <c r="G485" i="8"/>
  <c r="J491" i="8"/>
  <c r="M491" i="8" s="1"/>
  <c r="G521" i="8"/>
  <c r="G553" i="8"/>
  <c r="G82" i="8"/>
  <c r="G86" i="8"/>
  <c r="J96" i="8"/>
  <c r="M96" i="8" s="1"/>
  <c r="J189" i="8"/>
  <c r="M189" i="8" s="1"/>
  <c r="F16" i="7"/>
  <c r="F34" i="7"/>
  <c r="G72" i="8"/>
  <c r="G76" i="8"/>
  <c r="J82" i="8"/>
  <c r="M82" i="8" s="1"/>
  <c r="J86" i="8"/>
  <c r="M86" i="8" s="1"/>
  <c r="G108" i="8"/>
  <c r="J111" i="8"/>
  <c r="M111" i="8" s="1"/>
  <c r="J118" i="8"/>
  <c r="M118" i="8" s="1"/>
  <c r="G141" i="8"/>
  <c r="J148" i="8"/>
  <c r="M148" i="8" s="1"/>
  <c r="J168" i="8"/>
  <c r="M168" i="8" s="1"/>
  <c r="J176" i="8"/>
  <c r="M176" i="8" s="1"/>
  <c r="J180" i="8"/>
  <c r="M180" i="8" s="1"/>
  <c r="J193" i="8"/>
  <c r="M193" i="8" s="1"/>
  <c r="J253" i="8"/>
  <c r="M253" i="8" s="1"/>
  <c r="J293" i="8"/>
  <c r="M293" i="8" s="1"/>
  <c r="G325" i="8"/>
  <c r="G339" i="8"/>
  <c r="J361" i="8"/>
  <c r="M361" i="8" s="1"/>
  <c r="G390" i="8"/>
  <c r="I438" i="8"/>
  <c r="J438" i="8" s="1"/>
  <c r="J449" i="8"/>
  <c r="M449" i="8" s="1"/>
  <c r="J478" i="8"/>
  <c r="M478" i="8" s="1"/>
  <c r="G111" i="8"/>
  <c r="C8" i="4"/>
  <c r="B25" i="4"/>
  <c r="G17" i="5"/>
  <c r="J31" i="8"/>
  <c r="M31" i="8" s="1"/>
  <c r="G145" i="8"/>
  <c r="G279" i="8"/>
  <c r="I307" i="8"/>
  <c r="J307" i="8" s="1"/>
  <c r="M307" i="8" s="1"/>
  <c r="J364" i="8"/>
  <c r="M364" i="8" s="1"/>
  <c r="G421" i="8"/>
  <c r="J427" i="8"/>
  <c r="M427" i="8" s="1"/>
  <c r="G453" i="8"/>
  <c r="M485" i="8"/>
  <c r="J533" i="8"/>
  <c r="M533" i="8" s="1"/>
  <c r="D14" i="7"/>
  <c r="J37" i="8"/>
  <c r="M37" i="8" s="1"/>
  <c r="C11" i="3"/>
  <c r="C10" i="3"/>
  <c r="H17" i="5"/>
  <c r="I17" i="5" s="1"/>
  <c r="B17" i="16" s="1"/>
  <c r="J65" i="8"/>
  <c r="M65" i="8" s="1"/>
  <c r="J72" i="8"/>
  <c r="M72" i="8" s="1"/>
  <c r="G115" i="8"/>
  <c r="J169" i="8"/>
  <c r="M169" i="8" s="1"/>
  <c r="J257" i="8"/>
  <c r="M257" i="8" s="1"/>
  <c r="J332" i="8"/>
  <c r="M332" i="8" s="1"/>
  <c r="I346" i="8"/>
  <c r="J346" i="8" s="1"/>
  <c r="M346" i="8" s="1"/>
  <c r="J354" i="8"/>
  <c r="M354" i="8" s="1"/>
  <c r="J384" i="8"/>
  <c r="M384" i="8" s="1"/>
  <c r="J472" i="8"/>
  <c r="M472" i="8" s="1"/>
  <c r="J500" i="8"/>
  <c r="M500" i="8" s="1"/>
  <c r="J504" i="8"/>
  <c r="M504" i="8" s="1"/>
  <c r="G525" i="8"/>
  <c r="G568" i="8"/>
  <c r="G575" i="8"/>
  <c r="J142" i="8"/>
  <c r="M142" i="8" s="1"/>
  <c r="J232" i="8"/>
  <c r="M232" i="8" s="1"/>
  <c r="J258" i="8"/>
  <c r="M258" i="8" s="1"/>
  <c r="J344" i="8"/>
  <c r="M344" i="8" s="1"/>
  <c r="J561" i="8"/>
  <c r="M561" i="8" s="1"/>
  <c r="M493" i="8"/>
  <c r="D10" i="7"/>
  <c r="F29" i="7"/>
  <c r="J50" i="8"/>
  <c r="M50" i="8" s="1"/>
  <c r="J84" i="8"/>
  <c r="M84" i="8" s="1"/>
  <c r="J381" i="8"/>
  <c r="M381" i="8" s="1"/>
  <c r="J401" i="8"/>
  <c r="M401" i="8" s="1"/>
  <c r="J440" i="8"/>
  <c r="M440" i="8" s="1"/>
  <c r="J480" i="8"/>
  <c r="M480" i="8" s="1"/>
  <c r="J548" i="8"/>
  <c r="M548" i="8" s="1"/>
  <c r="J554" i="8"/>
  <c r="M554" i="8" s="1"/>
  <c r="J566" i="8"/>
  <c r="M566" i="8" s="1"/>
  <c r="D22" i="7"/>
  <c r="I6" i="8"/>
  <c r="J6" i="8" s="1"/>
  <c r="M6" i="8" s="1"/>
  <c r="G6" i="8"/>
  <c r="J21" i="8"/>
  <c r="M21" i="8" s="1"/>
  <c r="G21" i="8"/>
  <c r="J28" i="8"/>
  <c r="M28" i="8" s="1"/>
  <c r="G28" i="8"/>
  <c r="G56" i="8"/>
  <c r="G59" i="8"/>
  <c r="I59" i="8"/>
  <c r="J59" i="8" s="1"/>
  <c r="M59" i="8" s="1"/>
  <c r="G63" i="8"/>
  <c r="G93" i="8"/>
  <c r="J93" i="8"/>
  <c r="M93" i="8" s="1"/>
  <c r="J110" i="8"/>
  <c r="M110" i="8" s="1"/>
  <c r="G110" i="8"/>
  <c r="F13" i="7"/>
  <c r="E13" i="7"/>
  <c r="D13" i="7"/>
  <c r="D19" i="7"/>
  <c r="F19" i="7"/>
  <c r="E19" i="7"/>
  <c r="F22" i="7"/>
  <c r="J18" i="8"/>
  <c r="M18" i="8" s="1"/>
  <c r="G70" i="8"/>
  <c r="I70" i="8"/>
  <c r="J70" i="8" s="1"/>
  <c r="G80" i="8"/>
  <c r="J80" i="8"/>
  <c r="M80" i="8" s="1"/>
  <c r="J100" i="8"/>
  <c r="M100" i="8" s="1"/>
  <c r="G100" i="8"/>
  <c r="J53" i="8"/>
  <c r="M53" i="8" s="1"/>
  <c r="G53" i="8"/>
  <c r="D35" i="7"/>
  <c r="E35" i="7"/>
  <c r="H7" i="5"/>
  <c r="I7" i="5" s="1"/>
  <c r="B7" i="16" s="1"/>
  <c r="D39" i="7"/>
  <c r="E39" i="7"/>
  <c r="I22" i="8"/>
  <c r="J22" i="8" s="1"/>
  <c r="J56" i="8"/>
  <c r="M56" i="8" s="1"/>
  <c r="J63" i="8"/>
  <c r="M63" i="8" s="1"/>
  <c r="H22" i="2"/>
  <c r="E22" i="4" s="1"/>
  <c r="D23" i="7"/>
  <c r="E23" i="7"/>
  <c r="F39" i="7"/>
  <c r="I71" i="8"/>
  <c r="J71" i="8" s="1"/>
  <c r="M71" i="8" s="1"/>
  <c r="G71" i="8"/>
  <c r="G101" i="8"/>
  <c r="C7" i="17"/>
  <c r="C7" i="4"/>
  <c r="G25" i="17"/>
  <c r="J25" i="17" s="1"/>
  <c r="G25" i="2"/>
  <c r="E25" i="17" s="1"/>
  <c r="B16" i="4"/>
  <c r="F10" i="5"/>
  <c r="F21" i="5"/>
  <c r="G8" i="6"/>
  <c r="G22" i="2"/>
  <c r="E22" i="17" s="1"/>
  <c r="C12" i="3"/>
  <c r="G10" i="5"/>
  <c r="F13" i="5"/>
  <c r="H13" i="5"/>
  <c r="I13" i="5" s="1"/>
  <c r="B13" i="16" s="1"/>
  <c r="G21" i="5"/>
  <c r="F24" i="5"/>
  <c r="F20" i="7"/>
  <c r="D20" i="7"/>
  <c r="F23" i="7"/>
  <c r="I10" i="8"/>
  <c r="J10" i="8" s="1"/>
  <c r="M10" i="8" s="1"/>
  <c r="G10" i="8"/>
  <c r="I35" i="8"/>
  <c r="J35" i="8" s="1"/>
  <c r="M35" i="8" s="1"/>
  <c r="G50" i="8"/>
  <c r="G88" i="8"/>
  <c r="J88" i="8"/>
  <c r="M88" i="8" s="1"/>
  <c r="G98" i="8"/>
  <c r="G6" i="6"/>
  <c r="F7" i="5"/>
  <c r="B9" i="1"/>
  <c r="J25" i="8"/>
  <c r="M25" i="8" s="1"/>
  <c r="G25" i="8"/>
  <c r="B12" i="3"/>
  <c r="G19" i="2"/>
  <c r="E19" i="17" s="1"/>
  <c r="F11" i="7"/>
  <c r="E11" i="7"/>
  <c r="D11" i="7"/>
  <c r="F17" i="7"/>
  <c r="E17" i="7"/>
  <c r="D17" i="7"/>
  <c r="E20" i="7"/>
  <c r="G22" i="8"/>
  <c r="J156" i="8"/>
  <c r="M156" i="8" s="1"/>
  <c r="G156" i="8"/>
  <c r="G138" i="8"/>
  <c r="I138" i="8"/>
  <c r="J138" i="8" s="1"/>
  <c r="M138" i="8" s="1"/>
  <c r="F12" i="5"/>
  <c r="B8" i="1"/>
  <c r="G24" i="2"/>
  <c r="E24" i="17" s="1"/>
  <c r="B6" i="3"/>
  <c r="B19" i="4"/>
  <c r="H10" i="5"/>
  <c r="I10" i="5" s="1"/>
  <c r="B10" i="16" s="1"/>
  <c r="G21" i="2"/>
  <c r="B23" i="17"/>
  <c r="B23" i="4"/>
  <c r="H24" i="2"/>
  <c r="E24" i="4" s="1"/>
  <c r="C6" i="3"/>
  <c r="B13" i="3"/>
  <c r="B9" i="4"/>
  <c r="C19" i="4"/>
  <c r="B24" i="4"/>
  <c r="F8" i="5"/>
  <c r="E27" i="7"/>
  <c r="G7" i="8"/>
  <c r="J16" i="8"/>
  <c r="M16" i="8" s="1"/>
  <c r="G16" i="8"/>
  <c r="I39" i="8"/>
  <c r="J39" i="8" s="1"/>
  <c r="M39" i="8" s="1"/>
  <c r="G39" i="8"/>
  <c r="G75" i="8"/>
  <c r="I75" i="8"/>
  <c r="J75" i="8" s="1"/>
  <c r="M75" i="8" s="1"/>
  <c r="J85" i="8"/>
  <c r="M85" i="8" s="1"/>
  <c r="G85" i="8"/>
  <c r="J132" i="8"/>
  <c r="M132" i="8" s="1"/>
  <c r="G132" i="8"/>
  <c r="J207" i="8"/>
  <c r="M207" i="8" s="1"/>
  <c r="G207" i="8"/>
  <c r="F27" i="7"/>
  <c r="D40" i="7"/>
  <c r="E40" i="7"/>
  <c r="F40" i="7"/>
  <c r="J33" i="8"/>
  <c r="M33" i="8" s="1"/>
  <c r="G33" i="8"/>
  <c r="I51" i="8"/>
  <c r="J51" i="8" s="1"/>
  <c r="M51" i="8" s="1"/>
  <c r="G51" i="8"/>
  <c r="J61" i="8"/>
  <c r="M61" i="8" s="1"/>
  <c r="G61" i="8"/>
  <c r="J101" i="8"/>
  <c r="M101" i="8" s="1"/>
  <c r="J105" i="8"/>
  <c r="M105" i="8" s="1"/>
  <c r="G105" i="8"/>
  <c r="I231" i="8"/>
  <c r="J231" i="8" s="1"/>
  <c r="M231" i="8" s="1"/>
  <c r="G231" i="8"/>
  <c r="H20" i="5"/>
  <c r="I20" i="5" s="1"/>
  <c r="B20" i="16" s="1"/>
  <c r="G20" i="5"/>
  <c r="F20" i="5"/>
  <c r="B7" i="3"/>
  <c r="D24" i="7"/>
  <c r="I7" i="8"/>
  <c r="J7" i="8" s="1"/>
  <c r="M7" i="8" s="1"/>
  <c r="I23" i="8"/>
  <c r="J23" i="8" s="1"/>
  <c r="M23" i="8" s="1"/>
  <c r="J45" i="8"/>
  <c r="M45" i="8" s="1"/>
  <c r="G45" i="8"/>
  <c r="J98" i="8"/>
  <c r="M98" i="8" s="1"/>
  <c r="G173" i="8"/>
  <c r="J173" i="8"/>
  <c r="M173" i="8" s="1"/>
  <c r="J30" i="8"/>
  <c r="M30" i="8" s="1"/>
  <c r="G30" i="8"/>
  <c r="I147" i="8"/>
  <c r="J147" i="8" s="1"/>
  <c r="M147" i="8" s="1"/>
  <c r="G147" i="8"/>
  <c r="G15" i="5"/>
  <c r="I135" i="8"/>
  <c r="J135" i="8" s="1"/>
  <c r="M135" i="8" s="1"/>
  <c r="G135" i="8"/>
  <c r="I139" i="8"/>
  <c r="J139" i="8" s="1"/>
  <c r="M139" i="8" s="1"/>
  <c r="G139" i="8"/>
  <c r="J126" i="8"/>
  <c r="M126" i="8" s="1"/>
  <c r="G126" i="8"/>
  <c r="G133" i="8"/>
  <c r="J133" i="8"/>
  <c r="M133" i="8" s="1"/>
  <c r="J208" i="8"/>
  <c r="M208" i="8" s="1"/>
  <c r="G208" i="8"/>
  <c r="F7" i="7"/>
  <c r="E7" i="7"/>
  <c r="D7" i="7"/>
  <c r="I38" i="8"/>
  <c r="J38" i="8" s="1"/>
  <c r="G38" i="8"/>
  <c r="I74" i="8"/>
  <c r="J74" i="8" s="1"/>
  <c r="M74" i="8" s="1"/>
  <c r="G74" i="8"/>
  <c r="G84" i="8"/>
  <c r="J117" i="8"/>
  <c r="M117" i="8" s="1"/>
  <c r="G117" i="8"/>
  <c r="B14" i="17"/>
  <c r="B14" i="4"/>
  <c r="K24" i="2"/>
  <c r="B14" i="3"/>
  <c r="G11" i="5"/>
  <c r="F11" i="5"/>
  <c r="H19" i="5"/>
  <c r="I19" i="5" s="1"/>
  <c r="B19" i="16" s="1"/>
  <c r="F19" i="5"/>
  <c r="C14" i="3"/>
  <c r="B7" i="4"/>
  <c r="C17" i="4"/>
  <c r="C22" i="4"/>
  <c r="G6" i="5"/>
  <c r="D28" i="7"/>
  <c r="D31" i="7"/>
  <c r="E31" i="7"/>
  <c r="I11" i="8"/>
  <c r="J11" i="8" s="1"/>
  <c r="M11" i="8" s="1"/>
  <c r="G11" i="8"/>
  <c r="I27" i="8"/>
  <c r="J27" i="8" s="1"/>
  <c r="M27" i="8" s="1"/>
  <c r="I55" i="8"/>
  <c r="J55" i="8" s="1"/>
  <c r="M55" i="8" s="1"/>
  <c r="J58" i="8"/>
  <c r="M58" i="8" s="1"/>
  <c r="M92" i="8"/>
  <c r="G23" i="2"/>
  <c r="G14" i="5"/>
  <c r="F25" i="5"/>
  <c r="F9" i="7"/>
  <c r="E9" i="7"/>
  <c r="D9" i="7"/>
  <c r="F15" i="7"/>
  <c r="E15" i="7"/>
  <c r="D15" i="7"/>
  <c r="E28" i="7"/>
  <c r="F31" i="7"/>
  <c r="D41" i="7"/>
  <c r="F41" i="7"/>
  <c r="J20" i="8"/>
  <c r="M20" i="8" s="1"/>
  <c r="G20" i="8"/>
  <c r="J62" i="8"/>
  <c r="M62" i="8" s="1"/>
  <c r="G62" i="8"/>
  <c r="I106" i="8"/>
  <c r="J106" i="8" s="1"/>
  <c r="M106" i="8" s="1"/>
  <c r="G106" i="8"/>
  <c r="I119" i="8"/>
  <c r="J119" i="8" s="1"/>
  <c r="G119" i="8"/>
  <c r="J144" i="8"/>
  <c r="M144" i="8" s="1"/>
  <c r="G144" i="8"/>
  <c r="C15" i="3"/>
  <c r="C9" i="3"/>
  <c r="C13" i="3"/>
  <c r="C9" i="4"/>
  <c r="C7" i="3"/>
  <c r="G25" i="5"/>
  <c r="E41" i="7"/>
  <c r="J40" i="8"/>
  <c r="M40" i="8" s="1"/>
  <c r="G40" i="8"/>
  <c r="J184" i="8"/>
  <c r="M184" i="8" s="1"/>
  <c r="G184" i="8"/>
  <c r="G12" i="5"/>
  <c r="F15" i="5"/>
  <c r="C6" i="17"/>
  <c r="F22" i="5"/>
  <c r="H22" i="5"/>
  <c r="I22" i="5" s="1"/>
  <c r="B22" i="16" s="1"/>
  <c r="H11" i="5"/>
  <c r="I11" i="5" s="1"/>
  <c r="B11" i="16" s="1"/>
  <c r="F14" i="5"/>
  <c r="G19" i="5"/>
  <c r="G22" i="5"/>
  <c r="G20" i="2"/>
  <c r="H23" i="2"/>
  <c r="C8" i="3"/>
  <c r="B15" i="3"/>
  <c r="B10" i="4"/>
  <c r="H20" i="2"/>
  <c r="B16" i="3"/>
  <c r="C10" i="4"/>
  <c r="B15" i="4"/>
  <c r="B20" i="4"/>
  <c r="D25" i="7"/>
  <c r="F25" i="7"/>
  <c r="G27" i="8"/>
  <c r="G55" i="8"/>
  <c r="G58" i="8"/>
  <c r="G123" i="8"/>
  <c r="I123" i="8"/>
  <c r="J123" i="8" s="1"/>
  <c r="M123" i="8" s="1"/>
  <c r="B13" i="4"/>
  <c r="C16" i="17"/>
  <c r="C16" i="4"/>
  <c r="B21" i="4"/>
  <c r="C24" i="4"/>
  <c r="B17" i="4"/>
  <c r="C25" i="17"/>
  <c r="C25" i="4"/>
  <c r="B9" i="3"/>
  <c r="C16" i="3"/>
  <c r="C15" i="4"/>
  <c r="C20" i="4"/>
  <c r="J49" i="8"/>
  <c r="M49" i="8" s="1"/>
  <c r="G49" i="8"/>
  <c r="G66" i="8"/>
  <c r="I83" i="8"/>
  <c r="J83" i="8" s="1"/>
  <c r="M83" i="8" s="1"/>
  <c r="G83" i="8"/>
  <c r="G130" i="8"/>
  <c r="J130" i="8"/>
  <c r="M130" i="8" s="1"/>
  <c r="I134" i="8"/>
  <c r="J134" i="8" s="1"/>
  <c r="M134" i="8" s="1"/>
  <c r="G134" i="8"/>
  <c r="I151" i="8"/>
  <c r="J151" i="8" s="1"/>
  <c r="G151" i="8"/>
  <c r="G26" i="8"/>
  <c r="J73" i="8"/>
  <c r="M73" i="8" s="1"/>
  <c r="J154" i="8"/>
  <c r="M154" i="8" s="1"/>
  <c r="G154" i="8"/>
  <c r="J160" i="8"/>
  <c r="M160" i="8" s="1"/>
  <c r="G220" i="8"/>
  <c r="G296" i="8"/>
  <c r="G323" i="8"/>
  <c r="G356" i="8"/>
  <c r="J356" i="8"/>
  <c r="M356" i="8" s="1"/>
  <c r="F21" i="7"/>
  <c r="D36" i="7"/>
  <c r="E38" i="7"/>
  <c r="J191" i="8"/>
  <c r="M191" i="8" s="1"/>
  <c r="G191" i="8"/>
  <c r="J236" i="8"/>
  <c r="M236" i="8" s="1"/>
  <c r="G236" i="8"/>
  <c r="J248" i="8"/>
  <c r="M248" i="8" s="1"/>
  <c r="G252" i="8"/>
  <c r="J281" i="8"/>
  <c r="M281" i="8" s="1"/>
  <c r="G281" i="8"/>
  <c r="I343" i="8"/>
  <c r="J343" i="8" s="1"/>
  <c r="G359" i="8"/>
  <c r="G383" i="8"/>
  <c r="J383" i="8"/>
  <c r="M383" i="8" s="1"/>
  <c r="I423" i="8"/>
  <c r="J423" i="8" s="1"/>
  <c r="M423" i="8" s="1"/>
  <c r="G423" i="8"/>
  <c r="D34" i="7"/>
  <c r="E36" i="7"/>
  <c r="J9" i="8"/>
  <c r="M9" i="8" s="1"/>
  <c r="I26" i="8"/>
  <c r="J26" i="8" s="1"/>
  <c r="M26" i="8" s="1"/>
  <c r="J54" i="8"/>
  <c r="M54" i="8" s="1"/>
  <c r="J104" i="8"/>
  <c r="M104" i="8" s="1"/>
  <c r="J109" i="8"/>
  <c r="M109" i="8" s="1"/>
  <c r="I122" i="8"/>
  <c r="J122" i="8" s="1"/>
  <c r="M122" i="8" s="1"/>
  <c r="J143" i="8"/>
  <c r="M143" i="8" s="1"/>
  <c r="J188" i="8"/>
  <c r="M188" i="8" s="1"/>
  <c r="J220" i="8"/>
  <c r="M220" i="8" s="1"/>
  <c r="J275" i="8"/>
  <c r="M275" i="8" s="1"/>
  <c r="I455" i="8"/>
  <c r="J455" i="8" s="1"/>
  <c r="G455" i="8"/>
  <c r="J34" i="8"/>
  <c r="M34" i="8" s="1"/>
  <c r="G73" i="8"/>
  <c r="J81" i="8"/>
  <c r="M81" i="8" s="1"/>
  <c r="G125" i="8"/>
  <c r="G174" i="8"/>
  <c r="I199" i="8"/>
  <c r="J199" i="8" s="1"/>
  <c r="G205" i="8"/>
  <c r="G224" i="8"/>
  <c r="J240" i="8"/>
  <c r="M240" i="8" s="1"/>
  <c r="J249" i="8"/>
  <c r="M249" i="8" s="1"/>
  <c r="J265" i="8"/>
  <c r="M265" i="8" s="1"/>
  <c r="G265" i="8"/>
  <c r="J297" i="8"/>
  <c r="M297" i="8" s="1"/>
  <c r="G297" i="8"/>
  <c r="J340" i="8"/>
  <c r="M340" i="8" s="1"/>
  <c r="G340" i="8"/>
  <c r="I359" i="8"/>
  <c r="J359" i="8" s="1"/>
  <c r="J452" i="8"/>
  <c r="M452" i="8" s="1"/>
  <c r="G233" i="8"/>
  <c r="J259" i="8"/>
  <c r="M259" i="8" s="1"/>
  <c r="G291" i="8"/>
  <c r="I323" i="8"/>
  <c r="J323" i="8" s="1"/>
  <c r="M323" i="8" s="1"/>
  <c r="G343" i="8"/>
  <c r="J377" i="8"/>
  <c r="M377" i="8" s="1"/>
  <c r="I218" i="8"/>
  <c r="J218" i="8" s="1"/>
  <c r="M218" i="8" s="1"/>
  <c r="G218" i="8"/>
  <c r="J357" i="8"/>
  <c r="M357" i="8" s="1"/>
  <c r="G407" i="8"/>
  <c r="J502" i="8"/>
  <c r="G200" i="8"/>
  <c r="I291" i="8"/>
  <c r="J291" i="8" s="1"/>
  <c r="M291" i="8" s="1"/>
  <c r="J324" i="8"/>
  <c r="M324" i="8" s="1"/>
  <c r="I327" i="8"/>
  <c r="J327" i="8" s="1"/>
  <c r="M327" i="8" s="1"/>
  <c r="G327" i="8"/>
  <c r="J445" i="8"/>
  <c r="M445" i="8" s="1"/>
  <c r="G445" i="8"/>
  <c r="G186" i="8"/>
  <c r="G234" i="8"/>
  <c r="G377" i="8"/>
  <c r="G118" i="8"/>
  <c r="J137" i="8"/>
  <c r="M137" i="8" s="1"/>
  <c r="J175" i="8"/>
  <c r="M175" i="8" s="1"/>
  <c r="G175" i="8"/>
  <c r="J178" i="8"/>
  <c r="M178" i="8" s="1"/>
  <c r="G192" i="8"/>
  <c r="J228" i="8"/>
  <c r="M228" i="8" s="1"/>
  <c r="G256" i="8"/>
  <c r="J276" i="8"/>
  <c r="M276" i="8" s="1"/>
  <c r="G276" i="8"/>
  <c r="G285" i="8"/>
  <c r="G304" i="8"/>
  <c r="I311" i="8"/>
  <c r="J311" i="8" s="1"/>
  <c r="G311" i="8"/>
  <c r="G357" i="8"/>
  <c r="J152" i="8"/>
  <c r="M152" i="8" s="1"/>
  <c r="G169" i="8"/>
  <c r="J244" i="8"/>
  <c r="M244" i="8" s="1"/>
  <c r="G247" i="8"/>
  <c r="G334" i="8"/>
  <c r="J334" i="8"/>
  <c r="M334" i="8" s="1"/>
  <c r="G351" i="8"/>
  <c r="J351" i="8"/>
  <c r="M351" i="8" s="1"/>
  <c r="I407" i="8"/>
  <c r="J407" i="8" s="1"/>
  <c r="J328" i="8"/>
  <c r="M328" i="8" s="1"/>
  <c r="G328" i="8"/>
  <c r="G439" i="8"/>
  <c r="I439" i="8"/>
  <c r="J439" i="8" s="1"/>
  <c r="M439" i="8" s="1"/>
  <c r="F37" i="7"/>
  <c r="G137" i="8"/>
  <c r="G142" i="8"/>
  <c r="G172" i="8"/>
  <c r="I186" i="8"/>
  <c r="J186" i="8" s="1"/>
  <c r="M186" i="8" s="1"/>
  <c r="G210" i="8"/>
  <c r="G216" i="8"/>
  <c r="G228" i="8"/>
  <c r="I234" i="8"/>
  <c r="J234" i="8" s="1"/>
  <c r="M234" i="8" s="1"/>
  <c r="J308" i="8"/>
  <c r="M308" i="8" s="1"/>
  <c r="G308" i="8"/>
  <c r="G318" i="8"/>
  <c r="J318" i="8"/>
  <c r="M318" i="8" s="1"/>
  <c r="G371" i="8"/>
  <c r="J394" i="8"/>
  <c r="G244" i="8"/>
  <c r="I283" i="8"/>
  <c r="J283" i="8" s="1"/>
  <c r="M283" i="8" s="1"/>
  <c r="G286" i="8"/>
  <c r="J286" i="8"/>
  <c r="M286" i="8" s="1"/>
  <c r="J312" i="8"/>
  <c r="M312" i="8" s="1"/>
  <c r="G312" i="8"/>
  <c r="F33" i="7"/>
  <c r="J41" i="8"/>
  <c r="M41" i="8" s="1"/>
  <c r="M69" i="8"/>
  <c r="I87" i="8"/>
  <c r="J87" i="8" s="1"/>
  <c r="I103" i="8"/>
  <c r="J103" i="8" s="1"/>
  <c r="M103" i="8" s="1"/>
  <c r="J159" i="8"/>
  <c r="M159" i="8" s="1"/>
  <c r="G159" i="8"/>
  <c r="J195" i="8"/>
  <c r="M195" i="8" s="1"/>
  <c r="I247" i="8"/>
  <c r="J247" i="8" s="1"/>
  <c r="M247" i="8" s="1"/>
  <c r="J251" i="8"/>
  <c r="M251" i="8" s="1"/>
  <c r="G254" i="8"/>
  <c r="M254" i="8"/>
  <c r="J280" i="8"/>
  <c r="M280" i="8" s="1"/>
  <c r="J331" i="8"/>
  <c r="M331" i="8" s="1"/>
  <c r="J335" i="8"/>
  <c r="M335" i="8" s="1"/>
  <c r="G335" i="8"/>
  <c r="J348" i="8"/>
  <c r="M348" i="8" s="1"/>
  <c r="G348" i="8"/>
  <c r="I371" i="8"/>
  <c r="J371" i="8" s="1"/>
  <c r="M371" i="8" s="1"/>
  <c r="G242" i="8"/>
  <c r="I267" i="8"/>
  <c r="J267" i="8" s="1"/>
  <c r="M267" i="8" s="1"/>
  <c r="G267" i="8"/>
  <c r="I299" i="8"/>
  <c r="J299" i="8" s="1"/>
  <c r="M299" i="8" s="1"/>
  <c r="G302" i="8"/>
  <c r="J302" i="8"/>
  <c r="M302" i="8" s="1"/>
  <c r="J365" i="8"/>
  <c r="M365" i="8" s="1"/>
  <c r="G365" i="8"/>
  <c r="J64" i="8"/>
  <c r="M64" i="8" s="1"/>
  <c r="G190" i="8"/>
  <c r="J190" i="8"/>
  <c r="M190" i="8" s="1"/>
  <c r="J226" i="8"/>
  <c r="M226" i="8" s="1"/>
  <c r="G226" i="8"/>
  <c r="G283" i="8"/>
  <c r="J296" i="8"/>
  <c r="M296" i="8" s="1"/>
  <c r="J319" i="8"/>
  <c r="M319" i="8" s="1"/>
  <c r="G319" i="8"/>
  <c r="J329" i="8"/>
  <c r="M329" i="8" s="1"/>
  <c r="G329" i="8"/>
  <c r="J223" i="8"/>
  <c r="M223" i="8" s="1"/>
  <c r="J264" i="8"/>
  <c r="M264" i="8" s="1"/>
  <c r="J389" i="8"/>
  <c r="M389" i="8" s="1"/>
  <c r="G389" i="8"/>
  <c r="J239" i="8"/>
  <c r="M239" i="8" s="1"/>
  <c r="G239" i="8"/>
  <c r="G299" i="8"/>
  <c r="J313" i="8"/>
  <c r="M313" i="8" s="1"/>
  <c r="G313" i="8"/>
  <c r="I379" i="8"/>
  <c r="J379" i="8" s="1"/>
  <c r="M379" i="8" s="1"/>
  <c r="G382" i="8"/>
  <c r="J419" i="8"/>
  <c r="M419" i="8" s="1"/>
  <c r="J428" i="8"/>
  <c r="M428" i="8" s="1"/>
  <c r="G428" i="8"/>
  <c r="J442" i="8"/>
  <c r="M442" i="8" s="1"/>
  <c r="G479" i="8"/>
  <c r="J479" i="8"/>
  <c r="M479" i="8" s="1"/>
  <c r="J413" i="8"/>
  <c r="M413" i="8" s="1"/>
  <c r="G413" i="8"/>
  <c r="G429" i="8"/>
  <c r="J462" i="8"/>
  <c r="M462" i="8" s="1"/>
  <c r="G462" i="8"/>
  <c r="J524" i="8"/>
  <c r="M524" i="8" s="1"/>
  <c r="G524" i="8"/>
  <c r="J492" i="8"/>
  <c r="M492" i="8" s="1"/>
  <c r="G492" i="8"/>
  <c r="G270" i="8"/>
  <c r="J362" i="8"/>
  <c r="M362" i="8" s="1"/>
  <c r="G398" i="8"/>
  <c r="J473" i="8"/>
  <c r="M473" i="8" s="1"/>
  <c r="J556" i="8"/>
  <c r="M556" i="8" s="1"/>
  <c r="G556" i="8"/>
  <c r="I483" i="8"/>
  <c r="J483" i="8" s="1"/>
  <c r="M483" i="8" s="1"/>
  <c r="J260" i="8"/>
  <c r="M260" i="8" s="1"/>
  <c r="J338" i="8"/>
  <c r="M338" i="8" s="1"/>
  <c r="J429" i="8"/>
  <c r="M429" i="8" s="1"/>
  <c r="G511" i="8"/>
  <c r="J511" i="8"/>
  <c r="M511" i="8" s="1"/>
  <c r="G180" i="8"/>
  <c r="G203" i="8"/>
  <c r="G211" i="8"/>
  <c r="J255" i="8"/>
  <c r="M255" i="8" s="1"/>
  <c r="J287" i="8"/>
  <c r="M287" i="8" s="1"/>
  <c r="G292" i="8"/>
  <c r="J303" i="8"/>
  <c r="M303" i="8" s="1"/>
  <c r="J322" i="8"/>
  <c r="M322" i="8" s="1"/>
  <c r="J341" i="8"/>
  <c r="M341" i="8" s="1"/>
  <c r="I363" i="8"/>
  <c r="J363" i="8" s="1"/>
  <c r="M363" i="8" s="1"/>
  <c r="J372" i="8"/>
  <c r="M372" i="8" s="1"/>
  <c r="G372" i="8"/>
  <c r="G380" i="8"/>
  <c r="J430" i="8"/>
  <c r="M430" i="8" s="1"/>
  <c r="G430" i="8"/>
  <c r="J270" i="8"/>
  <c r="M270" i="8" s="1"/>
  <c r="J314" i="8"/>
  <c r="M314" i="8" s="1"/>
  <c r="M355" i="8"/>
  <c r="G366" i="8"/>
  <c r="J398" i="8"/>
  <c r="M398" i="8" s="1"/>
  <c r="J426" i="8"/>
  <c r="M426" i="8" s="1"/>
  <c r="G447" i="8"/>
  <c r="J447" i="8"/>
  <c r="M447" i="8" s="1"/>
  <c r="I515" i="8"/>
  <c r="J515" i="8" s="1"/>
  <c r="M515" i="8" s="1"/>
  <c r="G515" i="8"/>
  <c r="I547" i="8"/>
  <c r="J547" i="8" s="1"/>
  <c r="M547" i="8" s="1"/>
  <c r="O6" i="13"/>
  <c r="N6" i="13"/>
  <c r="H18" i="2" s="1"/>
  <c r="E18" i="4" s="1"/>
  <c r="G260" i="8"/>
  <c r="J271" i="8"/>
  <c r="M271" i="8" s="1"/>
  <c r="J290" i="8"/>
  <c r="M290" i="8" s="1"/>
  <c r="G338" i="8"/>
  <c r="G352" i="8"/>
  <c r="G375" i="8"/>
  <c r="J378" i="8"/>
  <c r="M378" i="8" s="1"/>
  <c r="J474" i="8"/>
  <c r="M474" i="8" s="1"/>
  <c r="O7" i="13"/>
  <c r="N7" i="13"/>
  <c r="H19" i="2" s="1"/>
  <c r="J282" i="8"/>
  <c r="M282" i="8" s="1"/>
  <c r="J464" i="8"/>
  <c r="M464" i="8" s="1"/>
  <c r="J477" i="8"/>
  <c r="M477" i="8" s="1"/>
  <c r="G477" i="8"/>
  <c r="I487" i="8"/>
  <c r="J487" i="8" s="1"/>
  <c r="G487" i="8"/>
  <c r="J537" i="8"/>
  <c r="M537" i="8" s="1"/>
  <c r="G537" i="8"/>
  <c r="J284" i="8"/>
  <c r="M284" i="8" s="1"/>
  <c r="J300" i="8"/>
  <c r="M300" i="8" s="1"/>
  <c r="J352" i="8"/>
  <c r="M352" i="8" s="1"/>
  <c r="I375" i="8"/>
  <c r="J375" i="8" s="1"/>
  <c r="G396" i="8"/>
  <c r="G415" i="8"/>
  <c r="J415" i="8"/>
  <c r="M415" i="8" s="1"/>
  <c r="J431" i="8"/>
  <c r="M431" i="8" s="1"/>
  <c r="J441" i="8"/>
  <c r="M441" i="8" s="1"/>
  <c r="J460" i="8"/>
  <c r="M460" i="8" s="1"/>
  <c r="G460" i="8"/>
  <c r="J471" i="8"/>
  <c r="M471" i="8" s="1"/>
  <c r="G471" i="8"/>
  <c r="J505" i="8"/>
  <c r="M505" i="8" s="1"/>
  <c r="G505" i="8"/>
  <c r="I170" i="8"/>
  <c r="J170" i="8" s="1"/>
  <c r="M206" i="8"/>
  <c r="J212" i="8"/>
  <c r="M212" i="8" s="1"/>
  <c r="G232" i="8"/>
  <c r="G240" i="8"/>
  <c r="G250" i="8"/>
  <c r="G258" i="8"/>
  <c r="G263" i="8"/>
  <c r="J266" i="8"/>
  <c r="M266" i="8" s="1"/>
  <c r="G271" i="8"/>
  <c r="G290" i="8"/>
  <c r="J330" i="8"/>
  <c r="M330" i="8" s="1"/>
  <c r="J366" i="8"/>
  <c r="M366" i="8" s="1"/>
  <c r="J370" i="8"/>
  <c r="M370" i="8" s="1"/>
  <c r="J373" i="8"/>
  <c r="M373" i="8" s="1"/>
  <c r="G393" i="8"/>
  <c r="I451" i="8"/>
  <c r="J451" i="8" s="1"/>
  <c r="M451" i="8" s="1"/>
  <c r="G516" i="8"/>
  <c r="J516" i="8"/>
  <c r="M516" i="8" s="1"/>
  <c r="M526" i="8"/>
  <c r="J367" i="8"/>
  <c r="M367" i="8" s="1"/>
  <c r="G367" i="8"/>
  <c r="M403" i="8"/>
  <c r="I250" i="8"/>
  <c r="J250" i="8" s="1"/>
  <c r="M250" i="8" s="1"/>
  <c r="J298" i="8"/>
  <c r="M298" i="8" s="1"/>
  <c r="G350" i="8"/>
  <c r="J376" i="8"/>
  <c r="M376" i="8" s="1"/>
  <c r="G388" i="8"/>
  <c r="J388" i="8"/>
  <c r="M388" i="8" s="1"/>
  <c r="J400" i="8"/>
  <c r="M400" i="8" s="1"/>
  <c r="J468" i="8"/>
  <c r="M468" i="8" s="1"/>
  <c r="J432" i="8"/>
  <c r="M432" i="8" s="1"/>
  <c r="G461" i="8"/>
  <c r="J523" i="8"/>
  <c r="M523" i="8" s="1"/>
  <c r="J555" i="8"/>
  <c r="M555" i="8" s="1"/>
  <c r="M560" i="8"/>
  <c r="G494" i="8"/>
  <c r="G526" i="8"/>
  <c r="J543" i="8"/>
  <c r="M543" i="8" s="1"/>
  <c r="G558" i="8"/>
  <c r="J435" i="8"/>
  <c r="M435" i="8" s="1"/>
  <c r="G509" i="8"/>
  <c r="G519" i="8"/>
  <c r="G561" i="8"/>
  <c r="G566" i="8"/>
  <c r="I519" i="8"/>
  <c r="J519" i="8" s="1"/>
  <c r="I551" i="8"/>
  <c r="J551" i="8" s="1"/>
  <c r="M551" i="8" s="1"/>
  <c r="G6" i="13"/>
  <c r="G399" i="8"/>
  <c r="I411" i="8"/>
  <c r="J411" i="8" s="1"/>
  <c r="M411" i="8" s="1"/>
  <c r="G431" i="8"/>
  <c r="I443" i="8"/>
  <c r="J443" i="8" s="1"/>
  <c r="M443" i="8" s="1"/>
  <c r="G463" i="8"/>
  <c r="I475" i="8"/>
  <c r="J475" i="8" s="1"/>
  <c r="M475" i="8" s="1"/>
  <c r="G495" i="8"/>
  <c r="G500" i="8"/>
  <c r="I507" i="8"/>
  <c r="J507" i="8" s="1"/>
  <c r="M507" i="8" s="1"/>
  <c r="G527" i="8"/>
  <c r="G532" i="8"/>
  <c r="I539" i="8"/>
  <c r="J539" i="8" s="1"/>
  <c r="M539" i="8" s="1"/>
  <c r="J544" i="8"/>
  <c r="M544" i="8" s="1"/>
  <c r="J549" i="8"/>
  <c r="M549" i="8" s="1"/>
  <c r="G559" i="8"/>
  <c r="J581" i="8"/>
  <c r="M581" i="8" s="1"/>
  <c r="G569" i="8"/>
  <c r="G414" i="8"/>
  <c r="G446" i="8"/>
  <c r="G478" i="8"/>
  <c r="G510" i="8"/>
  <c r="G542" i="8"/>
  <c r="G574" i="8"/>
  <c r="J569" i="8"/>
  <c r="I579" i="8"/>
  <c r="J579" i="8" s="1"/>
  <c r="M579" i="8" s="1"/>
  <c r="J414" i="8"/>
  <c r="M414" i="8" s="1"/>
  <c r="G493" i="8"/>
  <c r="G503" i="8"/>
  <c r="G7" i="13"/>
  <c r="G572" i="8"/>
  <c r="G464" i="8"/>
  <c r="G469" i="8"/>
  <c r="G496" i="8"/>
  <c r="G501" i="8"/>
  <c r="J503" i="8"/>
  <c r="M503" i="8" s="1"/>
  <c r="G528" i="8"/>
  <c r="G533" i="8"/>
  <c r="G560" i="8"/>
  <c r="G565" i="8"/>
  <c r="J508" i="8"/>
  <c r="M508" i="8" s="1"/>
  <c r="J540" i="8"/>
  <c r="M540" i="8" s="1"/>
  <c r="J572" i="8"/>
  <c r="M572" i="8" s="1"/>
  <c r="F25" i="4" l="1"/>
  <c r="G25" i="4" s="1"/>
  <c r="F21" i="4"/>
  <c r="H21" i="4" s="1"/>
  <c r="F18" i="4"/>
  <c r="H18" i="4" s="1"/>
  <c r="J18" i="2"/>
  <c r="F18" i="17" s="1"/>
  <c r="G18" i="17" s="1"/>
  <c r="J18" i="17" s="1"/>
  <c r="K21" i="2"/>
  <c r="J25" i="2"/>
  <c r="F25" i="17" s="1"/>
  <c r="K22" i="2"/>
  <c r="F24" i="4"/>
  <c r="H24" i="4" s="1"/>
  <c r="C19" i="16"/>
  <c r="E19" i="16" s="1"/>
  <c r="J22" i="2"/>
  <c r="F22" i="17" s="1"/>
  <c r="G22" i="17" s="1"/>
  <c r="J22" i="17" s="1"/>
  <c r="C18" i="16"/>
  <c r="G18" i="16" s="1"/>
  <c r="I18" i="16" s="1"/>
  <c r="J24" i="2"/>
  <c r="F24" i="17" s="1"/>
  <c r="F22" i="4"/>
  <c r="H22" i="4" s="1"/>
  <c r="M343" i="8"/>
  <c r="G27" i="7" s="1"/>
  <c r="H27" i="7" s="1"/>
  <c r="M455" i="8"/>
  <c r="G34" i="7" s="1"/>
  <c r="H34" i="7" s="1"/>
  <c r="E19" i="4"/>
  <c r="F19" i="4" s="1"/>
  <c r="K19" i="2"/>
  <c r="M311" i="8"/>
  <c r="G25" i="7" s="1"/>
  <c r="H25" i="7" s="1"/>
  <c r="M359" i="8"/>
  <c r="G28" i="7" s="1"/>
  <c r="H28" i="7" s="1"/>
  <c r="M70" i="8"/>
  <c r="G10" i="7" s="1"/>
  <c r="H10" i="7" s="1"/>
  <c r="M375" i="8"/>
  <c r="G29" i="7" s="1"/>
  <c r="H29" i="7" s="1"/>
  <c r="M22" i="8"/>
  <c r="G7" i="7" s="1"/>
  <c r="H7" i="7" s="1"/>
  <c r="M87" i="8"/>
  <c r="G11" i="7" s="1"/>
  <c r="H11" i="7" s="1"/>
  <c r="M170" i="8"/>
  <c r="G16" i="7" s="1"/>
  <c r="H16" i="7" s="1"/>
  <c r="G22" i="7"/>
  <c r="H22" i="7" s="1"/>
  <c r="M407" i="8"/>
  <c r="G31" i="7" s="1"/>
  <c r="H31" i="7" s="1"/>
  <c r="M38" i="8"/>
  <c r="G8" i="7" s="1"/>
  <c r="H8" i="7" s="1"/>
  <c r="M438" i="8"/>
  <c r="G33" i="7" s="1"/>
  <c r="H33" i="7" s="1"/>
  <c r="M569" i="8"/>
  <c r="G41" i="7" s="1"/>
  <c r="H41" i="7" s="1"/>
  <c r="G26" i="7"/>
  <c r="H26" i="7" s="1"/>
  <c r="C21" i="16"/>
  <c r="G14" i="7"/>
  <c r="H14" i="7" s="1"/>
  <c r="C17" i="16"/>
  <c r="E20" i="17"/>
  <c r="J20" i="2"/>
  <c r="F20" i="17" s="1"/>
  <c r="G20" i="17" s="1"/>
  <c r="J20" i="17" s="1"/>
  <c r="E23" i="17"/>
  <c r="J23" i="2"/>
  <c r="F23" i="17" s="1"/>
  <c r="G23" i="17" s="1"/>
  <c r="J23" i="17" s="1"/>
  <c r="C10" i="16"/>
  <c r="G21" i="7"/>
  <c r="H21" i="7" s="1"/>
  <c r="B18" i="3"/>
  <c r="G6" i="7"/>
  <c r="H6" i="7" s="1"/>
  <c r="K18" i="2"/>
  <c r="M470" i="8"/>
  <c r="G35" i="7" s="1"/>
  <c r="H35" i="7" s="1"/>
  <c r="C13" i="16"/>
  <c r="C9" i="16"/>
  <c r="M502" i="8"/>
  <c r="G37" i="7" s="1"/>
  <c r="H37" i="7" s="1"/>
  <c r="J19" i="2"/>
  <c r="F19" i="17" s="1"/>
  <c r="G19" i="17" s="1"/>
  <c r="J19" i="17" s="1"/>
  <c r="G19" i="7"/>
  <c r="H19" i="7" s="1"/>
  <c r="G40" i="7"/>
  <c r="H40" i="7" s="1"/>
  <c r="M199" i="8"/>
  <c r="G18" i="7" s="1"/>
  <c r="H18" i="7" s="1"/>
  <c r="C7" i="16"/>
  <c r="G39" i="7"/>
  <c r="H39" i="7" s="1"/>
  <c r="C20" i="16"/>
  <c r="C14" i="16"/>
  <c r="G17" i="7"/>
  <c r="H17" i="7" s="1"/>
  <c r="G12" i="7"/>
  <c r="H12" i="7" s="1"/>
  <c r="M519" i="8"/>
  <c r="G38" i="7" s="1"/>
  <c r="H38" i="7" s="1"/>
  <c r="E20" i="4"/>
  <c r="F20" i="4" s="1"/>
  <c r="K20" i="2"/>
  <c r="M119" i="8"/>
  <c r="G13" i="7" s="1"/>
  <c r="H13" i="7" s="1"/>
  <c r="C24" i="16"/>
  <c r="C11" i="16"/>
  <c r="C18" i="3"/>
  <c r="C25" i="16"/>
  <c r="C12" i="16"/>
  <c r="E23" i="4"/>
  <c r="F23" i="4" s="1"/>
  <c r="K23" i="2"/>
  <c r="M394" i="8"/>
  <c r="G30" i="7" s="1"/>
  <c r="H30" i="7" s="1"/>
  <c r="C8" i="16"/>
  <c r="C15" i="16"/>
  <c r="G23" i="7"/>
  <c r="H23" i="7" s="1"/>
  <c r="G32" i="7"/>
  <c r="H32" i="7" s="1"/>
  <c r="M487" i="8"/>
  <c r="G36" i="7" s="1"/>
  <c r="H36" i="7" s="1"/>
  <c r="G9" i="7"/>
  <c r="H9" i="7" s="1"/>
  <c r="C22" i="16"/>
  <c r="G20" i="7"/>
  <c r="H20" i="7" s="1"/>
  <c r="G24" i="7"/>
  <c r="H24" i="7" s="1"/>
  <c r="E21" i="17"/>
  <c r="J21" i="2"/>
  <c r="F21" i="17" s="1"/>
  <c r="G21" i="17" s="1"/>
  <c r="J21" i="17" s="1"/>
  <c r="C16" i="16"/>
  <c r="C6" i="16"/>
  <c r="M151" i="8"/>
  <c r="G15" i="7" s="1"/>
  <c r="H15" i="7" s="1"/>
  <c r="C23" i="16"/>
  <c r="G21" i="4" l="1"/>
  <c r="H25" i="4"/>
  <c r="G18" i="4"/>
  <c r="E18" i="16"/>
  <c r="D18" i="16"/>
  <c r="G19" i="16"/>
  <c r="I19" i="16" s="1"/>
  <c r="G24" i="4"/>
  <c r="G22" i="4"/>
  <c r="D19" i="16"/>
  <c r="F19" i="16" s="1"/>
  <c r="H20" i="4"/>
  <c r="G20" i="4"/>
  <c r="K16" i="7"/>
  <c r="I16" i="7"/>
  <c r="J16" i="7" s="1"/>
  <c r="I15" i="7"/>
  <c r="J15" i="7" s="1"/>
  <c r="K15" i="7"/>
  <c r="G9" i="2"/>
  <c r="K10" i="7"/>
  <c r="I10" i="7"/>
  <c r="J10" i="7" s="1"/>
  <c r="I41" i="7"/>
  <c r="J41" i="7" s="1"/>
  <c r="K41" i="7"/>
  <c r="K11" i="7"/>
  <c r="I11" i="7"/>
  <c r="J11" i="7" s="1"/>
  <c r="K7" i="7"/>
  <c r="I7" i="7"/>
  <c r="J7" i="7" s="1"/>
  <c r="K38" i="7"/>
  <c r="I38" i="7"/>
  <c r="J38" i="7" s="1"/>
  <c r="K20" i="7"/>
  <c r="I20" i="7"/>
  <c r="J20" i="7" s="1"/>
  <c r="K6" i="7"/>
  <c r="I6" i="7"/>
  <c r="J6" i="7" s="1"/>
  <c r="G6" i="2"/>
  <c r="K35" i="7"/>
  <c r="I35" i="7"/>
  <c r="J35" i="7" s="1"/>
  <c r="I39" i="7"/>
  <c r="J39" i="7" s="1"/>
  <c r="K39" i="7"/>
  <c r="G17" i="2"/>
  <c r="K34" i="7"/>
  <c r="I34" i="7"/>
  <c r="J34" i="7" s="1"/>
  <c r="K13" i="7"/>
  <c r="I13" i="7"/>
  <c r="J13" i="7" s="1"/>
  <c r="K8" i="7"/>
  <c r="I8" i="7"/>
  <c r="J8" i="7" s="1"/>
  <c r="K36" i="7"/>
  <c r="I36" i="7"/>
  <c r="J36" i="7" s="1"/>
  <c r="G16" i="2"/>
  <c r="K12" i="7"/>
  <c r="G8" i="2"/>
  <c r="I12" i="7"/>
  <c r="J12" i="7" s="1"/>
  <c r="K27" i="7"/>
  <c r="I27" i="7"/>
  <c r="J27" i="7" s="1"/>
  <c r="G13" i="2"/>
  <c r="E12" i="16"/>
  <c r="D12" i="16"/>
  <c r="G12" i="16"/>
  <c r="I12" i="16" s="1"/>
  <c r="G12" i="2"/>
  <c r="K24" i="7"/>
  <c r="I24" i="7"/>
  <c r="J24" i="7" s="1"/>
  <c r="K29" i="7"/>
  <c r="I29" i="7"/>
  <c r="J29" i="7" s="1"/>
  <c r="G13" i="16"/>
  <c r="I13" i="16" s="1"/>
  <c r="E13" i="16"/>
  <c r="D13" i="16"/>
  <c r="G24" i="16"/>
  <c r="I24" i="16" s="1"/>
  <c r="E24" i="16"/>
  <c r="D24" i="16"/>
  <c r="K21" i="7"/>
  <c r="I21" i="7"/>
  <c r="J21" i="7" s="1"/>
  <c r="G11" i="2"/>
  <c r="K33" i="7"/>
  <c r="I33" i="7"/>
  <c r="J33" i="7" s="1"/>
  <c r="G15" i="2"/>
  <c r="G23" i="16"/>
  <c r="I23" i="16" s="1"/>
  <c r="E23" i="16"/>
  <c r="D23" i="16"/>
  <c r="I28" i="7"/>
  <c r="J28" i="7" s="1"/>
  <c r="K28" i="7"/>
  <c r="H23" i="4"/>
  <c r="G23" i="4"/>
  <c r="K37" i="7"/>
  <c r="I37" i="7"/>
  <c r="J37" i="7" s="1"/>
  <c r="I23" i="7"/>
  <c r="J23" i="7" s="1"/>
  <c r="K23" i="7"/>
  <c r="E10" i="16"/>
  <c r="D10" i="16"/>
  <c r="D25" i="16"/>
  <c r="G25" i="16"/>
  <c r="I25" i="16" s="1"/>
  <c r="E25" i="16"/>
  <c r="G22" i="16"/>
  <c r="I22" i="16" s="1"/>
  <c r="E22" i="16"/>
  <c r="D22" i="16"/>
  <c r="I9" i="7"/>
  <c r="J9" i="7" s="1"/>
  <c r="K9" i="7"/>
  <c r="G7" i="2"/>
  <c r="K32" i="7"/>
  <c r="I32" i="7"/>
  <c r="J32" i="7" s="1"/>
  <c r="K17" i="7"/>
  <c r="I17" i="7"/>
  <c r="J17" i="7" s="1"/>
  <c r="G20" i="16"/>
  <c r="I20" i="16" s="1"/>
  <c r="E20" i="16"/>
  <c r="D20" i="16"/>
  <c r="I22" i="7"/>
  <c r="J22" i="7" s="1"/>
  <c r="K22" i="7"/>
  <c r="I25" i="7"/>
  <c r="J25" i="7" s="1"/>
  <c r="K25" i="7"/>
  <c r="E11" i="16"/>
  <c r="D11" i="16"/>
  <c r="E6" i="16"/>
  <c r="D6" i="16"/>
  <c r="H19" i="4"/>
  <c r="G19" i="4"/>
  <c r="G9" i="16"/>
  <c r="I9" i="16" s="1"/>
  <c r="E9" i="16"/>
  <c r="D9" i="16"/>
  <c r="D7" i="16"/>
  <c r="E7" i="16"/>
  <c r="G16" i="16"/>
  <c r="I16" i="16" s="1"/>
  <c r="E16" i="16"/>
  <c r="D16" i="16"/>
  <c r="G15" i="16"/>
  <c r="I15" i="16" s="1"/>
  <c r="E15" i="16"/>
  <c r="D15" i="16"/>
  <c r="K40" i="7"/>
  <c r="I40" i="7"/>
  <c r="J40" i="7" s="1"/>
  <c r="G14" i="16"/>
  <c r="I14" i="16" s="1"/>
  <c r="E14" i="16"/>
  <c r="D14" i="16"/>
  <c r="E17" i="16"/>
  <c r="D17" i="16"/>
  <c r="G17" i="16"/>
  <c r="I17" i="16" s="1"/>
  <c r="K19" i="7"/>
  <c r="I19" i="7"/>
  <c r="J19" i="7" s="1"/>
  <c r="K18" i="7"/>
  <c r="I18" i="7"/>
  <c r="J18" i="7" s="1"/>
  <c r="G10" i="2"/>
  <c r="G8" i="16"/>
  <c r="I8" i="16" s="1"/>
  <c r="E8" i="16"/>
  <c r="D8" i="16"/>
  <c r="G21" i="16"/>
  <c r="I21" i="16" s="1"/>
  <c r="E21" i="16"/>
  <c r="D21" i="16"/>
  <c r="K14" i="7"/>
  <c r="I14" i="7"/>
  <c r="J14" i="7" s="1"/>
  <c r="I31" i="7"/>
  <c r="J31" i="7" s="1"/>
  <c r="K31" i="7"/>
  <c r="K30" i="7"/>
  <c r="I30" i="7"/>
  <c r="J30" i="7" s="1"/>
  <c r="G14" i="2"/>
  <c r="K26" i="7"/>
  <c r="I26" i="7"/>
  <c r="J26" i="7" s="1"/>
  <c r="F20" i="16" l="1"/>
  <c r="F18" i="16"/>
  <c r="K16" i="2"/>
  <c r="F14" i="16"/>
  <c r="F6" i="16"/>
  <c r="G6" i="16" s="1"/>
  <c r="I6" i="16" s="1"/>
  <c r="F23" i="16"/>
  <c r="K15" i="2"/>
  <c r="F25" i="16"/>
  <c r="K6" i="2"/>
  <c r="K10" i="2"/>
  <c r="F12" i="16"/>
  <c r="F24" i="16"/>
  <c r="F13" i="16"/>
  <c r="F9" i="16"/>
  <c r="K7" i="2"/>
  <c r="K13" i="2"/>
  <c r="F10" i="16"/>
  <c r="G10" i="16" s="1"/>
  <c r="I10" i="16" s="1"/>
  <c r="K14" i="2"/>
  <c r="F11" i="16"/>
  <c r="G11" i="16" s="1"/>
  <c r="I11" i="16" s="1"/>
  <c r="F21" i="16"/>
  <c r="F17" i="16"/>
  <c r="F7" i="16"/>
  <c r="G7" i="16" s="1"/>
  <c r="I7" i="16" s="1"/>
  <c r="F22" i="16"/>
  <c r="K17" i="2"/>
  <c r="F15" i="16"/>
  <c r="K12" i="2"/>
  <c r="F8" i="16"/>
  <c r="K9" i="2"/>
  <c r="F16" i="16"/>
  <c r="K11" i="2"/>
  <c r="K8" i="2"/>
  <c r="E16" i="17"/>
  <c r="J16" i="2"/>
  <c r="F16" i="17" s="1"/>
  <c r="G16" i="17" s="1"/>
  <c r="J16" i="17" s="1"/>
  <c r="H16" i="2"/>
  <c r="E16" i="4" s="1"/>
  <c r="F16" i="4" s="1"/>
  <c r="E11" i="17"/>
  <c r="H11" i="2"/>
  <c r="E11" i="4" s="1"/>
  <c r="F11" i="4" s="1"/>
  <c r="J11" i="2"/>
  <c r="F11" i="17" s="1"/>
  <c r="G11" i="17" s="1"/>
  <c r="J11" i="17" s="1"/>
  <c r="E10" i="17"/>
  <c r="H10" i="2"/>
  <c r="E10" i="4" s="1"/>
  <c r="F10" i="4" s="1"/>
  <c r="J10" i="2"/>
  <c r="F10" i="17" s="1"/>
  <c r="G10" i="17" s="1"/>
  <c r="J10" i="17" s="1"/>
  <c r="E13" i="17"/>
  <c r="J13" i="2"/>
  <c r="F13" i="17" s="1"/>
  <c r="G13" i="17" s="1"/>
  <c r="J13" i="17" s="1"/>
  <c r="H13" i="2"/>
  <c r="E13" i="4" s="1"/>
  <c r="F13" i="4" s="1"/>
  <c r="E17" i="17"/>
  <c r="J17" i="2"/>
  <c r="F17" i="17" s="1"/>
  <c r="G17" i="17" s="1"/>
  <c r="J17" i="17" s="1"/>
  <c r="H17" i="2"/>
  <c r="E17" i="4" s="1"/>
  <c r="F17" i="4" s="1"/>
  <c r="E7" i="17"/>
  <c r="J7" i="2"/>
  <c r="F7" i="17" s="1"/>
  <c r="G7" i="17" s="1"/>
  <c r="J7" i="17" s="1"/>
  <c r="H7" i="2"/>
  <c r="E7" i="4" s="1"/>
  <c r="F7" i="4" s="1"/>
  <c r="E9" i="17"/>
  <c r="J9" i="2"/>
  <c r="F9" i="17" s="1"/>
  <c r="G9" i="17" s="1"/>
  <c r="J9" i="17" s="1"/>
  <c r="H9" i="2"/>
  <c r="E9" i="4" s="1"/>
  <c r="F9" i="4" s="1"/>
  <c r="E12" i="17"/>
  <c r="H12" i="2"/>
  <c r="E12" i="4" s="1"/>
  <c r="F12" i="4" s="1"/>
  <c r="J12" i="2"/>
  <c r="F12" i="17" s="1"/>
  <c r="G12" i="17" s="1"/>
  <c r="J12" i="17" s="1"/>
  <c r="E14" i="17"/>
  <c r="H14" i="2"/>
  <c r="E14" i="4" s="1"/>
  <c r="F14" i="4" s="1"/>
  <c r="J14" i="2"/>
  <c r="F14" i="17" s="1"/>
  <c r="G14" i="17" s="1"/>
  <c r="J14" i="17" s="1"/>
  <c r="E8" i="17"/>
  <c r="H8" i="2"/>
  <c r="E8" i="4" s="1"/>
  <c r="F8" i="4" s="1"/>
  <c r="J8" i="2"/>
  <c r="F8" i="17" s="1"/>
  <c r="G8" i="17" s="1"/>
  <c r="J8" i="17" s="1"/>
  <c r="E6" i="17"/>
  <c r="H6" i="2"/>
  <c r="J6" i="2"/>
  <c r="F6" i="17" s="1"/>
  <c r="G6" i="17" s="1"/>
  <c r="J6" i="17" s="1"/>
  <c r="E15" i="17"/>
  <c r="H15" i="2"/>
  <c r="E15" i="4" s="1"/>
  <c r="F15" i="4" s="1"/>
  <c r="J15" i="2"/>
  <c r="F15" i="17" s="1"/>
  <c r="G15" i="17" s="1"/>
  <c r="J15" i="17" s="1"/>
  <c r="B16" i="1" l="1"/>
  <c r="H7" i="4"/>
  <c r="G7" i="4"/>
  <c r="D15" i="3"/>
  <c r="D9" i="3"/>
  <c r="B10" i="1"/>
  <c r="D10" i="3"/>
  <c r="D8" i="3"/>
  <c r="D7" i="3"/>
  <c r="D14" i="3"/>
  <c r="D11" i="3"/>
  <c r="D13" i="3"/>
  <c r="D6" i="3"/>
  <c r="E6" i="4"/>
  <c r="F6" i="4" s="1"/>
  <c r="D12" i="3"/>
  <c r="B12" i="1"/>
  <c r="D16" i="3"/>
  <c r="B13" i="1"/>
  <c r="B11" i="1"/>
  <c r="H16" i="4"/>
  <c r="G16" i="4"/>
  <c r="H8" i="4"/>
  <c r="G8" i="4"/>
  <c r="H10" i="4"/>
  <c r="G10" i="4"/>
  <c r="H14" i="4"/>
  <c r="G14" i="4"/>
  <c r="H15" i="4"/>
  <c r="G15" i="4"/>
  <c r="H13" i="4"/>
  <c r="G13" i="4"/>
  <c r="H11" i="4"/>
  <c r="G11" i="4"/>
  <c r="G9" i="4"/>
  <c r="H9" i="4"/>
  <c r="G17" i="4"/>
  <c r="H17" i="4"/>
  <c r="H12" i="4"/>
  <c r="G12" i="4"/>
  <c r="B14" i="1" l="1"/>
  <c r="B15" i="1" s="1"/>
  <c r="D18" i="3"/>
  <c r="G6" i="4"/>
  <c r="G27" i="4" s="1"/>
  <c r="H6" i="4"/>
  <c r="H27" i="4" s="1"/>
  <c r="H28" i="4"/>
  <c r="D28" i="4" l="1"/>
</calcChain>
</file>

<file path=xl/sharedStrings.xml><?xml version="1.0" encoding="utf-8"?>
<sst xmlns="http://schemas.openxmlformats.org/spreadsheetml/2006/main" count="4651" uniqueCount="760">
  <si>
    <t>租金市场法专业试用版</t>
  </si>
  <si>
    <t>V0.2  2026年10月9日  20条资产记录，12项市场比较，30个模拟案例。</t>
  </si>
  <si>
    <t>导出批次</t>
  </si>
  <si>
    <t>模拟基准时点</t>
  </si>
  <si>
    <t>台账记录数</t>
  </si>
  <si>
    <t>范围内计租项数</t>
  </si>
  <si>
    <t>范围排除项数</t>
  </si>
  <si>
    <t>本年年租金合计元</t>
  </si>
  <si>
    <t>其中设备年租金元</t>
  </si>
  <si>
    <t>非设备年租金元</t>
  </si>
  <si>
    <t>B类资料核定金额元</t>
  </si>
  <si>
    <t>B类金额占非设备比例</t>
  </si>
  <si>
    <t>B类占比复核</t>
  </si>
  <si>
    <t>市场比较计算异常数</t>
  </si>
  <si>
    <t>原始资料核验状态</t>
  </si>
  <si>
    <t>全部为模拟，尚无真实核验证据</t>
  </si>
  <si>
    <t>使用顺序</t>
  </si>
  <si>
    <t>主要工作表</t>
  </si>
  <si>
    <t>需要完成的判断</t>
  </si>
  <si>
    <t>查看结果</t>
  </si>
  <si>
    <t>1范围与用途</t>
  </si>
  <si>
    <t>资产清单、计租与历史</t>
  </si>
  <si>
    <t>核对数量、实际用途、范围和重复记录</t>
  </si>
  <si>
    <t>识别与分组</t>
  </si>
  <si>
    <t>2案例资料</t>
  </si>
  <si>
    <t>市场案例库、资料索引</t>
  </si>
  <si>
    <t>核对详情页、日期、价格、面积和底层标的</t>
  </si>
  <si>
    <t>三案例选用</t>
  </si>
  <si>
    <t>3逐项评分</t>
  </si>
  <si>
    <t>修正明细、测算参数</t>
  </si>
  <si>
    <t>比较双方条件，确认评分与依据</t>
  </si>
  <si>
    <t>三案例测算</t>
  </si>
  <si>
    <t>4非比较项目</t>
  </si>
  <si>
    <t>租赁资料核定、特殊计租、设备附表</t>
  </si>
  <si>
    <t>确认路线、频次、资料口径与年额</t>
  </si>
  <si>
    <t>测算结果</t>
  </si>
  <si>
    <t>5专业复核</t>
  </si>
  <si>
    <t>历史离散复核、大幅变动复核</t>
  </si>
  <si>
    <t>填写原因及专业确认，不倒推结论</t>
  </si>
  <si>
    <t>两年金额对比</t>
  </si>
  <si>
    <t>6成果导出</t>
  </si>
  <si>
    <t>同步导出.ps1</t>
  </si>
  <si>
    <t>在Excel保存完整版后同步生成两个外部版本</t>
  </si>
  <si>
    <t>三个版本同批一致</t>
  </si>
  <si>
    <t>7异常练习</t>
  </si>
  <si>
    <t>异常练习</t>
  </si>
  <si>
    <t>每次只改一个输入，观察并恢复</t>
  </si>
  <si>
    <t>16项情形</t>
  </si>
  <si>
    <t>8试用验证</t>
  </si>
  <si>
    <t>工时与反馈</t>
  </si>
  <si>
    <t>同一范围记录实际工时和使用反馈</t>
  </si>
  <si>
    <t>不预填节省比例</t>
  </si>
  <si>
    <t>三种成果来自同一计算底座。送审演示版保留独立复算所需数据；交流意见版为同批次结果快照。</t>
  </si>
  <si>
    <t>资料核定路线在内部归入B类控制，独立合同核定及专项计租另行列示，不一概混为B类。</t>
  </si>
  <si>
    <t>专业复核待办不自动修改价格。模拟证据不可用于真实评估，方法适用和专业结论仍须评估人员判断。</t>
  </si>
  <si>
    <t>扩展资产须同步扩展记录、选择、因素和结果依赖；本版预置20条记录，不承诺仅插入一行即可扩容。</t>
  </si>
  <si>
    <t>逐项租金测算结果</t>
  </si>
  <si>
    <t>全部业务数据及依据记录均为模拟。用于试用复算，未核验真实来源。</t>
  </si>
  <si>
    <t>资产编码</t>
  </si>
  <si>
    <t>资产名称</t>
  </si>
  <si>
    <t>实际用途</t>
  </si>
  <si>
    <t>测算路线</t>
  </si>
  <si>
    <t>单价单位</t>
  </si>
  <si>
    <t>计租数量</t>
  </si>
  <si>
    <t>最终租金单价</t>
  </si>
  <si>
    <t>本年年租金元</t>
  </si>
  <si>
    <t>上期参考单价</t>
  </si>
  <si>
    <t>单价差异率</t>
  </si>
  <si>
    <t>计算及组合复核</t>
  </si>
  <si>
    <t>范围</t>
  </si>
  <si>
    <t>计租及复核说明</t>
  </si>
  <si>
    <t>真实资料状态</t>
  </si>
  <si>
    <t>RP-001</t>
  </si>
  <si>
    <t>模拟数据未真实核验</t>
  </si>
  <si>
    <t>RP-002</t>
  </si>
  <si>
    <t>RP-003</t>
  </si>
  <si>
    <t>RP-004</t>
  </si>
  <si>
    <t>RP-005</t>
  </si>
  <si>
    <t>RP-006</t>
  </si>
  <si>
    <t>RP-007</t>
  </si>
  <si>
    <t>RP-008</t>
  </si>
  <si>
    <t>RP-009</t>
  </si>
  <si>
    <t>RP-010</t>
  </si>
  <si>
    <t>RP-011</t>
  </si>
  <si>
    <t>RP-012</t>
  </si>
  <si>
    <t>RP-013</t>
  </si>
  <si>
    <t>RP-014</t>
  </si>
  <si>
    <t>RP-015</t>
  </si>
  <si>
    <t>RP-016</t>
  </si>
  <si>
    <t>RP-017</t>
  </si>
  <si>
    <t>RP-018</t>
  </si>
  <si>
    <t>RP-019</t>
  </si>
  <si>
    <t>RP-020</t>
  </si>
  <si>
    <t>范围排除的0表示不纳入本次计租，不表示该资产没有市场租金。缺少必要资料的年额保持为空。</t>
  </si>
  <si>
    <t>不同单价单位不求平均。设备按每台年结论计租；活动场馆不乘面积；按间和按处数量独立记录。</t>
  </si>
  <si>
    <t>资产分类与计租路线汇总</t>
  </si>
  <si>
    <t>分类维度</t>
  </si>
  <si>
    <t>范围内项数</t>
  </si>
  <si>
    <t>范围外项数</t>
  </si>
  <si>
    <t>说明</t>
  </si>
  <si>
    <t>商业</t>
  </si>
  <si>
    <t>按确认实际用途分类</t>
  </si>
  <si>
    <t>办公</t>
  </si>
  <si>
    <t>仓储</t>
  </si>
  <si>
    <t>厂房</t>
  </si>
  <si>
    <t>场地</t>
  </si>
  <si>
    <t>车位</t>
  </si>
  <si>
    <t>住宅</t>
  </si>
  <si>
    <t>通信基站</t>
  </si>
  <si>
    <t>场馆</t>
  </si>
  <si>
    <t>广告位</t>
  </si>
  <si>
    <t>设备</t>
  </si>
  <si>
    <t>设备金额单列，不进入非设备占比分母</t>
  </si>
  <si>
    <t>合计</t>
  </si>
  <si>
    <t>同一资产集合两年年租金对比</t>
  </si>
  <si>
    <t>路线</t>
  </si>
  <si>
    <t>上期有效年额</t>
  </si>
  <si>
    <t>本期年额</t>
  </si>
  <si>
    <t>是否同口径可比</t>
  </si>
  <si>
    <t>可比上期年额</t>
  </si>
  <si>
    <t>可比本期年额</t>
  </si>
  <si>
    <t>可比合计</t>
  </si>
  <si>
    <t>同口径金额差异率</t>
  </si>
  <si>
    <t>可比资产数</t>
  </si>
  <si>
    <t>仅汇总两年均有有效年额且口径可比的非设备资产。可比集合会随资料完整性变化，应同时看可比资产数。</t>
  </si>
  <si>
    <t>用途识别与三类分组</t>
  </si>
  <si>
    <t>台账用途</t>
  </si>
  <si>
    <t>识别建议</t>
  </si>
  <si>
    <t>确认实际用途</t>
  </si>
  <si>
    <t>确认状态</t>
  </si>
  <si>
    <t>市场案例池</t>
  </si>
  <si>
    <t>精确案例共享组</t>
  </si>
  <si>
    <t>历史比较组</t>
  </si>
  <si>
    <t>分组复核说明</t>
  </si>
  <si>
    <t>同址同用途同形态同层共享，面积仍逐项修正</t>
  </si>
  <si>
    <t>与一层分组分开</t>
  </si>
  <si>
    <t>内部通道与临街物业分组分开</t>
  </si>
  <si>
    <t>历史差价不作为拆分组依据</t>
  </si>
  <si>
    <t>区域和管理单元不代替市场区位判断</t>
  </si>
  <si>
    <t>识别建议仅用于初筛。最终用途须结合现场状况、资料和实际可出租功能人工确认。</t>
  </si>
  <si>
    <t>三案例选用与组合核对</t>
  </si>
  <si>
    <t>案例1编号</t>
  </si>
  <si>
    <t>案例2编号</t>
  </si>
  <si>
    <t>案例3编号</t>
  </si>
  <si>
    <t>选择及可比理由</t>
  </si>
  <si>
    <t>案例组合检查</t>
  </si>
  <si>
    <t>用途口径检查</t>
  </si>
  <si>
    <t>评分绑定检查</t>
  </si>
  <si>
    <t>真实证据状态</t>
  </si>
  <si>
    <t>SC-001</t>
  </si>
  <si>
    <t>SC-002</t>
  </si>
  <si>
    <t>SC-003</t>
  </si>
  <si>
    <t>精确同址同类同层，可共享案例；面积逐项修正</t>
  </si>
  <si>
    <t>模拟资料未真实核验</t>
  </si>
  <si>
    <t>SC-004</t>
  </si>
  <si>
    <t>SC-005</t>
  </si>
  <si>
    <t>SC-006</t>
  </si>
  <si>
    <t>同用途同计租口径，保留楼层等差异</t>
  </si>
  <si>
    <t>SC-007</t>
  </si>
  <si>
    <t>SC-008</t>
  </si>
  <si>
    <t>SC-009</t>
  </si>
  <si>
    <t>模拟形态不同，以逐项依据修正</t>
  </si>
  <si>
    <t>SC-010</t>
  </si>
  <si>
    <t>SC-011</t>
  </si>
  <si>
    <t>SC-012</t>
  </si>
  <si>
    <t>SC-013</t>
  </si>
  <si>
    <t>SC-014</t>
  </si>
  <si>
    <t>SC-015</t>
  </si>
  <si>
    <t>SC-016</t>
  </si>
  <si>
    <t>SC-017</t>
  </si>
  <si>
    <t>SC-018</t>
  </si>
  <si>
    <t>SC-019</t>
  </si>
  <si>
    <t>SC-020</t>
  </si>
  <si>
    <t>SC-021</t>
  </si>
  <si>
    <t>SC-022</t>
  </si>
  <si>
    <t>SC-023</t>
  </si>
  <si>
    <t>SC-024</t>
  </si>
  <si>
    <t>SC-025</t>
  </si>
  <si>
    <t>SC-026</t>
  </si>
  <si>
    <t>SC-027</t>
  </si>
  <si>
    <t>SC-028</t>
  </si>
  <si>
    <t>SC-029</t>
  </si>
  <si>
    <t>SC-030</t>
  </si>
  <si>
    <t>更换案例后，修正明细中的绑定编号及逐项评分必须重新核对。不要把旧案例评分直接套入新案例。</t>
  </si>
  <si>
    <t>三案例综合修正与单案例复核</t>
  </si>
  <si>
    <t>案例序号</t>
  </si>
  <si>
    <t>案例编号</t>
  </si>
  <si>
    <t>案例名称</t>
  </si>
  <si>
    <t>案例原租金</t>
  </si>
  <si>
    <t>计租单位</t>
  </si>
  <si>
    <t>综合修正系数</t>
  </si>
  <si>
    <t>修正后租金</t>
  </si>
  <si>
    <t>单案例修正幅度</t>
  </si>
  <si>
    <t>单案例20%校验</t>
  </si>
  <si>
    <t>计算资料状态</t>
  </si>
  <si>
    <t>修正后租金保留计算精度。最终均值按测算参数取1位小数，不先将各案例修正后租金取1位再平均。</t>
  </si>
  <si>
    <t>逐案例逐因素评分与依据</t>
  </si>
  <si>
    <t>本次案例编号</t>
  </si>
  <si>
    <t>修正因素</t>
  </si>
  <si>
    <t>适用性</t>
  </si>
  <si>
    <t>委估比较条件</t>
  </si>
  <si>
    <t>案例比较条件</t>
  </si>
  <si>
    <t>中性评分分子</t>
  </si>
  <si>
    <t>案例评分分母</t>
  </si>
  <si>
    <t>修正系数</t>
  </si>
  <si>
    <t>依据编号</t>
  </si>
  <si>
    <t>差异及评分依据</t>
  </si>
  <si>
    <t>输入状态</t>
  </si>
  <si>
    <t>评分绑定案例编号</t>
  </si>
  <si>
    <t>交易情况</t>
  </si>
  <si>
    <t>SIM-A-001</t>
  </si>
  <si>
    <t>模拟挂牌议价资料支持102；停车月卡同口径采用100。</t>
  </si>
  <si>
    <t>交易日期</t>
  </si>
  <si>
    <t>演示信息日期与模拟基准时点相同，采用100；实际须判断市场变化。</t>
  </si>
  <si>
    <t>区域区位</t>
  </si>
  <si>
    <t>模拟比较条件相当，按100/100处理。</t>
  </si>
  <si>
    <t>交通</t>
  </si>
  <si>
    <t>楼层</t>
  </si>
  <si>
    <t>委估楼层减案例楼层，逐层1评分点，按3层封顶；适用对象之外中性。</t>
  </si>
  <si>
    <t>面积</t>
  </si>
  <si>
    <t>案例面积÷本资产面积，按下限含上限不含分档；不以共享组面积替代。</t>
  </si>
  <si>
    <t>临街</t>
  </si>
  <si>
    <t>展示面</t>
  </si>
  <si>
    <t>模拟观察：委估展示面略优于案例；案例评分99。</t>
  </si>
  <si>
    <t>客流</t>
  </si>
  <si>
    <t>商圈成熟度</t>
  </si>
  <si>
    <t>通达性</t>
  </si>
  <si>
    <t>配套</t>
  </si>
  <si>
    <t>物业建筑状况</t>
  </si>
  <si>
    <t>装修</t>
  </si>
  <si>
    <t>案例装修等级减委估等级。双方须在1至4级内；场地车位和通信点位不适用。</t>
  </si>
  <si>
    <t>朝向</t>
  </si>
  <si>
    <t>形态及其他</t>
  </si>
  <si>
    <t>SIM-A-002</t>
  </si>
  <si>
    <t>SIM-A-003</t>
  </si>
  <si>
    <t>SIM-A-004</t>
  </si>
  <si>
    <t>模拟观察：案例为临街铺，委估为内部通道铺；105为档次判断，不是实测折扣。</t>
  </si>
  <si>
    <t>SIM-A-005</t>
  </si>
  <si>
    <t>SIM-A-006</t>
  </si>
  <si>
    <t>SIM-A-007</t>
  </si>
  <si>
    <t>SIM-A-008</t>
  </si>
  <si>
    <t>模拟比较：案例在园区主干道，委估在支路；案例区位评分103。</t>
  </si>
  <si>
    <t>模拟比较：案例大型车辆进入条件略优；交通评分102。</t>
  </si>
  <si>
    <t>模拟比较：案例装卸通达条件略优；评分102，与交通因素分别记录。</t>
  </si>
  <si>
    <t>模拟比较：案例建筑维护状况略优；评分102，不重复装修因素。</t>
  </si>
  <si>
    <t>SIM-A-009</t>
  </si>
  <si>
    <t>SIM-A-010</t>
  </si>
  <si>
    <t>SIM-A-011</t>
  </si>
  <si>
    <t>SIM-A-012</t>
  </si>
  <si>
    <t>原租金变动可直接联动；更换案例必须重核评分绑定、双方条件及依据。系数为档次评分换算，不解释为实测折扣。</t>
  </si>
  <si>
    <t>市场案例库与来源记录</t>
  </si>
  <si>
    <t>底层标的编号</t>
  </si>
  <si>
    <t>具体详情URL占位</t>
  </si>
  <si>
    <t>租金单位</t>
  </si>
  <si>
    <t>案例面积㎡</t>
  </si>
  <si>
    <t>装修等级</t>
  </si>
  <si>
    <t>原租金单价</t>
  </si>
  <si>
    <t>信息日期</t>
  </si>
  <si>
    <t>交易类型</t>
  </si>
  <si>
    <t>交易情况评分</t>
  </si>
  <si>
    <t>日期评分</t>
  </si>
  <si>
    <t>物业形态</t>
  </si>
  <si>
    <t>资料编号</t>
  </si>
  <si>
    <t>来源状态</t>
  </si>
  <si>
    <t>可比条件及说明</t>
  </si>
  <si>
    <t>模拟案例01</t>
  </si>
  <si>
    <t>SIM-PROP-1</t>
  </si>
  <si>
    <t>https://example.invalid/rent/SC-001</t>
  </si>
  <si>
    <t>元/㎡/月</t>
  </si>
  <si>
    <t>模拟挂牌</t>
  </si>
  <si>
    <t>临街商铺</t>
  </si>
  <si>
    <t>SIM-C-001</t>
  </si>
  <si>
    <t>模拟录入待真实核验</t>
  </si>
  <si>
    <t>同类用途，差异见修正明细</t>
  </si>
  <si>
    <t>模拟案例02</t>
  </si>
  <si>
    <t>SIM-PROP-2</t>
  </si>
  <si>
    <t>https://example.invalid/rent/SC-002</t>
  </si>
  <si>
    <t>SIM-C-002</t>
  </si>
  <si>
    <t>模拟案例03</t>
  </si>
  <si>
    <t>SIM-PROP-3</t>
  </si>
  <si>
    <t>https://example.invalid/rent/SC-003</t>
  </si>
  <si>
    <t>SIM-C-003</t>
  </si>
  <si>
    <t>模拟案例04</t>
  </si>
  <si>
    <t>SIM-PROP-4</t>
  </si>
  <si>
    <t>https://example.invalid/rent/SC-004</t>
  </si>
  <si>
    <t>SIM-C-004</t>
  </si>
  <si>
    <t>模拟案例05</t>
  </si>
  <si>
    <t>SIM-PROP-5</t>
  </si>
  <si>
    <t>https://example.invalid/rent/SC-005</t>
  </si>
  <si>
    <t>SIM-C-005</t>
  </si>
  <si>
    <t>模拟案例06</t>
  </si>
  <si>
    <t>SIM-PROP-6</t>
  </si>
  <si>
    <t>https://example.invalid/rent/SC-006</t>
  </si>
  <si>
    <t>SIM-C-006</t>
  </si>
  <si>
    <t>模拟案例07</t>
  </si>
  <si>
    <t>SIM-PROP-7</t>
  </si>
  <si>
    <t>https://example.invalid/rent/SC-007</t>
  </si>
  <si>
    <t>SIM-C-007</t>
  </si>
  <si>
    <t>模拟案例08</t>
  </si>
  <si>
    <t>SIM-PROP-8</t>
  </si>
  <si>
    <t>https://example.invalid/rent/SC-008</t>
  </si>
  <si>
    <t>SIM-C-008</t>
  </si>
  <si>
    <t>模拟案例09</t>
  </si>
  <si>
    <t>SIM-PROP-9</t>
  </si>
  <si>
    <t>https://example.invalid/rent/SC-009</t>
  </si>
  <si>
    <t>SIM-C-009</t>
  </si>
  <si>
    <t>模拟案例10</t>
  </si>
  <si>
    <t>SIM-PROP-10</t>
  </si>
  <si>
    <t>https://example.invalid/rent/SC-010</t>
  </si>
  <si>
    <t>办公用房</t>
  </si>
  <si>
    <t>SIM-C-010</t>
  </si>
  <si>
    <t>模拟案例11</t>
  </si>
  <si>
    <t>SIM-PROP-11</t>
  </si>
  <si>
    <t>https://example.invalid/rent/SC-011</t>
  </si>
  <si>
    <t>SIM-C-011</t>
  </si>
  <si>
    <t>模拟案例12</t>
  </si>
  <si>
    <t>SIM-PROP-12</t>
  </si>
  <si>
    <t>https://example.invalid/rent/SC-012</t>
  </si>
  <si>
    <t>SIM-C-012</t>
  </si>
  <si>
    <t>模拟案例13</t>
  </si>
  <si>
    <t>SIM-PROP-13</t>
  </si>
  <si>
    <t>https://example.invalid/rent/SC-013</t>
  </si>
  <si>
    <t>仓储用房</t>
  </si>
  <si>
    <t>SIM-C-013</t>
  </si>
  <si>
    <t>模拟案例14</t>
  </si>
  <si>
    <t>SIM-PROP-14</t>
  </si>
  <si>
    <t>https://example.invalid/rent/SC-014</t>
  </si>
  <si>
    <t>SIM-C-014</t>
  </si>
  <si>
    <t>模拟案例15</t>
  </si>
  <si>
    <t>SIM-PROP-15</t>
  </si>
  <si>
    <t>https://example.invalid/rent/SC-015</t>
  </si>
  <si>
    <t>SIM-C-015</t>
  </si>
  <si>
    <t>模拟案例16</t>
  </si>
  <si>
    <t>SIM-PROP-16</t>
  </si>
  <si>
    <t>https://example.invalid/rent/SC-016</t>
  </si>
  <si>
    <t>工业厂房</t>
  </si>
  <si>
    <t>SIM-C-016</t>
  </si>
  <si>
    <t>模拟案例17</t>
  </si>
  <si>
    <t>SIM-PROP-17</t>
  </si>
  <si>
    <t>https://example.invalid/rent/SC-017</t>
  </si>
  <si>
    <t>SIM-C-017</t>
  </si>
  <si>
    <t>模拟案例18</t>
  </si>
  <si>
    <t>SIM-PROP-18</t>
  </si>
  <si>
    <t>https://example.invalid/rent/SC-018</t>
  </si>
  <si>
    <t>SIM-C-018</t>
  </si>
  <si>
    <t>模拟案例19</t>
  </si>
  <si>
    <t>SIM-PROP-19</t>
  </si>
  <si>
    <t>https://example.invalid/rent/SC-019</t>
  </si>
  <si>
    <t>露天场地</t>
  </si>
  <si>
    <t>SIM-C-019</t>
  </si>
  <si>
    <t>模拟案例20</t>
  </si>
  <si>
    <t>SIM-PROP-20</t>
  </si>
  <si>
    <t>https://example.invalid/rent/SC-020</t>
  </si>
  <si>
    <t>SIM-C-020</t>
  </si>
  <si>
    <t>模拟案例21</t>
  </si>
  <si>
    <t>SIM-PROP-21</t>
  </si>
  <si>
    <t>https://example.invalid/rent/SC-021</t>
  </si>
  <si>
    <t>SIM-C-021</t>
  </si>
  <si>
    <t>模拟案例22</t>
  </si>
  <si>
    <t>SIM-PROP-22</t>
  </si>
  <si>
    <t>https://example.invalid/rent/SC-022</t>
  </si>
  <si>
    <t>元/个/月</t>
  </si>
  <si>
    <t>模拟月卡</t>
  </si>
  <si>
    <t>停车位</t>
  </si>
  <si>
    <t>SIM-C-022</t>
  </si>
  <si>
    <t>同车位类型同月卡口径</t>
  </si>
  <si>
    <t>模拟案例23</t>
  </si>
  <si>
    <t>SIM-PROP-23</t>
  </si>
  <si>
    <t>https://example.invalid/rent/SC-023</t>
  </si>
  <si>
    <t>SIM-C-023</t>
  </si>
  <si>
    <t>模拟案例24</t>
  </si>
  <si>
    <t>SIM-PROP-24</t>
  </si>
  <si>
    <t>https://example.invalid/rent/SC-024</t>
  </si>
  <si>
    <t>SIM-C-024</t>
  </si>
  <si>
    <t>模拟案例25</t>
  </si>
  <si>
    <t>SIM-PROP-25</t>
  </si>
  <si>
    <t>https://example.invalid/rent/SC-025</t>
  </si>
  <si>
    <t>元/间/月</t>
  </si>
  <si>
    <t>宿舍</t>
  </si>
  <si>
    <t>SIM-C-025</t>
  </si>
  <si>
    <t>模拟案例26</t>
  </si>
  <si>
    <t>SIM-PROP-26</t>
  </si>
  <si>
    <t>https://example.invalid/rent/SC-026</t>
  </si>
  <si>
    <t>SIM-C-026</t>
  </si>
  <si>
    <t>模拟案例27</t>
  </si>
  <si>
    <t>SIM-PROP-27</t>
  </si>
  <si>
    <t>https://example.invalid/rent/SC-027</t>
  </si>
  <si>
    <t>SIM-C-027</t>
  </si>
  <si>
    <t>模拟案例28</t>
  </si>
  <si>
    <t>SIM-PROP-28</t>
  </si>
  <si>
    <t>https://example.invalid/rent/SC-028</t>
  </si>
  <si>
    <t>元/处/月</t>
  </si>
  <si>
    <t>屋顶点位</t>
  </si>
  <si>
    <t>SIM-C-028</t>
  </si>
  <si>
    <t>模拟案例29</t>
  </si>
  <si>
    <t>SIM-PROP-29</t>
  </si>
  <si>
    <t>https://example.invalid/rent/SC-029</t>
  </si>
  <si>
    <t>SIM-C-029</t>
  </si>
  <si>
    <t>模拟案例30</t>
  </si>
  <si>
    <t>SIM-PROP-30</t>
  </si>
  <si>
    <t>https://example.invalid/rent/SC-030</t>
  </si>
  <si>
    <t>SIM-C-030</t>
  </si>
  <si>
    <t>example.invalid为无真实房源的占位域名。编号、网址不同仅供结构演示，不能证明真实样本独立有效。</t>
  </si>
  <si>
    <t>资产清单与实际使用条件</t>
  </si>
  <si>
    <t>区域</t>
  </si>
  <si>
    <t>管理单元</t>
  </si>
  <si>
    <t>精确地址建筑物</t>
  </si>
  <si>
    <t>实际状况与用途线索</t>
  </si>
  <si>
    <t>面积属性㎡</t>
  </si>
  <si>
    <t>装修等级1至4</t>
  </si>
  <si>
    <t>数据属性</t>
  </si>
  <si>
    <t>演示东区</t>
  </si>
  <si>
    <t>管理单元甲</t>
  </si>
  <si>
    <t>沿街商铺一</t>
  </si>
  <si>
    <t>模拟商业楼A</t>
  </si>
  <si>
    <t>一层沿街经营</t>
  </si>
  <si>
    <t>模拟数据</t>
  </si>
  <si>
    <t>沿街商铺二</t>
  </si>
  <si>
    <t>二层商铺</t>
  </si>
  <si>
    <t>二层营业用房</t>
  </si>
  <si>
    <t>内部通道商铺</t>
  </si>
  <si>
    <t>模拟商业楼B</t>
  </si>
  <si>
    <t>实际为内部通道商铺</t>
  </si>
  <si>
    <t>演示中区</t>
  </si>
  <si>
    <t>管理单元乙</t>
  </si>
  <si>
    <t>办公用房一</t>
  </si>
  <si>
    <t>模拟办公楼C</t>
  </si>
  <si>
    <t>三层办公用房</t>
  </si>
  <si>
    <t>办公用房二</t>
  </si>
  <si>
    <t>演示西区</t>
  </si>
  <si>
    <t>管理单元丙</t>
  </si>
  <si>
    <t>仓储库房</t>
  </si>
  <si>
    <t>模拟仓储楼D</t>
  </si>
  <si>
    <t>一层封闭库房</t>
  </si>
  <si>
    <t>模拟工业园E</t>
  </si>
  <si>
    <t>单层工业生产用房</t>
  </si>
  <si>
    <t>模拟场地F</t>
  </si>
  <si>
    <t>露天场地无建筑</t>
  </si>
  <si>
    <t>地面停车位组</t>
  </si>
  <si>
    <t>模拟停车区G</t>
  </si>
  <si>
    <t>停车设施</t>
  </si>
  <si>
    <t>10个独立停车位</t>
  </si>
  <si>
    <t>按间计租宿舍</t>
  </si>
  <si>
    <t>模拟宿舍楼H</t>
  </si>
  <si>
    <t>二层宿舍按一间计租</t>
  </si>
  <si>
    <t>通信基站点位</t>
  </si>
  <si>
    <t>模拟屋顶I</t>
  </si>
  <si>
    <t>实际为屋顶通信基站</t>
  </si>
  <si>
    <t>小型附属库房</t>
  </si>
  <si>
    <t>模拟附属楼J</t>
  </si>
  <si>
    <t>小型封闭库房</t>
  </si>
  <si>
    <t>屋顶使用点位</t>
  </si>
  <si>
    <t>模拟屋顶K</t>
  </si>
  <si>
    <t>独立屋顶点位按处出租</t>
  </si>
  <si>
    <t>活动场馆</t>
  </si>
  <si>
    <t>模拟场馆L</t>
  </si>
  <si>
    <t>按场和天出租的活动场馆</t>
  </si>
  <si>
    <t>元/场·天</t>
  </si>
  <si>
    <t>广告设置点位</t>
  </si>
  <si>
    <t>模拟广告点位M</t>
  </si>
  <si>
    <t>其他</t>
  </si>
  <si>
    <t>按处按月出租广告位</t>
  </si>
  <si>
    <t>广告点位</t>
  </si>
  <si>
    <t>起重设备甲</t>
  </si>
  <si>
    <t>设备租金由设备附表列示</t>
  </si>
  <si>
    <t>起重设备</t>
  </si>
  <si>
    <t>元/台/月</t>
  </si>
  <si>
    <t>加工设备乙</t>
  </si>
  <si>
    <t>加工设备</t>
  </si>
  <si>
    <t>库房重复记录</t>
  </si>
  <si>
    <t>与RP-007为同一物理资产</t>
  </si>
  <si>
    <t>范围外房屋</t>
  </si>
  <si>
    <t>模拟范围外楼N</t>
  </si>
  <si>
    <t>本次委托范围明确不纳入</t>
  </si>
  <si>
    <t>计租数量与面积属性分列。按间、按处、按台和按场天计租时，面积仅用于资产识别或可比分析。</t>
  </si>
  <si>
    <t>计租路线与历史资料</t>
  </si>
  <si>
    <t>本次测算路线</t>
  </si>
  <si>
    <t>上期同口径单价</t>
  </si>
  <si>
    <t>上期有效年租金元</t>
  </si>
  <si>
    <t>资产资料编号</t>
  </si>
  <si>
    <t>关联主资产编码</t>
  </si>
  <si>
    <t>路线及范围依据</t>
  </si>
  <si>
    <t>纳入</t>
  </si>
  <si>
    <t>市场比较</t>
  </si>
  <si>
    <t>按相应计租口径测算</t>
  </si>
  <si>
    <t>资料核定</t>
  </si>
  <si>
    <t>SIM-A-013</t>
  </si>
  <si>
    <t>扩大案例搜集后结合已核定资料</t>
  </si>
  <si>
    <t>租赁资料核定</t>
  </si>
  <si>
    <t>SIM-A-014</t>
  </si>
  <si>
    <t>按模拟合同口径核定</t>
  </si>
  <si>
    <t>专项计租</t>
  </si>
  <si>
    <t>SIM-A-015</t>
  </si>
  <si>
    <t>SIM-A-016</t>
  </si>
  <si>
    <t>设备附表</t>
  </si>
  <si>
    <t>SIM-A-017</t>
  </si>
  <si>
    <t>仅接收设备附表的年租金结论</t>
  </si>
  <si>
    <t>SIM-A-018</t>
  </si>
  <si>
    <t>排除</t>
  </si>
  <si>
    <t>不重复计租</t>
  </si>
  <si>
    <t>SIM-A-019</t>
  </si>
  <si>
    <t>同一标的重复登记，保留主记录计租</t>
  </si>
  <si>
    <t>不纳入</t>
  </si>
  <si>
    <t>SIM-A-020</t>
  </si>
  <si>
    <t>模拟委托清单明确不纳入</t>
  </si>
  <si>
    <t>上期单价与年额分别保留，不由本年数量反推上期年额。资料核定的适用步骤见对应表。</t>
  </si>
  <si>
    <t>不重复计租记录须指向有效主资产，范围外记录须有范围依据；不得仅凭名称相近删除资产。</t>
  </si>
  <si>
    <t>测算参数与评分分档</t>
  </si>
  <si>
    <t>参数</t>
  </si>
  <si>
    <t>数值</t>
  </si>
  <si>
    <t>单位</t>
  </si>
  <si>
    <t>中性评分</t>
  </si>
  <si>
    <t>整数</t>
  </si>
  <si>
    <t>中性系数仍以100/100公式形成</t>
  </si>
  <si>
    <t>单案例修正上限</t>
  </si>
  <si>
    <t>比例</t>
  </si>
  <si>
    <t>沿用既有底稿校验线，非行业统一规定</t>
  </si>
  <si>
    <t>三案例极差上限</t>
  </si>
  <si>
    <t>最高修正租金÷最低修正租金－1</t>
  </si>
  <si>
    <t>最终单价小数位数</t>
  </si>
  <si>
    <t>位</t>
  </si>
  <si>
    <t>设备年额附表换算例外</t>
  </si>
  <si>
    <t>月租年化月数</t>
  </si>
  <si>
    <t>月</t>
  </si>
  <si>
    <t>全年名义租金，不扣空置和运营费用</t>
  </si>
  <si>
    <t>楼层差上限</t>
  </si>
  <si>
    <t>层</t>
  </si>
  <si>
    <t>楼层差按正负3层封顶</t>
  </si>
  <si>
    <t>面积比下限含</t>
  </si>
  <si>
    <t>面积比上限不含</t>
  </si>
  <si>
    <t>案例评分</t>
  </si>
  <si>
    <t>案例面积÷委估面积</t>
  </si>
  <si>
    <t>下限含，上限不含</t>
  </si>
  <si>
    <t>仅建筑物元/㎡/月适用</t>
  </si>
  <si>
    <t>场地和按间按处项目中性</t>
  </si>
  <si>
    <t>各资产使用自身面积</t>
  </si>
  <si>
    <t>不得以组中位数替代</t>
  </si>
  <si>
    <t>高于2倍按末档</t>
  </si>
  <si>
    <t>委估楼层减案例楼层</t>
  </si>
  <si>
    <t>系数</t>
  </si>
  <si>
    <t>商业办公住宅适用；工业仓储场地及特殊点位不适用。</t>
  </si>
  <si>
    <t>案例装修等级减委估等级</t>
  </si>
  <si>
    <t>等级1至4为演示分档；须比较双方条件，不代替调查依据。</t>
  </si>
  <si>
    <t>演示基准时点为2026年9月30日。统一采用模拟含税租金报价，不计算税额，不含物业水电及服务费。</t>
  </si>
  <si>
    <t>单项评分不能用于倒推价格。场地建筑因素中性；硬化、排水等差异须在专属因素及证据中另行比较。</t>
  </si>
  <si>
    <t>租赁资料核定与适用步骤</t>
  </si>
  <si>
    <t>原资料计租单位</t>
  </si>
  <si>
    <t>原资料租金</t>
  </si>
  <si>
    <t>本次计租单位</t>
  </si>
  <si>
    <t>本次计租数量</t>
  </si>
  <si>
    <t>资料口径年租金</t>
  </si>
  <si>
    <t>已扩大公开搜集</t>
  </si>
  <si>
    <t>已补同类特殊案例</t>
  </si>
  <si>
    <t>已重新选择案例</t>
  </si>
  <si>
    <t>已查替代物业</t>
  </si>
  <si>
    <t>资料有效</t>
  </si>
  <si>
    <t>本次采用单价</t>
  </si>
  <si>
    <t>本次年租金</t>
  </si>
  <si>
    <t>核定状态</t>
  </si>
  <si>
    <t>核定说明</t>
  </si>
  <si>
    <t>SIM-LEASE-013</t>
  </si>
  <si>
    <t>是</t>
  </si>
  <si>
    <t>模拟扩大搜集四步骤均完成，资料金额直接采用；实际项目须留存过程。</t>
  </si>
  <si>
    <t>SIM-LEASE-014</t>
  </si>
  <si>
    <t>元/处/年</t>
  </si>
  <si>
    <t>不适用</t>
  </si>
  <si>
    <t>模拟年租金8400元/处/年换算为700元/处/月，数量1处，不乘15㎡。</t>
  </si>
  <si>
    <t>“是”仅表示模拟流程输入，不代表已完成真实租赁合同或市场调查核验。</t>
  </si>
  <si>
    <t>资料单位不匹配且无已定义换算时，结果为空；不能直接拿参考单价充当本次结论。</t>
  </si>
  <si>
    <t>特殊计租参数与年化</t>
  </si>
  <si>
    <t>单价</t>
  </si>
  <si>
    <t>年使用场数</t>
  </si>
  <si>
    <t>每场天数</t>
  </si>
  <si>
    <t>资料状态</t>
  </si>
  <si>
    <t>年租金元</t>
  </si>
  <si>
    <t>年化说明</t>
  </si>
  <si>
    <t>SIM-SPECIAL-015</t>
  </si>
  <si>
    <t>模拟假设待真实核验</t>
  </si>
  <si>
    <t>单价×年场数×每场天数，面积520㎡仅用于识别。</t>
  </si>
  <si>
    <t>SIM-SPECIAL-016</t>
  </si>
  <si>
    <t>单价×处数×全年月数；按月项目不读取场数与天数。</t>
  </si>
  <si>
    <t>年使用场数按逐项参数记录，36场为本演示假设，不能写为实际出租记录或统一套用52场。</t>
  </si>
  <si>
    <t>年场数为0且确有记录时允许年额为0；未提供场数时年额为空。</t>
  </si>
  <si>
    <t>设备租金独立附表</t>
  </si>
  <si>
    <t>设备编码</t>
  </si>
  <si>
    <t>设备名称</t>
  </si>
  <si>
    <t>提供结论资料编号</t>
  </si>
  <si>
    <t>每台年租金结论</t>
  </si>
  <si>
    <t>数量台</t>
  </si>
  <si>
    <t>每台月租金换算</t>
  </si>
  <si>
    <t>本年年租金合计</t>
  </si>
  <si>
    <t>SIM-EQUIP-017</t>
  </si>
  <si>
    <t>模拟设备结论待真实核验</t>
  </si>
  <si>
    <t>设备结论独立输入；本模型不推导设备收益法或折旧模型。</t>
  </si>
  <si>
    <t>SIM-EQUIP-018</t>
  </si>
  <si>
    <t>沿用既有底稿设备附表接入方式，不把设备套入房地产三案例。每台月租金只作换算，年额取独立年结论。</t>
  </si>
  <si>
    <t>同条件历史租金离散复核</t>
  </si>
  <si>
    <t>有效历史项数</t>
  </si>
  <si>
    <t>组内最小单价</t>
  </si>
  <si>
    <t>组内最大单价</t>
  </si>
  <si>
    <t>最高最低离散率</t>
  </si>
  <si>
    <t>离散提示</t>
  </si>
  <si>
    <t>复核说明输入</t>
  </si>
  <si>
    <t>处理状态</t>
  </si>
  <si>
    <t>离散率采用最高有效历史单价÷最低有效历史单价－1；不同用途、单位、楼层或物业形态不得混组。</t>
  </si>
  <si>
    <t>逐项单价变动与原因复核</t>
  </si>
  <si>
    <t>上期单价</t>
  </si>
  <si>
    <t>本次单价</t>
  </si>
  <si>
    <t>复核层级</t>
  </si>
  <si>
    <t>原因及证据输入</t>
  </si>
  <si>
    <t>复核人代号</t>
  </si>
  <si>
    <t>复核状态</t>
  </si>
  <si>
    <t>差异为事后提示，不强制压回上期结果，也不作为市场法转为资料核定的理由。</t>
  </si>
  <si>
    <t>内部复核参数与业务边界</t>
  </si>
  <si>
    <t>历史最高最低离散提示</t>
  </si>
  <si>
    <t>演示提示线可调；按相同物理条件分组，不按历史价格拆组</t>
  </si>
  <si>
    <t>一般单价差异提示</t>
  </si>
  <si>
    <t>软性复核，超过后补充原因，不自动修改结论</t>
  </si>
  <si>
    <t>重点单价差异提示</t>
  </si>
  <si>
    <t>重点检查市场案例、合同及口径变动</t>
  </si>
  <si>
    <t>大幅单价变动提示</t>
  </si>
  <si>
    <t>事后复核线，不作为选择评估方法的条件</t>
  </si>
  <si>
    <t>重大单价变动提示</t>
  </si>
  <si>
    <t>需更充分依据，不自动回退上期价格</t>
  </si>
  <si>
    <t>资料核定金额占比上限</t>
  </si>
  <si>
    <t>内部B类按全部非设备本年年租金计算</t>
  </si>
  <si>
    <t>本表为专业试用版内部参数，不作为全国统一规范或法定限制。严禁按目标总额倒推修正系数。</t>
  </si>
  <si>
    <t>生产版的锁定清单、年度目标等项目专用指令不复制到本演示。正式使用时须逐项建立适用依据。</t>
  </si>
  <si>
    <t>模拟资料索引与证据边界</t>
  </si>
  <si>
    <t>资料类型</t>
  </si>
  <si>
    <t>关联对象</t>
  </si>
  <si>
    <t>资料内容说明</t>
  </si>
  <si>
    <t>原件或截图</t>
  </si>
  <si>
    <t>核验状态</t>
  </si>
  <si>
    <t>资产条件记录</t>
  </si>
  <si>
    <t>模拟资产用途、形态、范围、面积及评分观察</t>
  </si>
  <si>
    <t>未提供真实原件</t>
  </si>
  <si>
    <t>模拟记录待真实核验</t>
  </si>
  <si>
    <t>市场案例记录</t>
  </si>
  <si>
    <t>模拟价格、面积、日期、标的及详情URL占位</t>
  </si>
  <si>
    <t>未提供真实网页截图</t>
  </si>
  <si>
    <t>独立计租依据</t>
  </si>
  <si>
    <t>模拟合同口径、使用频次或设备年结论</t>
  </si>
  <si>
    <t>未提供真实合同或结论</t>
  </si>
  <si>
    <t>实际项目至少保留原件名称、日期、页码或条款、详情URL、截图文件以及核验人和核验时间。</t>
  </si>
  <si>
    <t>异常处理与复算练习</t>
  </si>
  <si>
    <t>练习编号</t>
  </si>
  <si>
    <t>情形</t>
  </si>
  <si>
    <t>工作表</t>
  </si>
  <si>
    <t>输入单元格</t>
  </si>
  <si>
    <t>原值</t>
  </si>
  <si>
    <t>练习值</t>
  </si>
  <si>
    <t>预期表现</t>
  </si>
  <si>
    <t>恢复操作</t>
  </si>
  <si>
    <t>实际观察输入</t>
  </si>
  <si>
    <t>恢复确认输入</t>
  </si>
  <si>
    <t>练习01</t>
  </si>
  <si>
    <t>案例原租金变动</t>
  </si>
  <si>
    <t>市场案例库</t>
  </si>
  <si>
    <t>J6</t>
  </si>
  <si>
    <t>RP-001与RP-002单价及年租金联动；各用自身面积。</t>
  </si>
  <si>
    <t>恢复53</t>
  </si>
  <si>
    <t>练习02</t>
  </si>
  <si>
    <t>缺少案例原租金</t>
  </si>
  <si>
    <t>两个关联资产结果待补资料，总览不得显示完整合计。</t>
  </si>
  <si>
    <t>练习03</t>
  </si>
  <si>
    <t>重复选择案例</t>
  </si>
  <si>
    <t>B6</t>
  </si>
  <si>
    <t>案例编号重复提示；计算结果不可作为完整组合。</t>
  </si>
  <si>
    <t>恢复SC-001</t>
  </si>
  <si>
    <t>练习04</t>
  </si>
  <si>
    <t>不同编号同标的</t>
  </si>
  <si>
    <t>C7</t>
  </si>
  <si>
    <t>底层标的重复提示，不因编号不同而通过。</t>
  </si>
  <si>
    <t>恢复SIM-PROP-2</t>
  </si>
  <si>
    <t>练习05</t>
  </si>
  <si>
    <t>单位错配</t>
  </si>
  <si>
    <t>F6</t>
  </si>
  <si>
    <t>用途及单位检查提示，结果待补。</t>
  </si>
  <si>
    <t>恢复元/㎡/月</t>
  </si>
  <si>
    <t>练习06</t>
  </si>
  <si>
    <t>单案例修正超限</t>
  </si>
  <si>
    <t>M6</t>
  </si>
  <si>
    <t>修正幅度超过20%，三案例测算标记超限。</t>
  </si>
  <si>
    <t>恢复102</t>
  </si>
  <si>
    <t>练习07</t>
  </si>
  <si>
    <t>三案例极差超限</t>
  </si>
  <si>
    <t>修正后最高/最低差异超过20%。</t>
  </si>
  <si>
    <t>练习08</t>
  </si>
  <si>
    <t>场次资料缺失</t>
  </si>
  <si>
    <t>特殊计租</t>
  </si>
  <si>
    <t>E6</t>
  </si>
  <si>
    <t>活动场馆年租金为空，不得变成0。</t>
  </si>
  <si>
    <t>恢复36</t>
  </si>
  <si>
    <t>练习09</t>
  </si>
  <si>
    <t>按次天数变化</t>
  </si>
  <si>
    <t>仅活动场馆年租金加倍，不乘520㎡。</t>
  </si>
  <si>
    <t>恢复1</t>
  </si>
  <si>
    <t>练习10</t>
  </si>
  <si>
    <t>B类前置条件未完成</t>
  </si>
  <si>
    <t>H6</t>
  </si>
  <si>
    <t>否</t>
  </si>
  <si>
    <t>资料核定路线标记待完成搜集步骤，不输出结论。</t>
  </si>
  <si>
    <t>恢复是</t>
  </si>
  <si>
    <t>练习11</t>
  </si>
  <si>
    <t>B类金额占比上升</t>
  </si>
  <si>
    <t>D6</t>
  </si>
  <si>
    <t>B类占比可能超过10%，内部总览发出复核提示。</t>
  </si>
  <si>
    <t>恢复4.8</t>
  </si>
  <si>
    <t>练习12</t>
  </si>
  <si>
    <t>评分绑定失效</t>
  </si>
  <si>
    <t>提示重判评分及用途适用性，旧评分不自动继承。</t>
  </si>
  <si>
    <t>练习13</t>
  </si>
  <si>
    <t>范围内数量缺失</t>
  </si>
  <si>
    <t>资产清单</t>
  </si>
  <si>
    <t>K6</t>
  </si>
  <si>
    <t>按面积年租金待补，不得形成低估合计。</t>
  </si>
  <si>
    <t>恢复60</t>
  </si>
  <si>
    <t>练习14</t>
  </si>
  <si>
    <t>面积分档边界</t>
  </si>
  <si>
    <t>G6</t>
  </si>
  <si>
    <t>RP-001面积比0.50采用104评分；RP-002按自身面积另算。</t>
  </si>
  <si>
    <t>恢复44</t>
  </si>
  <si>
    <t>练习15</t>
  </si>
  <si>
    <t>月租数值为零</t>
  </si>
  <si>
    <t>零租金不作为有效比较案例。</t>
  </si>
  <si>
    <t>练习16</t>
  </si>
  <si>
    <t>资料核定存在重复键</t>
  </si>
  <si>
    <t>A7</t>
  </si>
  <si>
    <t>重复资产键待核对，不默取第一条。</t>
  </si>
  <si>
    <t>恢复RP-014</t>
  </si>
  <si>
    <t>每次只在副本中练习一个情形。练习值为空表示清空单元格。观察后按原值恢复，再做下一项。</t>
  </si>
  <si>
    <t>预期表现是操作指引，不代表使用者已完成测试。实际观察及恢复确认由试用人填写。</t>
  </si>
  <si>
    <t>同范围工时与试用反馈</t>
  </si>
  <si>
    <t>传统流程资产数</t>
  </si>
  <si>
    <t>新流程资产数</t>
  </si>
  <si>
    <t>工作环节</t>
  </si>
  <si>
    <t>传统分钟</t>
  </si>
  <si>
    <t>新流程分钟</t>
  </si>
  <si>
    <t>节省分钟</t>
  </si>
  <si>
    <t>记录状态</t>
  </si>
  <si>
    <t>凭据或说明</t>
  </si>
  <si>
    <t>资料整理与范围核对</t>
  </si>
  <si>
    <t>案例搜集和证据核验</t>
  </si>
  <si>
    <t>用途分组及参数判断</t>
  </si>
  <si>
    <t>录入计算与成果生成</t>
  </si>
  <si>
    <t>人工复核</t>
  </si>
  <si>
    <t>返工与沟通</t>
  </si>
  <si>
    <t>合计分钟</t>
  </si>
  <si>
    <t>节省比例</t>
  </si>
  <si>
    <t>未发生环节填0，未记录留空。人工复核与返工计入新流程工时；不同范围不得计算节省比例。</t>
  </si>
  <si>
    <t>试用日期</t>
  </si>
  <si>
    <t>试用人代号</t>
  </si>
  <si>
    <t>最有用环节</t>
  </si>
  <si>
    <t>主要问题</t>
  </si>
  <si>
    <t>付费意愿</t>
  </si>
  <si>
    <t>可接受价格及服务范围</t>
  </si>
  <si>
    <t>建议按首次独立使用和再次使用分别记录；资料条件、资产数量及交付要求必须一致。</t>
  </si>
  <si>
    <t>RP-V02-20261009-140005</t>
    <phoneticPr fontId="8" type="noConversion"/>
  </si>
  <si>
    <t>导出批次 RP-V02-20261009-140005  全部为模拟数据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</si>
</sst>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;\(#,##0.00\);0.00"/>
    <numFmt numFmtId="177" formatCode="yyyy\-mm\-dd"/>
    <numFmt numFmtId="178" formatCode="0.0%"/>
    <numFmt numFmtId="179" formatCode="0.0000"/>
    <numFmt numFmtId="180" formatCode="0.0"/>
  </numFmts>
  <fonts count="9">
    <font>
      <sz val="11"/>
      <name val="Carlito"/>
    </font>
    <font>
      <sz val="10"/>
      <color rgb="FF111827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sz val="10"/>
      <color rgb="FF64748B"/>
      <name val="Microsoft YaHei"/>
      <family val="2"/>
      <charset val="134"/>
    </font>
    <font>
      <b/>
      <sz val="10"/>
      <color rgb="FF111827"/>
      <name val="Microsoft YaHei"/>
      <family val="2"/>
      <charset val="134"/>
    </font>
    <font>
      <sz val="10"/>
      <color rgb="FF1D4ED8"/>
      <name val="Microsoft YaHei"/>
      <family val="2"/>
      <charset val="134"/>
    </font>
    <font>
      <sz val="10"/>
      <color rgb="FF15803D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FFF8E7"/>
      </patternFill>
    </fill>
  </fills>
  <borders count="2">
    <border>
      <left/>
      <right/>
      <top/>
      <bottom/>
      <diagonal/>
    </border>
    <border>
      <left style="thin">
        <color rgb="FFD9E1EA"/>
      </left>
      <right style="thin">
        <color rgb="FFD9E1EA"/>
      </right>
      <top style="thin">
        <color rgb="FFD9E1EA"/>
      </top>
      <bottom style="thin">
        <color rgb="FFD9E1EA"/>
      </bottom>
      <diagonal/>
    </border>
  </borders>
  <cellStyleXfs count="2">
    <xf numFmtId="0" fontId="0" fillId="0" borderId="0"/>
    <xf numFmtId="0" fontId="7" fillId="0" borderId="0"/>
  </cellStyleXfs>
  <cellXfs count="36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4" fillId="3" borderId="0" xfId="1" applyFont="1" applyFill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176" fontId="5" fillId="4" borderId="0" xfId="1" applyNumberFormat="1" applyFont="1" applyFill="1" applyAlignment="1">
      <alignment horizontal="right" vertical="center"/>
    </xf>
    <xf numFmtId="1" fontId="5" fillId="4" borderId="0" xfId="1" applyNumberFormat="1" applyFont="1" applyFill="1" applyAlignment="1">
      <alignment horizontal="right" vertical="center"/>
    </xf>
    <xf numFmtId="0" fontId="5" fillId="4" borderId="1" xfId="1" applyFont="1" applyFill="1" applyBorder="1" applyAlignment="1">
      <alignment vertical="center" wrapText="1"/>
    </xf>
    <xf numFmtId="176" fontId="5" fillId="4" borderId="1" xfId="1" applyNumberFormat="1" applyFont="1" applyFill="1" applyBorder="1" applyAlignment="1">
      <alignment horizontal="right" vertical="center" wrapText="1"/>
    </xf>
    <xf numFmtId="1" fontId="5" fillId="4" borderId="1" xfId="1" applyNumberFormat="1" applyFont="1" applyFill="1" applyBorder="1" applyAlignment="1">
      <alignment horizontal="right" vertical="center" wrapText="1"/>
    </xf>
    <xf numFmtId="177" fontId="5" fillId="4" borderId="0" xfId="1" applyNumberFormat="1" applyFont="1" applyFill="1" applyAlignment="1">
      <alignment horizontal="right" vertical="center"/>
    </xf>
    <xf numFmtId="177" fontId="5" fillId="4" borderId="1" xfId="1" applyNumberFormat="1" applyFont="1" applyFill="1" applyBorder="1" applyAlignment="1">
      <alignment horizontal="right" vertical="center" wrapText="1"/>
    </xf>
    <xf numFmtId="178" fontId="5" fillId="4" borderId="0" xfId="1" applyNumberFormat="1" applyFont="1" applyFill="1" applyAlignment="1">
      <alignment horizontal="right" vertical="center"/>
    </xf>
    <xf numFmtId="179" fontId="1" fillId="0" borderId="0" xfId="1" applyNumberFormat="1" applyFont="1" applyAlignment="1">
      <alignment horizontal="right" vertical="center"/>
    </xf>
    <xf numFmtId="179" fontId="4" fillId="3" borderId="0" xfId="1" applyNumberFormat="1" applyFont="1" applyFill="1" applyAlignment="1">
      <alignment horizontal="right" vertical="center" wrapText="1"/>
    </xf>
    <xf numFmtId="0" fontId="1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6" fillId="0" borderId="0" xfId="1" applyFont="1" applyAlignment="1">
      <alignment vertical="center"/>
    </xf>
    <xf numFmtId="1" fontId="6" fillId="0" borderId="1" xfId="1" applyNumberFormat="1" applyFont="1" applyBorder="1" applyAlignment="1">
      <alignment horizontal="right" vertical="center" wrapText="1"/>
    </xf>
    <xf numFmtId="179" fontId="1" fillId="0" borderId="1" xfId="1" applyNumberFormat="1" applyFont="1" applyBorder="1" applyAlignment="1">
      <alignment horizontal="right" vertical="center" wrapText="1"/>
    </xf>
    <xf numFmtId="179" fontId="6" fillId="0" borderId="1" xfId="1" applyNumberFormat="1" applyFont="1" applyBorder="1" applyAlignment="1">
      <alignment horizontal="right" vertical="center" wrapText="1"/>
    </xf>
    <xf numFmtId="176" fontId="6" fillId="0" borderId="0" xfId="1" applyNumberFormat="1" applyFont="1" applyAlignment="1">
      <alignment horizontal="right" vertical="center"/>
    </xf>
    <xf numFmtId="178" fontId="1" fillId="0" borderId="0" xfId="1" applyNumberFormat="1" applyFont="1" applyAlignment="1">
      <alignment horizontal="right" vertical="center"/>
    </xf>
    <xf numFmtId="176" fontId="6" fillId="0" borderId="1" xfId="1" applyNumberFormat="1" applyFont="1" applyBorder="1" applyAlignment="1">
      <alignment horizontal="right" vertical="center" wrapText="1"/>
    </xf>
    <xf numFmtId="178" fontId="1" fillId="0" borderId="1" xfId="1" applyNumberFormat="1" applyFont="1" applyBorder="1" applyAlignment="1">
      <alignment horizontal="right" vertical="center" wrapText="1"/>
    </xf>
    <xf numFmtId="176" fontId="6" fillId="4" borderId="1" xfId="1" applyNumberFormat="1" applyFont="1" applyFill="1" applyBorder="1" applyAlignment="1">
      <alignment horizontal="right" vertical="center" wrapText="1"/>
    </xf>
    <xf numFmtId="176" fontId="1" fillId="0" borderId="0" xfId="1" applyNumberFormat="1" applyFont="1" applyAlignment="1">
      <alignment horizontal="right" vertical="center"/>
    </xf>
    <xf numFmtId="176" fontId="1" fillId="0" borderId="1" xfId="1" applyNumberFormat="1" applyFont="1" applyBorder="1" applyAlignment="1">
      <alignment horizontal="right" vertical="center" wrapText="1"/>
    </xf>
    <xf numFmtId="178" fontId="5" fillId="4" borderId="1" xfId="1" applyNumberFormat="1" applyFont="1" applyFill="1" applyBorder="1" applyAlignment="1">
      <alignment horizontal="right" vertical="center" wrapText="1"/>
    </xf>
    <xf numFmtId="178" fontId="6" fillId="0" borderId="1" xfId="1" applyNumberFormat="1" applyFont="1" applyBorder="1" applyAlignment="1">
      <alignment horizontal="right" vertical="center" wrapText="1"/>
    </xf>
    <xf numFmtId="1" fontId="1" fillId="0" borderId="1" xfId="1" applyNumberFormat="1" applyFont="1" applyBorder="1" applyAlignment="1">
      <alignment horizontal="right" vertical="center" wrapText="1"/>
    </xf>
    <xf numFmtId="177" fontId="1" fillId="0" borderId="0" xfId="1" applyNumberFormat="1" applyFont="1" applyAlignment="1">
      <alignment horizontal="right" vertical="center"/>
    </xf>
    <xf numFmtId="0" fontId="1" fillId="0" borderId="0" xfId="1" applyFont="1" applyAlignment="1">
      <alignment vertical="center" wrapText="1"/>
    </xf>
    <xf numFmtId="180" fontId="5" fillId="4" borderId="0" xfId="1" applyNumberFormat="1" applyFont="1" applyFill="1" applyAlignment="1">
      <alignment horizontal="right" vertical="center"/>
    </xf>
    <xf numFmtId="180" fontId="1" fillId="0" borderId="0" xfId="1" applyNumberFormat="1" applyFont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9"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  <dxf>
      <font>
        <color rgb="FFB91C1C"/>
      </font>
      <fill>
        <patternFill patternType="solid">
          <bgColor rgb="FFFFF1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showGridLines="0" tabSelected="1" zoomScale="85" zoomScaleNormal="85" workbookViewId="0"/>
  </sheetViews>
  <sheetFormatPr defaultRowHeight="13.5"/>
  <cols>
    <col min="1" max="1" width="29" customWidth="1"/>
    <col min="2" max="2" width="23" customWidth="1"/>
    <col min="3" max="3" width="24" customWidth="1"/>
    <col min="4" max="5" width="25" customWidth="1"/>
    <col min="6" max="6" width="40" customWidth="1"/>
    <col min="7" max="7" width="28" customWidth="1"/>
    <col min="8" max="8" width="25" customWidth="1"/>
  </cols>
  <sheetData>
    <row r="1" spans="1:8" ht="25.05" customHeight="1">
      <c r="A1" s="1"/>
      <c r="B1" s="1"/>
      <c r="C1" s="1"/>
      <c r="D1" s="1"/>
      <c r="E1" s="1"/>
      <c r="F1" s="1"/>
      <c r="G1" s="1"/>
      <c r="H1" s="1"/>
    </row>
    <row r="2" spans="1:8" ht="34.049999999999997" customHeight="1">
      <c r="A2" s="2" t="s">
        <v>0</v>
      </c>
      <c r="B2" s="2"/>
      <c r="C2" s="2"/>
      <c r="D2" s="2"/>
      <c r="E2" s="2"/>
      <c r="F2" s="2"/>
      <c r="G2" s="2"/>
      <c r="H2" s="2"/>
    </row>
    <row r="3" spans="1:8" ht="25.05" customHeight="1">
      <c r="A3" s="3" t="s">
        <v>1</v>
      </c>
      <c r="B3" s="1"/>
      <c r="C3" s="1"/>
      <c r="D3" s="1"/>
      <c r="E3" s="1"/>
      <c r="F3" s="1"/>
      <c r="G3" s="1"/>
      <c r="H3" s="1"/>
    </row>
    <row r="4" spans="1:8" ht="25.05" customHeight="1">
      <c r="A4" s="1"/>
      <c r="B4" s="1"/>
      <c r="C4" s="1"/>
      <c r="D4" s="1"/>
      <c r="E4" s="1"/>
      <c r="F4" s="1"/>
      <c r="G4" s="1"/>
      <c r="H4" s="1"/>
    </row>
    <row r="5" spans="1:8" ht="25.05" customHeight="1">
      <c r="A5" s="1" t="s">
        <v>2</v>
      </c>
      <c r="B5" s="1" t="s">
        <v>758</v>
      </c>
      <c r="C5" s="1"/>
      <c r="D5" s="1" t="s">
        <v>3</v>
      </c>
      <c r="E5" s="32">
        <v>46295</v>
      </c>
      <c r="F5" s="1"/>
      <c r="G5" s="1"/>
      <c r="H5" s="1"/>
    </row>
    <row r="6" spans="1:8" ht="25.05" customHeight="1">
      <c r="A6" s="1"/>
      <c r="B6" s="1"/>
      <c r="C6" s="1"/>
      <c r="D6" s="1"/>
      <c r="E6" s="1"/>
      <c r="F6" s="1"/>
      <c r="G6" s="1"/>
      <c r="H6" s="1"/>
    </row>
    <row r="7" spans="1:8" ht="29" customHeight="1">
      <c r="A7" s="1" t="s">
        <v>4</v>
      </c>
      <c r="B7" s="18">
        <f>COUNTA(资产清单!A6:A25)</f>
        <v>20</v>
      </c>
      <c r="C7" s="1"/>
      <c r="D7" s="1"/>
      <c r="E7" s="1"/>
      <c r="F7" s="1"/>
      <c r="G7" s="1"/>
      <c r="H7" s="1"/>
    </row>
    <row r="8" spans="1:8" ht="29" customHeight="1">
      <c r="A8" s="1" t="s">
        <v>5</v>
      </c>
      <c r="B8" s="18">
        <f>COUNTIFS(测算结果!L6:L25,"纳入")</f>
        <v>18</v>
      </c>
      <c r="C8" s="1"/>
      <c r="D8" s="1"/>
      <c r="E8" s="1"/>
      <c r="F8" s="1"/>
      <c r="G8" s="1"/>
      <c r="H8" s="1"/>
    </row>
    <row r="9" spans="1:8" ht="29" customHeight="1">
      <c r="A9" s="1" t="s">
        <v>6</v>
      </c>
      <c r="B9" s="18">
        <f>COUNTIFS(测算结果!L6:L25,"排除")</f>
        <v>2</v>
      </c>
      <c r="C9" s="1"/>
      <c r="D9" s="1"/>
      <c r="E9" s="1"/>
      <c r="F9" s="1"/>
      <c r="G9" s="1"/>
      <c r="H9" s="1"/>
    </row>
    <row r="10" spans="1:8" ht="29" customHeight="1">
      <c r="A10" s="1" t="s">
        <v>7</v>
      </c>
      <c r="B10" s="22">
        <f>IF(COUNT(测算结果!H6:H25)&lt;&gt;20,"待补计算资料",SUM(测算结果!H6:H25))</f>
        <v>765085.20000000007</v>
      </c>
      <c r="C10" s="1"/>
      <c r="D10" s="1"/>
      <c r="E10" s="1"/>
      <c r="F10" s="1"/>
      <c r="G10" s="1"/>
      <c r="H10" s="1"/>
    </row>
    <row r="11" spans="1:8" ht="29" customHeight="1">
      <c r="A11" s="1" t="s">
        <v>8</v>
      </c>
      <c r="B11" s="22">
        <f>IF(COUNT(测算结果!H6:H25)&lt;&gt;20,"",SUMIFS(测算结果!H6:H25,测算结果!D6:D25,"设备附表"))</f>
        <v>5400</v>
      </c>
      <c r="C11" s="1"/>
      <c r="D11" s="1"/>
      <c r="E11" s="1"/>
      <c r="F11" s="1"/>
      <c r="G11" s="1"/>
      <c r="H11" s="1"/>
    </row>
    <row r="12" spans="1:8" ht="29" customHeight="1">
      <c r="A12" s="1" t="s">
        <v>9</v>
      </c>
      <c r="B12" s="22">
        <f>IF(COUNT(测算结果!H6:H25)&lt;&gt;20,"",SUMIFS(测算结果!H6:H25,测算结果!L6:L25,"纳入",测算结果!D6:D25,"&lt;&gt;设备附表"))</f>
        <v>759685.20000000007</v>
      </c>
      <c r="C12" s="1"/>
      <c r="D12" s="1"/>
      <c r="E12" s="1"/>
      <c r="F12" s="1"/>
      <c r="G12" s="1"/>
      <c r="H12" s="1"/>
    </row>
    <row r="13" spans="1:8" ht="29" customHeight="1">
      <c r="A13" s="1" t="s">
        <v>10</v>
      </c>
      <c r="B13" s="22">
        <f>IF(COUNT(测算结果!H6:H25)&lt;&gt;20,"",SUMIFS(测算结果!H6:H25,测算结果!D6:D25,"资料核定",测算结果!L6:L25,"纳入"))</f>
        <v>1440</v>
      </c>
      <c r="C13" s="1"/>
      <c r="D13" s="1"/>
      <c r="E13" s="1"/>
      <c r="F13" s="1"/>
      <c r="G13" s="1"/>
      <c r="H13" s="1"/>
    </row>
    <row r="14" spans="1:8" ht="29" customHeight="1">
      <c r="A14" s="1" t="s">
        <v>11</v>
      </c>
      <c r="B14" s="23">
        <f>IF(OR(COUNT(B12:B13)&lt;&gt;2,B12&lt;=0),"",B13/B12)</f>
        <v>1.8955219872652514E-3</v>
      </c>
      <c r="C14" s="1"/>
      <c r="D14" s="1"/>
      <c r="E14" s="1"/>
      <c r="F14" s="1"/>
      <c r="G14" s="1"/>
      <c r="H14" s="1"/>
    </row>
    <row r="15" spans="1:8" ht="29" customHeight="1">
      <c r="A15" s="1" t="s">
        <v>12</v>
      </c>
      <c r="B15" s="18" t="str">
        <f>IF(COUNT(B14)&lt;&gt;1,"待补金额资料",IF(B14&lt;=内部复核参数!B11,"未超内部上限","超限待复核"))</f>
        <v>未超内部上限</v>
      </c>
      <c r="C15" s="1"/>
      <c r="D15" s="1"/>
      <c r="E15" s="1"/>
      <c r="F15" s="1"/>
      <c r="G15" s="1"/>
      <c r="H15" s="1"/>
    </row>
    <row r="16" spans="1:8" ht="29" customHeight="1">
      <c r="A16" s="1" t="s">
        <v>13</v>
      </c>
      <c r="B16" s="18">
        <f>COUNTIFS(测算结果!D6:D25,"市场比较",测算结果!K6:K25,"&lt;&gt;通过")</f>
        <v>0</v>
      </c>
      <c r="C16" s="1"/>
      <c r="D16" s="1"/>
      <c r="E16" s="1"/>
      <c r="F16" s="1"/>
      <c r="G16" s="1"/>
      <c r="H16" s="1"/>
    </row>
    <row r="17" spans="1:8" ht="29" customHeight="1">
      <c r="A17" s="1" t="s">
        <v>14</v>
      </c>
      <c r="B17" s="1" t="s">
        <v>15</v>
      </c>
      <c r="C17" s="1"/>
      <c r="D17" s="1"/>
      <c r="E17" s="1"/>
      <c r="F17" s="1"/>
      <c r="G17" s="1"/>
      <c r="H17" s="1"/>
    </row>
    <row r="18" spans="1:8" ht="25.05" customHeight="1">
      <c r="A18" s="1"/>
      <c r="B18" s="1"/>
      <c r="C18" s="1"/>
      <c r="D18" s="1"/>
      <c r="E18" s="1"/>
      <c r="F18" s="1"/>
      <c r="G18" s="1"/>
      <c r="H18" s="1"/>
    </row>
    <row r="19" spans="1:8" ht="25.05" customHeight="1">
      <c r="A19" s="1"/>
      <c r="B19" s="1"/>
      <c r="C19" s="1"/>
      <c r="D19" s="1"/>
      <c r="E19" s="1"/>
      <c r="F19" s="1"/>
      <c r="G19" s="1"/>
      <c r="H19" s="1"/>
    </row>
    <row r="20" spans="1:8" ht="44" customHeight="1">
      <c r="A20" s="4" t="s">
        <v>16</v>
      </c>
      <c r="B20" s="4" t="s">
        <v>17</v>
      </c>
      <c r="C20" s="4" t="s">
        <v>18</v>
      </c>
      <c r="D20" s="4" t="s">
        <v>19</v>
      </c>
      <c r="E20" s="1"/>
      <c r="F20" s="1"/>
      <c r="G20" s="1"/>
      <c r="H20" s="1"/>
    </row>
    <row r="21" spans="1:8" ht="54" customHeight="1">
      <c r="A21" s="33" t="s">
        <v>20</v>
      </c>
      <c r="B21" s="33" t="s">
        <v>21</v>
      </c>
      <c r="C21" s="33" t="s">
        <v>22</v>
      </c>
      <c r="D21" s="33" t="s">
        <v>23</v>
      </c>
      <c r="E21" s="1"/>
      <c r="F21" s="1"/>
      <c r="G21" s="1"/>
      <c r="H21" s="1"/>
    </row>
    <row r="22" spans="1:8" ht="54" customHeight="1">
      <c r="A22" s="33" t="s">
        <v>24</v>
      </c>
      <c r="B22" s="33" t="s">
        <v>25</v>
      </c>
      <c r="C22" s="33" t="s">
        <v>26</v>
      </c>
      <c r="D22" s="33" t="s">
        <v>27</v>
      </c>
      <c r="E22" s="1"/>
      <c r="F22" s="1"/>
      <c r="G22" s="1"/>
      <c r="H22" s="1"/>
    </row>
    <row r="23" spans="1:8" ht="54" customHeight="1">
      <c r="A23" s="33" t="s">
        <v>28</v>
      </c>
      <c r="B23" s="33" t="s">
        <v>29</v>
      </c>
      <c r="C23" s="33" t="s">
        <v>30</v>
      </c>
      <c r="D23" s="33" t="s">
        <v>31</v>
      </c>
      <c r="E23" s="1"/>
      <c r="F23" s="1"/>
      <c r="G23" s="1"/>
      <c r="H23" s="1"/>
    </row>
    <row r="24" spans="1:8" ht="54" customHeight="1">
      <c r="A24" s="33" t="s">
        <v>32</v>
      </c>
      <c r="B24" s="33" t="s">
        <v>33</v>
      </c>
      <c r="C24" s="33" t="s">
        <v>34</v>
      </c>
      <c r="D24" s="33" t="s">
        <v>35</v>
      </c>
      <c r="E24" s="1"/>
      <c r="F24" s="1"/>
      <c r="G24" s="1"/>
      <c r="H24" s="1"/>
    </row>
    <row r="25" spans="1:8" ht="54" customHeight="1">
      <c r="A25" s="33" t="s">
        <v>36</v>
      </c>
      <c r="B25" s="33" t="s">
        <v>37</v>
      </c>
      <c r="C25" s="33" t="s">
        <v>38</v>
      </c>
      <c r="D25" s="33" t="s">
        <v>39</v>
      </c>
      <c r="E25" s="1"/>
      <c r="F25" s="1"/>
      <c r="G25" s="1"/>
      <c r="H25" s="1"/>
    </row>
    <row r="26" spans="1:8" ht="54" customHeight="1">
      <c r="A26" s="33" t="s">
        <v>40</v>
      </c>
      <c r="B26" s="33" t="s">
        <v>41</v>
      </c>
      <c r="C26" s="33" t="s">
        <v>42</v>
      </c>
      <c r="D26" s="33" t="s">
        <v>43</v>
      </c>
      <c r="E26" s="1"/>
      <c r="F26" s="1"/>
      <c r="G26" s="1"/>
      <c r="H26" s="1"/>
    </row>
    <row r="27" spans="1:8" ht="54" customHeight="1">
      <c r="A27" s="33" t="s">
        <v>44</v>
      </c>
      <c r="B27" s="33" t="s">
        <v>45</v>
      </c>
      <c r="C27" s="33" t="s">
        <v>46</v>
      </c>
      <c r="D27" s="33" t="s">
        <v>47</v>
      </c>
      <c r="E27" s="1"/>
      <c r="F27" s="1"/>
      <c r="G27" s="1"/>
      <c r="H27" s="1"/>
    </row>
    <row r="28" spans="1:8" ht="54" customHeight="1">
      <c r="A28" s="33" t="s">
        <v>48</v>
      </c>
      <c r="B28" s="33" t="s">
        <v>49</v>
      </c>
      <c r="C28" s="33" t="s">
        <v>50</v>
      </c>
      <c r="D28" s="33" t="s">
        <v>51</v>
      </c>
      <c r="E28" s="1"/>
      <c r="F28" s="1"/>
      <c r="G28" s="1"/>
      <c r="H28" s="1"/>
    </row>
    <row r="29" spans="1:8" ht="25.05" customHeight="1">
      <c r="A29" s="1"/>
      <c r="B29" s="1"/>
      <c r="C29" s="1"/>
      <c r="D29" s="1"/>
      <c r="E29" s="1"/>
      <c r="F29" s="1"/>
      <c r="G29" s="1"/>
      <c r="H29" s="1"/>
    </row>
    <row r="30" spans="1:8" ht="25.05" customHeight="1">
      <c r="A30" s="1"/>
      <c r="B30" s="1"/>
      <c r="C30" s="1"/>
      <c r="D30" s="1"/>
      <c r="E30" s="1"/>
      <c r="F30" s="1"/>
      <c r="G30" s="1"/>
      <c r="H30" s="1"/>
    </row>
    <row r="31" spans="1:8" ht="25.05" customHeight="1">
      <c r="A31" s="3" t="s">
        <v>52</v>
      </c>
      <c r="B31" s="1"/>
      <c r="C31" s="1"/>
      <c r="D31" s="1"/>
      <c r="E31" s="1"/>
      <c r="F31" s="1"/>
      <c r="G31" s="1"/>
      <c r="H31" s="1"/>
    </row>
    <row r="32" spans="1:8" ht="25.05" customHeight="1">
      <c r="A32" s="3" t="s">
        <v>53</v>
      </c>
      <c r="B32" s="1"/>
      <c r="C32" s="1"/>
      <c r="D32" s="1"/>
      <c r="E32" s="1"/>
      <c r="F32" s="1"/>
      <c r="G32" s="1"/>
      <c r="H32" s="1"/>
    </row>
    <row r="33" spans="1:8" ht="25.05" customHeight="1">
      <c r="A33" s="3" t="s">
        <v>54</v>
      </c>
      <c r="B33" s="1"/>
      <c r="C33" s="1"/>
      <c r="D33" s="1"/>
      <c r="E33" s="1"/>
      <c r="F33" s="1"/>
      <c r="G33" s="1"/>
      <c r="H33" s="1"/>
    </row>
    <row r="34" spans="1:8" ht="25.05" customHeight="1">
      <c r="A34" s="3" t="s">
        <v>55</v>
      </c>
      <c r="B34" s="1"/>
      <c r="C34" s="1"/>
      <c r="D34" s="1"/>
      <c r="E34" s="1"/>
      <c r="F34" s="1"/>
      <c r="G34" s="1"/>
      <c r="H34" s="1"/>
    </row>
    <row r="35" spans="1:8" ht="25.05" customHeight="1">
      <c r="A35" s="1"/>
      <c r="B35" s="1"/>
      <c r="C35" s="1"/>
      <c r="D35" s="1"/>
      <c r="E35" s="1"/>
      <c r="F35" s="1"/>
      <c r="G35" s="1"/>
      <c r="H35" s="1"/>
    </row>
    <row r="36" spans="1:8" ht="25.05" customHeight="1">
      <c r="A36" s="1"/>
      <c r="B36" s="1"/>
      <c r="C36" s="1"/>
      <c r="D36" s="1"/>
      <c r="E36" s="1"/>
      <c r="F36" s="1"/>
      <c r="G36" s="1"/>
      <c r="H36" s="1"/>
    </row>
    <row r="37" spans="1:8" ht="25.05" customHeight="1">
      <c r="A37" s="1"/>
      <c r="B37" s="1"/>
      <c r="C37" s="1"/>
      <c r="D37" s="1"/>
      <c r="E37" s="1"/>
      <c r="F37" s="1"/>
      <c r="G37" s="1"/>
      <c r="H37" s="1"/>
    </row>
    <row r="38" spans="1:8" ht="25.05" customHeight="1">
      <c r="A38" s="1"/>
      <c r="B38" s="1"/>
      <c r="C38" s="1"/>
      <c r="D38" s="1"/>
      <c r="E38" s="1"/>
      <c r="F38" s="1"/>
      <c r="G38" s="1"/>
      <c r="H38" s="1"/>
    </row>
    <row r="39" spans="1:8" ht="25.05" customHeight="1">
      <c r="A39" s="1"/>
      <c r="B39" s="1"/>
      <c r="C39" s="1"/>
      <c r="D39" s="1"/>
      <c r="E39" s="1"/>
      <c r="F39" s="1"/>
      <c r="G39" s="1"/>
      <c r="H39" s="1"/>
    </row>
    <row r="40" spans="1:8" ht="25.05" customHeight="1">
      <c r="A40" s="1"/>
      <c r="B40" s="1"/>
      <c r="C40" s="1"/>
      <c r="D40" s="1"/>
      <c r="E40" s="1"/>
      <c r="F40" s="1"/>
      <c r="G40" s="1"/>
      <c r="H40" s="1"/>
    </row>
    <row r="41" spans="1:8" ht="25.05" customHeight="1">
      <c r="A41" s="1"/>
      <c r="B41" s="1"/>
      <c r="C41" s="1"/>
      <c r="D41" s="1"/>
      <c r="E41" s="1"/>
      <c r="F41" s="1"/>
      <c r="G41" s="1"/>
      <c r="H41" s="1"/>
    </row>
    <row r="42" spans="1:8" ht="25.05" customHeight="1">
      <c r="A42" s="1"/>
      <c r="B42" s="1"/>
      <c r="C42" s="1"/>
      <c r="D42" s="1"/>
      <c r="E42" s="1"/>
      <c r="F42" s="1"/>
      <c r="G42" s="1"/>
      <c r="H42" s="1"/>
    </row>
    <row r="43" spans="1:8" ht="25.05" customHeight="1">
      <c r="A43" s="1"/>
      <c r="B43" s="1"/>
      <c r="C43" s="1"/>
      <c r="D43" s="1"/>
      <c r="E43" s="1"/>
      <c r="F43" s="1"/>
      <c r="G43" s="1"/>
      <c r="H43" s="1"/>
    </row>
    <row r="44" spans="1:8" ht="25.05" customHeight="1">
      <c r="A44" s="1"/>
      <c r="B44" s="1"/>
      <c r="C44" s="1"/>
      <c r="D44" s="1"/>
      <c r="E44" s="1"/>
      <c r="F44" s="1"/>
      <c r="G44" s="1"/>
      <c r="H44" s="1"/>
    </row>
  </sheetData>
  <phoneticPr fontId="8" type="noConversion"/>
  <conditionalFormatting sqref="B7:B17">
    <cfRule type="containsText" dxfId="8" priority="1" operator="containsText" text="待"/>
  </conditionalFormatting>
  <pageMargins left="0.39370078740157477" right="0.39370078740157477" top="0.75" bottom="0.75" header="0.3" footer="0.3"/>
  <pageSetup paperSize="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0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3" customWidth="1"/>
    <col min="3" max="3" width="17" customWidth="1"/>
    <col min="4" max="4" width="22" customWidth="1"/>
    <col min="5" max="5" width="18" customWidth="1"/>
    <col min="6" max="6" width="14" customWidth="1"/>
    <col min="7" max="7" width="18" customWidth="1"/>
    <col min="8" max="8" width="20" customWidth="1"/>
    <col min="9" max="10" width="18" customWidth="1"/>
    <col min="11" max="11" width="24" customWidth="1"/>
    <col min="12" max="12" width="14" customWidth="1"/>
    <col min="13" max="13" width="50" customWidth="1"/>
    <col min="14" max="14" width="29" customWidth="1"/>
  </cols>
  <sheetData>
    <row r="1" spans="1:14" ht="25.05" customHeight="1">
      <c r="A1" s="1" t="s">
        <v>759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049999999999997" customHeight="1">
      <c r="A2" s="2" t="s">
        <v>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4" customHeight="1">
      <c r="A5" s="4" t="s">
        <v>58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65</v>
      </c>
      <c r="I5" s="4" t="s">
        <v>66</v>
      </c>
      <c r="J5" s="4" t="s">
        <v>67</v>
      </c>
      <c r="K5" s="4" t="s">
        <v>68</v>
      </c>
      <c r="L5" s="4" t="s">
        <v>69</v>
      </c>
      <c r="M5" s="4" t="s">
        <v>70</v>
      </c>
      <c r="N5" s="4" t="s">
        <v>71</v>
      </c>
    </row>
    <row r="6" spans="1:14" ht="50" customHeight="1">
      <c r="A6" s="16" t="s">
        <v>72</v>
      </c>
      <c r="B6" s="16" t="str">
        <f>IF(COUNTIFS(资产清单!$A$6:$A$25,A6)&lt;&gt;1,"",IF(INDEX(资产清单!$D$6:$D$25,MATCH(A6,资产清单!$A$6:$A$25,0))="","",INDEX(资产清单!$D$6:$D$25,MATCH(A6,资产清单!$A$6:$A$25,0))))</f>
        <v>沿街商铺一</v>
      </c>
      <c r="C6" s="16" t="str">
        <f>IF(COUNTIFS(资产清单!$A$6:$A$25,A6)&lt;&gt;1,"",IF(INDEX(资产清单!$H$6:$H$25,MATCH(A6,资产清单!$A$6:$A$25,0))="","",INDEX(资产清单!$H$6:$H$25,MATCH(A6,资产清单!$A$6:$A$25,0))))</f>
        <v>商业</v>
      </c>
      <c r="D6" s="16" t="str">
        <f>IF(COUNTIFS(计租与历史!$A$6:$A$25,A6)&lt;&gt;1,"",IF(INDEX(计租与历史!$C$6:$C$25,MATCH(A6,计租与历史!$A$6:$A$25,0))="","",INDEX(计租与历史!$C$6:$C$25,MATCH(A6,计租与历史!$A$6:$A$25,0))))</f>
        <v>市场比较</v>
      </c>
      <c r="E6" s="16" t="str">
        <f>IF(COUNTIFS(资产清单!$A$6:$A$25,A6)&lt;&gt;1,"",IF(INDEX(资产清单!$J$6:$J$25,MATCH(A6,资产清单!$A$6:$A$25,0))="","",INDEX(资产清单!$J$6:$J$25,MATCH(A6,资产清单!$A$6:$A$25,0))))</f>
        <v>元/㎡/月</v>
      </c>
      <c r="F6" s="28">
        <f>IF(COUNTIFS(资产清单!$A$6:$A$25,A6)&lt;&gt;1,"",IF(COUNT(INDEX(资产清单!$K$6:$K$25,MATCH(A6,资产清单!$A$6:$A$25,0)))&lt;&gt;1,"",INDEX(资产清单!$K$6:$K$25,MATCH(A6,资产清单!$A$6:$A$25,0))))</f>
        <v>60</v>
      </c>
      <c r="G6" s="28">
        <f>IF(L6="排除",0,IF(D6="市场比较",IF(COUNT(三案例测算!H6:H8)&lt;&gt;3,"",ROUND(AVERAGE(三案例测算!H6:H8),测算参数!$B$9)),IF(OR(D6="资料核定",D6="租赁资料核定"),IF(COUNTIFS(租赁资料核定!$A$6:$A$7,A6)&lt;&gt;1,"",IF(COUNT(INDEX(租赁资料核定!$M$6:$M$7,MATCH(A6,租赁资料核定!$A$6:$A$7,0)))&lt;&gt;1,"",INDEX(租赁资料核定!$M$6:$M$7,MATCH(A6,租赁资料核定!$A$6:$A$7,0)))),IF(D6="专项计租",IF(COUNTIFS(特殊计租!$A$6:$A$7,A6)&lt;&gt;1,"",IF(COUNT(INDEX(特殊计租!$D$6:$D$7,MATCH(A6,特殊计租!$A$6:$A$7,0)))&lt;&gt;1,"",INDEX(特殊计租!$D$6:$D$7,MATCH(A6,特殊计租!$A$6:$A$7,0)))),IF(D6="设备附表",IF(COUNTIFS(设备附表!$A$6:$A$7,A6)&lt;&gt;1,"",IF(COUNT(INDEX(设备附表!$F$6:$F$7,MATCH(A6,设备附表!$A$6:$A$7,0)))&lt;&gt;1,"",INDEX(设备附表!$F$6:$F$7,MATCH(A6,设备附表!$A$6:$A$7,0)))),"")))))</f>
        <v>54.7</v>
      </c>
      <c r="H6" s="28">
        <f>IF(L6="排除",0,IF(D6="专项计租",IF(COUNTIFS(特殊计租!$A$6:$A$7,A6)&lt;&gt;1,"",IF(COUNT(INDEX(特殊计租!$J$6:$J$7,MATCH(A6,特殊计租!$A$6:$A$7,0)))&lt;&gt;1,"",INDEX(特殊计租!$J$6:$J$7,MATCH(A6,特殊计租!$A$6:$A$7,0)))),IF(D6="设备附表",IF(COUNTIFS(设备附表!$A$6:$A$7,A6)&lt;&gt;1,"",IF(COUNT(INDEX(设备附表!$G$6:$G$7,MATCH(A6,设备附表!$A$6:$A$7,0)))&lt;&gt;1,"",INDEX(设备附表!$G$6:$G$7,MATCH(A6,设备附表!$A$6:$A$7,0)))),IF(OR(D6="资料核定",D6="租赁资料核定"),IF(COUNTIFS(租赁资料核定!$A$6:$A$7,A6)&lt;&gt;1,"",IF(COUNT(INDEX(租赁资料核定!$N$6:$N$7,MATCH(A6,租赁资料核定!$A$6:$A$7,0)))&lt;&gt;1,"",INDEX(租赁资料核定!$N$6:$N$7,MATCH(A6,租赁资料核定!$A$6:$A$7,0)))),IF(OR(COUNT(F6:G6)&lt;&gt;2,F6&lt;=0),"",ROUND(F6*G6*测算参数!$B$10,2))))))</f>
        <v>39384</v>
      </c>
      <c r="I6" s="28">
        <f>IF(COUNTIFS(计租与历史!$A$6:$A$25,A6)&lt;&gt;1,"",IF(COUNT(INDEX(计租与历史!$D$6:$D$25,MATCH(A6,计租与历史!$A$6:$A$25,0)))&lt;&gt;1,"",INDEX(计租与历史!$D$6:$D$25,MATCH(A6,计租与历史!$A$6:$A$25,0))))</f>
        <v>48</v>
      </c>
      <c r="J6" s="25">
        <f t="shared" ref="J6:J25" si="0">IF(OR(COUNT(G6,I6)&lt;&gt;2,I6&lt;=0,L6&lt;&gt;"纳入"),"",G6/I6-1)</f>
        <v>0.13958333333333339</v>
      </c>
      <c r="K6" s="16" t="str">
        <f>IF(L6="排除",IF(AND(D6="不重复计租",OR(IF(COUNTIFS(计租与历史!$A$6:$A$25,A6)&lt;&gt;1,"",IF(INDEX(计租与历史!$G$6:$G$25,MATCH(A6,计租与历史!$A$6:$A$25,0))="","",INDEX(计租与历史!$G$6:$G$25,MATCH(A6,计租与历史!$A$6:$A$25,0))))="",COUNTIFS(资产清单!$A$6:$A$25,IF(COUNTIFS(计租与历史!$A$6:$A$25,A6)&lt;&gt;1,"",IF(INDEX(计租与历史!$G$6:$G$25,MATCH(A6,计租与历史!$A$6:$A$25,0))="","",INDEX(计租与历史!$G$6:$G$25,MATCH(A6,计租与历史!$A$6:$A$25,0)))))&lt;&gt;1)),"待核主资产","范围排除"),IF(D6="市场比较",IF(COUNT(三案例测算!H6:H8)&lt;&gt;3,"待补资料或重判评分",IF(OR(COUNTIFS(三案例测算!J6:J8,"通过")&lt;&gt;3,MAX(三案例测算!H6:H8)/MIN(三案例测算!H6:H8)-1&gt;测算参数!$B$8),"超限待复核","通过")),IF(COUNT(H6)&lt;&gt;1,"待补专项或核定资料","独立资料核定")))</f>
        <v>通过</v>
      </c>
      <c r="L6" s="16" t="str">
        <f>IF(COUNTIFS(计租与历史!$A$6:$A$25,A6)&lt;&gt;1,"",IF(INDEX(计租与历史!$B$6:$B$25,MATCH(A6,计租与历史!$A$6:$A$25,0))="","",INDEX(计租与历史!$B$6:$B$25,MATCH(A6,计租与历史!$A$6:$A$25,0))))</f>
        <v>纳入</v>
      </c>
      <c r="M6" s="16" t="str">
        <f>IF(COUNTIFS(计租与历史!$A$6:$A$25,A6)&lt;&gt;1,"",IF(INDEX(计租与历史!$H$6:$H$25,MATCH(A6,计租与历史!$A$6:$A$25,0))="","",INDEX(计租与历史!$H$6:$H$25,MATCH(A6,计租与历史!$A$6:$A$25,0))))</f>
        <v>按相应计租口径测算</v>
      </c>
      <c r="N6" s="16" t="s">
        <v>73</v>
      </c>
    </row>
    <row r="7" spans="1:14" ht="50" customHeight="1">
      <c r="A7" s="16" t="s">
        <v>74</v>
      </c>
      <c r="B7" s="16" t="str">
        <f>IF(COUNTIFS(资产清单!$A$6:$A$25,A7)&lt;&gt;1,"",IF(INDEX(资产清单!$D$6:$D$25,MATCH(A7,资产清单!$A$6:$A$25,0))="","",INDEX(资产清单!$D$6:$D$25,MATCH(A7,资产清单!$A$6:$A$25,0))))</f>
        <v>沿街商铺二</v>
      </c>
      <c r="C7" s="16" t="str">
        <f>IF(COUNTIFS(资产清单!$A$6:$A$25,A7)&lt;&gt;1,"",IF(INDEX(资产清单!$H$6:$H$25,MATCH(A7,资产清单!$A$6:$A$25,0))="","",INDEX(资产清单!$H$6:$H$25,MATCH(A7,资产清单!$A$6:$A$25,0))))</f>
        <v>商业</v>
      </c>
      <c r="D7" s="16" t="str">
        <f>IF(COUNTIFS(计租与历史!$A$6:$A$25,A7)&lt;&gt;1,"",IF(INDEX(计租与历史!$C$6:$C$25,MATCH(A7,计租与历史!$A$6:$A$25,0))="","",INDEX(计租与历史!$C$6:$C$25,MATCH(A7,计租与历史!$A$6:$A$25,0))))</f>
        <v>市场比较</v>
      </c>
      <c r="E7" s="16" t="str">
        <f>IF(COUNTIFS(资产清单!$A$6:$A$25,A7)&lt;&gt;1,"",IF(INDEX(资产清单!$J$6:$J$25,MATCH(A7,资产清单!$A$6:$A$25,0))="","",INDEX(资产清单!$J$6:$J$25,MATCH(A7,资产清单!$A$6:$A$25,0))))</f>
        <v>元/㎡/月</v>
      </c>
      <c r="F7" s="28">
        <f>IF(COUNTIFS(资产清单!$A$6:$A$25,A7)&lt;&gt;1,"",IF(COUNT(INDEX(资产清单!$K$6:$K$25,MATCH(A7,资产清单!$A$6:$A$25,0)))&lt;&gt;1,"",INDEX(资产清单!$K$6:$K$25,MATCH(A7,资产清单!$A$6:$A$25,0))))</f>
        <v>110</v>
      </c>
      <c r="G7" s="28">
        <f>IF(L7="排除",0,IF(D7="市场比较",IF(COUNT(三案例测算!H9:H11)&lt;&gt;3,"",ROUND(AVERAGE(三案例测算!H9:H11),测算参数!$B$9)),IF(OR(D7="资料核定",D7="租赁资料核定"),IF(COUNTIFS(租赁资料核定!$A$6:$A$7,A7)&lt;&gt;1,"",IF(COUNT(INDEX(租赁资料核定!$M$6:$M$7,MATCH(A7,租赁资料核定!$A$6:$A$7,0)))&lt;&gt;1,"",INDEX(租赁资料核定!$M$6:$M$7,MATCH(A7,租赁资料核定!$A$6:$A$7,0)))),IF(D7="专项计租",IF(COUNTIFS(特殊计租!$A$6:$A$7,A7)&lt;&gt;1,"",IF(COUNT(INDEX(特殊计租!$D$6:$D$7,MATCH(A7,特殊计租!$A$6:$A$7,0)))&lt;&gt;1,"",INDEX(特殊计租!$D$6:$D$7,MATCH(A7,特殊计租!$A$6:$A$7,0)))),IF(D7="设备附表",IF(COUNTIFS(设备附表!$A$6:$A$7,A7)&lt;&gt;1,"",IF(COUNT(INDEX(设备附表!$F$6:$F$7,MATCH(A7,设备附表!$A$6:$A$7,0)))&lt;&gt;1,"",INDEX(设备附表!$F$6:$F$7,MATCH(A7,设备附表!$A$6:$A$7,0)))),"")))))</f>
        <v>52.2</v>
      </c>
      <c r="H7" s="28">
        <f>IF(L7="排除",0,IF(D7="专项计租",IF(COUNTIFS(特殊计租!$A$6:$A$7,A7)&lt;&gt;1,"",IF(COUNT(INDEX(特殊计租!$J$6:$J$7,MATCH(A7,特殊计租!$A$6:$A$7,0)))&lt;&gt;1,"",INDEX(特殊计租!$J$6:$J$7,MATCH(A7,特殊计租!$A$6:$A$7,0)))),IF(D7="设备附表",IF(COUNTIFS(设备附表!$A$6:$A$7,A7)&lt;&gt;1,"",IF(COUNT(INDEX(设备附表!$G$6:$G$7,MATCH(A7,设备附表!$A$6:$A$7,0)))&lt;&gt;1,"",INDEX(设备附表!$G$6:$G$7,MATCH(A7,设备附表!$A$6:$A$7,0)))),IF(OR(D7="资料核定",D7="租赁资料核定"),IF(COUNTIFS(租赁资料核定!$A$6:$A$7,A7)&lt;&gt;1,"",IF(COUNT(INDEX(租赁资料核定!$N$6:$N$7,MATCH(A7,租赁资料核定!$A$6:$A$7,0)))&lt;&gt;1,"",INDEX(租赁资料核定!$N$6:$N$7,MATCH(A7,租赁资料核定!$A$6:$A$7,0)))),IF(OR(COUNT(F7:G7)&lt;&gt;2,F7&lt;=0),"",ROUND(F7*G7*测算参数!$B$10,2))))))</f>
        <v>68904</v>
      </c>
      <c r="I7" s="28">
        <f>IF(COUNTIFS(计租与历史!$A$6:$A$25,A7)&lt;&gt;1,"",IF(COUNT(INDEX(计租与历史!$D$6:$D$25,MATCH(A7,计租与历史!$A$6:$A$25,0)))&lt;&gt;1,"",INDEX(计租与历史!$D$6:$D$25,MATCH(A7,计租与历史!$A$6:$A$25,0))))</f>
        <v>47</v>
      </c>
      <c r="J7" s="25">
        <f t="shared" si="0"/>
        <v>0.11063829787234059</v>
      </c>
      <c r="K7" s="16" t="str">
        <f>IF(L7="排除",IF(AND(D7="不重复计租",OR(IF(COUNTIFS(计租与历史!$A$6:$A$25,A7)&lt;&gt;1,"",IF(INDEX(计租与历史!$G$6:$G$25,MATCH(A7,计租与历史!$A$6:$A$25,0))="","",INDEX(计租与历史!$G$6:$G$25,MATCH(A7,计租与历史!$A$6:$A$25,0))))="",COUNTIFS(资产清单!$A$6:$A$25,IF(COUNTIFS(计租与历史!$A$6:$A$25,A7)&lt;&gt;1,"",IF(INDEX(计租与历史!$G$6:$G$25,MATCH(A7,计租与历史!$A$6:$A$25,0))="","",INDEX(计租与历史!$G$6:$G$25,MATCH(A7,计租与历史!$A$6:$A$25,0)))))&lt;&gt;1)),"待核主资产","范围排除"),IF(D7="市场比较",IF(COUNT(三案例测算!H9:H11)&lt;&gt;3,"待补资料或重判评分",IF(OR(COUNTIFS(三案例测算!J9:J11,"通过")&lt;&gt;3,MAX(三案例测算!H9:H11)/MIN(三案例测算!H9:H11)-1&gt;测算参数!$B$8),"超限待复核","通过")),IF(COUNT(H7)&lt;&gt;1,"待补专项或核定资料","独立资料核定")))</f>
        <v>通过</v>
      </c>
      <c r="L7" s="16" t="str">
        <f>IF(COUNTIFS(计租与历史!$A$6:$A$25,A7)&lt;&gt;1,"",IF(INDEX(计租与历史!$B$6:$B$25,MATCH(A7,计租与历史!$A$6:$A$25,0))="","",INDEX(计租与历史!$B$6:$B$25,MATCH(A7,计租与历史!$A$6:$A$25,0))))</f>
        <v>纳入</v>
      </c>
      <c r="M7" s="16" t="str">
        <f>IF(COUNTIFS(计租与历史!$A$6:$A$25,A7)&lt;&gt;1,"",IF(INDEX(计租与历史!$H$6:$H$25,MATCH(A7,计租与历史!$A$6:$A$25,0))="","",INDEX(计租与历史!$H$6:$H$25,MATCH(A7,计租与历史!$A$6:$A$25,0))))</f>
        <v>按相应计租口径测算</v>
      </c>
      <c r="N7" s="16" t="s">
        <v>73</v>
      </c>
    </row>
    <row r="8" spans="1:14" ht="50" customHeight="1">
      <c r="A8" s="16" t="s">
        <v>75</v>
      </c>
      <c r="B8" s="16" t="str">
        <f>IF(COUNTIFS(资产清单!$A$6:$A$25,A8)&lt;&gt;1,"",IF(INDEX(资产清单!$D$6:$D$25,MATCH(A8,资产清单!$A$6:$A$25,0))="","",INDEX(资产清单!$D$6:$D$25,MATCH(A8,资产清单!$A$6:$A$25,0))))</f>
        <v>二层商铺</v>
      </c>
      <c r="C8" s="16" t="str">
        <f>IF(COUNTIFS(资产清单!$A$6:$A$25,A8)&lt;&gt;1,"",IF(INDEX(资产清单!$H$6:$H$25,MATCH(A8,资产清单!$A$6:$A$25,0))="","",INDEX(资产清单!$H$6:$H$25,MATCH(A8,资产清单!$A$6:$A$25,0))))</f>
        <v>商业</v>
      </c>
      <c r="D8" s="16" t="str">
        <f>IF(COUNTIFS(计租与历史!$A$6:$A$25,A8)&lt;&gt;1,"",IF(INDEX(计租与历史!$C$6:$C$25,MATCH(A8,计租与历史!$A$6:$A$25,0))="","",INDEX(计租与历史!$C$6:$C$25,MATCH(A8,计租与历史!$A$6:$A$25,0))))</f>
        <v>市场比较</v>
      </c>
      <c r="E8" s="16" t="str">
        <f>IF(COUNTIFS(资产清单!$A$6:$A$25,A8)&lt;&gt;1,"",IF(INDEX(资产清单!$J$6:$J$25,MATCH(A8,资产清单!$A$6:$A$25,0))="","",INDEX(资产清单!$J$6:$J$25,MATCH(A8,资产清单!$A$6:$A$25,0))))</f>
        <v>元/㎡/月</v>
      </c>
      <c r="F8" s="28">
        <f>IF(COUNTIFS(资产清单!$A$6:$A$25,A8)&lt;&gt;1,"",IF(COUNT(INDEX(资产清单!$K$6:$K$25,MATCH(A8,资产清单!$A$6:$A$25,0)))&lt;&gt;1,"",INDEX(资产清单!$K$6:$K$25,MATCH(A8,资产清单!$A$6:$A$25,0))))</f>
        <v>95</v>
      </c>
      <c r="G8" s="28">
        <f>IF(L8="排除",0,IF(D8="市场比较",IF(COUNT(三案例测算!H12:H14)&lt;&gt;3,"",ROUND(AVERAGE(三案例测算!H12:H14),测算参数!$B$9)),IF(OR(D8="资料核定",D8="租赁资料核定"),IF(COUNTIFS(租赁资料核定!$A$6:$A$7,A8)&lt;&gt;1,"",IF(COUNT(INDEX(租赁资料核定!$M$6:$M$7,MATCH(A8,租赁资料核定!$A$6:$A$7,0)))&lt;&gt;1,"",INDEX(租赁资料核定!$M$6:$M$7,MATCH(A8,租赁资料核定!$A$6:$A$7,0)))),IF(D8="专项计租",IF(COUNTIFS(特殊计租!$A$6:$A$7,A8)&lt;&gt;1,"",IF(COUNT(INDEX(特殊计租!$D$6:$D$7,MATCH(A8,特殊计租!$A$6:$A$7,0)))&lt;&gt;1,"",INDEX(特殊计租!$D$6:$D$7,MATCH(A8,特殊计租!$A$6:$A$7,0)))),IF(D8="设备附表",IF(COUNTIFS(设备附表!$A$6:$A$7,A8)&lt;&gt;1,"",IF(COUNT(INDEX(设备附表!$F$6:$F$7,MATCH(A8,设备附表!$A$6:$A$7,0)))&lt;&gt;1,"",INDEX(设备附表!$F$6:$F$7,MATCH(A8,设备附表!$A$6:$A$7,0)))),"")))))</f>
        <v>44.1</v>
      </c>
      <c r="H8" s="28">
        <f>IF(L8="排除",0,IF(D8="专项计租",IF(COUNTIFS(特殊计租!$A$6:$A$7,A8)&lt;&gt;1,"",IF(COUNT(INDEX(特殊计租!$J$6:$J$7,MATCH(A8,特殊计租!$A$6:$A$7,0)))&lt;&gt;1,"",INDEX(特殊计租!$J$6:$J$7,MATCH(A8,特殊计租!$A$6:$A$7,0)))),IF(D8="设备附表",IF(COUNTIFS(设备附表!$A$6:$A$7,A8)&lt;&gt;1,"",IF(COUNT(INDEX(设备附表!$G$6:$G$7,MATCH(A8,设备附表!$A$6:$A$7,0)))&lt;&gt;1,"",INDEX(设备附表!$G$6:$G$7,MATCH(A8,设备附表!$A$6:$A$7,0)))),IF(OR(D8="资料核定",D8="租赁资料核定"),IF(COUNTIFS(租赁资料核定!$A$6:$A$7,A8)&lt;&gt;1,"",IF(COUNT(INDEX(租赁资料核定!$N$6:$N$7,MATCH(A8,租赁资料核定!$A$6:$A$7,0)))&lt;&gt;1,"",INDEX(租赁资料核定!$N$6:$N$7,MATCH(A8,租赁资料核定!$A$6:$A$7,0)))),IF(OR(COUNT(F8:G8)&lt;&gt;2,F8&lt;=0),"",ROUND(F8*G8*测算参数!$B$10,2))))))</f>
        <v>50274</v>
      </c>
      <c r="I8" s="28">
        <f>IF(COUNTIFS(计租与历史!$A$6:$A$25,A8)&lt;&gt;1,"",IF(COUNT(INDEX(计租与历史!$D$6:$D$25,MATCH(A8,计租与历史!$A$6:$A$25,0)))&lt;&gt;1,"",INDEX(计租与历史!$D$6:$D$25,MATCH(A8,计租与历史!$A$6:$A$25,0))))</f>
        <v>42</v>
      </c>
      <c r="J8" s="25">
        <f t="shared" si="0"/>
        <v>5.0000000000000044E-2</v>
      </c>
      <c r="K8" s="16" t="str">
        <f>IF(L8="排除",IF(AND(D8="不重复计租",OR(IF(COUNTIFS(计租与历史!$A$6:$A$25,A8)&lt;&gt;1,"",IF(INDEX(计租与历史!$G$6:$G$25,MATCH(A8,计租与历史!$A$6:$A$25,0))="","",INDEX(计租与历史!$G$6:$G$25,MATCH(A8,计租与历史!$A$6:$A$25,0))))="",COUNTIFS(资产清单!$A$6:$A$25,IF(COUNTIFS(计租与历史!$A$6:$A$25,A8)&lt;&gt;1,"",IF(INDEX(计租与历史!$G$6:$G$25,MATCH(A8,计租与历史!$A$6:$A$25,0))="","",INDEX(计租与历史!$G$6:$G$25,MATCH(A8,计租与历史!$A$6:$A$25,0)))))&lt;&gt;1)),"待核主资产","范围排除"),IF(D8="市场比较",IF(COUNT(三案例测算!H12:H14)&lt;&gt;3,"待补资料或重判评分",IF(OR(COUNTIFS(三案例测算!J12:J14,"通过")&lt;&gt;3,MAX(三案例测算!H12:H14)/MIN(三案例测算!H12:H14)-1&gt;测算参数!$B$8),"超限待复核","通过")),IF(COUNT(H8)&lt;&gt;1,"待补专项或核定资料","独立资料核定")))</f>
        <v>通过</v>
      </c>
      <c r="L8" s="16" t="str">
        <f>IF(COUNTIFS(计租与历史!$A$6:$A$25,A8)&lt;&gt;1,"",IF(INDEX(计租与历史!$B$6:$B$25,MATCH(A8,计租与历史!$A$6:$A$25,0))="","",INDEX(计租与历史!$B$6:$B$25,MATCH(A8,计租与历史!$A$6:$A$25,0))))</f>
        <v>纳入</v>
      </c>
      <c r="M8" s="16" t="str">
        <f>IF(COUNTIFS(计租与历史!$A$6:$A$25,A8)&lt;&gt;1,"",IF(INDEX(计租与历史!$H$6:$H$25,MATCH(A8,计租与历史!$A$6:$A$25,0))="","",INDEX(计租与历史!$H$6:$H$25,MATCH(A8,计租与历史!$A$6:$A$25,0))))</f>
        <v>按相应计租口径测算</v>
      </c>
      <c r="N8" s="16" t="s">
        <v>73</v>
      </c>
    </row>
    <row r="9" spans="1:14" ht="50" customHeight="1">
      <c r="A9" s="16" t="s">
        <v>76</v>
      </c>
      <c r="B9" s="16" t="str">
        <f>IF(COUNTIFS(资产清单!$A$6:$A$25,A9)&lt;&gt;1,"",IF(INDEX(资产清单!$D$6:$D$25,MATCH(A9,资产清单!$A$6:$A$25,0))="","",INDEX(资产清单!$D$6:$D$25,MATCH(A9,资产清单!$A$6:$A$25,0))))</f>
        <v>内部通道商铺</v>
      </c>
      <c r="C9" s="16" t="str">
        <f>IF(COUNTIFS(资产清单!$A$6:$A$25,A9)&lt;&gt;1,"",IF(INDEX(资产清单!$H$6:$H$25,MATCH(A9,资产清单!$A$6:$A$25,0))="","",INDEX(资产清单!$H$6:$H$25,MATCH(A9,资产清单!$A$6:$A$25,0))))</f>
        <v>商业</v>
      </c>
      <c r="D9" s="16" t="str">
        <f>IF(COUNTIFS(计租与历史!$A$6:$A$25,A9)&lt;&gt;1,"",IF(INDEX(计租与历史!$C$6:$C$25,MATCH(A9,计租与历史!$A$6:$A$25,0))="","",INDEX(计租与历史!$C$6:$C$25,MATCH(A9,计租与历史!$A$6:$A$25,0))))</f>
        <v>市场比较</v>
      </c>
      <c r="E9" s="16" t="str">
        <f>IF(COUNTIFS(资产清单!$A$6:$A$25,A9)&lt;&gt;1,"",IF(INDEX(资产清单!$J$6:$J$25,MATCH(A9,资产清单!$A$6:$A$25,0))="","",INDEX(资产清单!$J$6:$J$25,MATCH(A9,资产清单!$A$6:$A$25,0))))</f>
        <v>元/㎡/月</v>
      </c>
      <c r="F9" s="28">
        <f>IF(COUNTIFS(资产清单!$A$6:$A$25,A9)&lt;&gt;1,"",IF(COUNT(INDEX(资产清单!$K$6:$K$25,MATCH(A9,资产清单!$A$6:$A$25,0)))&lt;&gt;1,"",INDEX(资产清单!$K$6:$K$25,MATCH(A9,资产清单!$A$6:$A$25,0))))</f>
        <v>38</v>
      </c>
      <c r="G9" s="28">
        <f>IF(L9="排除",0,IF(D9="市场比较",IF(COUNT(三案例测算!H15:H17)&lt;&gt;3,"",ROUND(AVERAGE(三案例测算!H15:H17),测算参数!$B$9)),IF(OR(D9="资料核定",D9="租赁资料核定"),IF(COUNTIFS(租赁资料核定!$A$6:$A$7,A9)&lt;&gt;1,"",IF(COUNT(INDEX(租赁资料核定!$M$6:$M$7,MATCH(A9,租赁资料核定!$A$6:$A$7,0)))&lt;&gt;1,"",INDEX(租赁资料核定!$M$6:$M$7,MATCH(A9,租赁资料核定!$A$6:$A$7,0)))),IF(D9="专项计租",IF(COUNTIFS(特殊计租!$A$6:$A$7,A9)&lt;&gt;1,"",IF(COUNT(INDEX(特殊计租!$D$6:$D$7,MATCH(A9,特殊计租!$A$6:$A$7,0)))&lt;&gt;1,"",INDEX(特殊计租!$D$6:$D$7,MATCH(A9,特殊计租!$A$6:$A$7,0)))),IF(D9="设备附表",IF(COUNTIFS(设备附表!$A$6:$A$7,A9)&lt;&gt;1,"",IF(COUNT(INDEX(设备附表!$F$6:$F$7,MATCH(A9,设备附表!$A$6:$A$7,0)))&lt;&gt;1,"",INDEX(设备附表!$F$6:$F$7,MATCH(A9,设备附表!$A$6:$A$7,0)))),"")))))</f>
        <v>61.9</v>
      </c>
      <c r="H9" s="28">
        <f>IF(L9="排除",0,IF(D9="专项计租",IF(COUNTIFS(特殊计租!$A$6:$A$7,A9)&lt;&gt;1,"",IF(COUNT(INDEX(特殊计租!$J$6:$J$7,MATCH(A9,特殊计租!$A$6:$A$7,0)))&lt;&gt;1,"",INDEX(特殊计租!$J$6:$J$7,MATCH(A9,特殊计租!$A$6:$A$7,0)))),IF(D9="设备附表",IF(COUNTIFS(设备附表!$A$6:$A$7,A9)&lt;&gt;1,"",IF(COUNT(INDEX(设备附表!$G$6:$G$7,MATCH(A9,设备附表!$A$6:$A$7,0)))&lt;&gt;1,"",INDEX(设备附表!$G$6:$G$7,MATCH(A9,设备附表!$A$6:$A$7,0)))),IF(OR(D9="资料核定",D9="租赁资料核定"),IF(COUNTIFS(租赁资料核定!$A$6:$A$7,A9)&lt;&gt;1,"",IF(COUNT(INDEX(租赁资料核定!$N$6:$N$7,MATCH(A9,租赁资料核定!$A$6:$A$7,0)))&lt;&gt;1,"",INDEX(租赁资料核定!$N$6:$N$7,MATCH(A9,租赁资料核定!$A$6:$A$7,0)))),IF(OR(COUNT(F9:G9)&lt;&gt;2,F9&lt;=0),"",ROUND(F9*G9*测算参数!$B$10,2))))))</f>
        <v>28226.400000000001</v>
      </c>
      <c r="I9" s="28">
        <f>IF(COUNTIFS(计租与历史!$A$6:$A$25,A9)&lt;&gt;1,"",IF(COUNT(INDEX(计租与历史!$D$6:$D$25,MATCH(A9,计租与历史!$A$6:$A$25,0)))&lt;&gt;1,"",INDEX(计租与历史!$D$6:$D$25,MATCH(A9,计租与历史!$A$6:$A$25,0))))</f>
        <v>50</v>
      </c>
      <c r="J9" s="25">
        <f t="shared" si="0"/>
        <v>0.23799999999999999</v>
      </c>
      <c r="K9" s="16" t="str">
        <f>IF(L9="排除",IF(AND(D9="不重复计租",OR(IF(COUNTIFS(计租与历史!$A$6:$A$25,A9)&lt;&gt;1,"",IF(INDEX(计租与历史!$G$6:$G$25,MATCH(A9,计租与历史!$A$6:$A$25,0))="","",INDEX(计租与历史!$G$6:$G$25,MATCH(A9,计租与历史!$A$6:$A$25,0))))="",COUNTIFS(资产清单!$A$6:$A$25,IF(COUNTIFS(计租与历史!$A$6:$A$25,A9)&lt;&gt;1,"",IF(INDEX(计租与历史!$G$6:$G$25,MATCH(A9,计租与历史!$A$6:$A$25,0))="","",INDEX(计租与历史!$G$6:$G$25,MATCH(A9,计租与历史!$A$6:$A$25,0)))))&lt;&gt;1)),"待核主资产","范围排除"),IF(D9="市场比较",IF(COUNT(三案例测算!H15:H17)&lt;&gt;3,"待补资料或重判评分",IF(OR(COUNTIFS(三案例测算!J15:J17,"通过")&lt;&gt;3,MAX(三案例测算!H15:H17)/MIN(三案例测算!H15:H17)-1&gt;测算参数!$B$8),"超限待复核","通过")),IF(COUNT(H9)&lt;&gt;1,"待补专项或核定资料","独立资料核定")))</f>
        <v>通过</v>
      </c>
      <c r="L9" s="16" t="str">
        <f>IF(COUNTIFS(计租与历史!$A$6:$A$25,A9)&lt;&gt;1,"",IF(INDEX(计租与历史!$B$6:$B$25,MATCH(A9,计租与历史!$A$6:$A$25,0))="","",INDEX(计租与历史!$B$6:$B$25,MATCH(A9,计租与历史!$A$6:$A$25,0))))</f>
        <v>纳入</v>
      </c>
      <c r="M9" s="16" t="str">
        <f>IF(COUNTIFS(计租与历史!$A$6:$A$25,A9)&lt;&gt;1,"",IF(INDEX(计租与历史!$H$6:$H$25,MATCH(A9,计租与历史!$A$6:$A$25,0))="","",INDEX(计租与历史!$H$6:$H$25,MATCH(A9,计租与历史!$A$6:$A$25,0))))</f>
        <v>按相应计租口径测算</v>
      </c>
      <c r="N9" s="16" t="s">
        <v>73</v>
      </c>
    </row>
    <row r="10" spans="1:14" ht="50" customHeight="1">
      <c r="A10" s="16" t="s">
        <v>77</v>
      </c>
      <c r="B10" s="16" t="str">
        <f>IF(COUNTIFS(资产清单!$A$6:$A$25,A10)&lt;&gt;1,"",IF(INDEX(资产清单!$D$6:$D$25,MATCH(A10,资产清单!$A$6:$A$25,0))="","",INDEX(资产清单!$D$6:$D$25,MATCH(A10,资产清单!$A$6:$A$25,0))))</f>
        <v>办公用房一</v>
      </c>
      <c r="C10" s="16" t="str">
        <f>IF(COUNTIFS(资产清单!$A$6:$A$25,A10)&lt;&gt;1,"",IF(INDEX(资产清单!$H$6:$H$25,MATCH(A10,资产清单!$A$6:$A$25,0))="","",INDEX(资产清单!$H$6:$H$25,MATCH(A10,资产清单!$A$6:$A$25,0))))</f>
        <v>办公</v>
      </c>
      <c r="D10" s="16" t="str">
        <f>IF(COUNTIFS(计租与历史!$A$6:$A$25,A10)&lt;&gt;1,"",IF(INDEX(计租与历史!$C$6:$C$25,MATCH(A10,计租与历史!$A$6:$A$25,0))="","",INDEX(计租与历史!$C$6:$C$25,MATCH(A10,计租与历史!$A$6:$A$25,0))))</f>
        <v>市场比较</v>
      </c>
      <c r="E10" s="16" t="str">
        <f>IF(COUNTIFS(资产清单!$A$6:$A$25,A10)&lt;&gt;1,"",IF(INDEX(资产清单!$J$6:$J$25,MATCH(A10,资产清单!$A$6:$A$25,0))="","",INDEX(资产清单!$J$6:$J$25,MATCH(A10,资产清单!$A$6:$A$25,0))))</f>
        <v>元/㎡/月</v>
      </c>
      <c r="F10" s="28">
        <f>IF(COUNTIFS(资产清单!$A$6:$A$25,A10)&lt;&gt;1,"",IF(COUNT(INDEX(资产清单!$K$6:$K$25,MATCH(A10,资产清单!$A$6:$A$25,0)))&lt;&gt;1,"",INDEX(资产清单!$K$6:$K$25,MATCH(A10,资产清单!$A$6:$A$25,0))))</f>
        <v>140</v>
      </c>
      <c r="G10" s="28">
        <f>IF(L10="排除",0,IF(D10="市场比较",IF(COUNT(三案例测算!H18:H20)&lt;&gt;3,"",ROUND(AVERAGE(三案例测算!H18:H20),测算参数!$B$9)),IF(OR(D10="资料核定",D10="租赁资料核定"),IF(COUNTIFS(租赁资料核定!$A$6:$A$7,A10)&lt;&gt;1,"",IF(COUNT(INDEX(租赁资料核定!$M$6:$M$7,MATCH(A10,租赁资料核定!$A$6:$A$7,0)))&lt;&gt;1,"",INDEX(租赁资料核定!$M$6:$M$7,MATCH(A10,租赁资料核定!$A$6:$A$7,0)))),IF(D10="专项计租",IF(COUNTIFS(特殊计租!$A$6:$A$7,A10)&lt;&gt;1,"",IF(COUNT(INDEX(特殊计租!$D$6:$D$7,MATCH(A10,特殊计租!$A$6:$A$7,0)))&lt;&gt;1,"",INDEX(特殊计租!$D$6:$D$7,MATCH(A10,特殊计租!$A$6:$A$7,0)))),IF(D10="设备附表",IF(COUNTIFS(设备附表!$A$6:$A$7,A10)&lt;&gt;1,"",IF(COUNT(INDEX(设备附表!$F$6:$F$7,MATCH(A10,设备附表!$A$6:$A$7,0)))&lt;&gt;1,"",INDEX(设备附表!$F$6:$F$7,MATCH(A10,设备附表!$A$6:$A$7,0)))),"")))))</f>
        <v>26.5</v>
      </c>
      <c r="H10" s="28">
        <f>IF(L10="排除",0,IF(D10="专项计租",IF(COUNTIFS(特殊计租!$A$6:$A$7,A10)&lt;&gt;1,"",IF(COUNT(INDEX(特殊计租!$J$6:$J$7,MATCH(A10,特殊计租!$A$6:$A$7,0)))&lt;&gt;1,"",INDEX(特殊计租!$J$6:$J$7,MATCH(A10,特殊计租!$A$6:$A$7,0)))),IF(D10="设备附表",IF(COUNTIFS(设备附表!$A$6:$A$7,A10)&lt;&gt;1,"",IF(COUNT(INDEX(设备附表!$G$6:$G$7,MATCH(A10,设备附表!$A$6:$A$7,0)))&lt;&gt;1,"",INDEX(设备附表!$G$6:$G$7,MATCH(A10,设备附表!$A$6:$A$7,0)))),IF(OR(D10="资料核定",D10="租赁资料核定"),IF(COUNTIFS(租赁资料核定!$A$6:$A$7,A10)&lt;&gt;1,"",IF(COUNT(INDEX(租赁资料核定!$N$6:$N$7,MATCH(A10,租赁资料核定!$A$6:$A$7,0)))&lt;&gt;1,"",INDEX(租赁资料核定!$N$6:$N$7,MATCH(A10,租赁资料核定!$A$6:$A$7,0)))),IF(OR(COUNT(F10:G10)&lt;&gt;2,F10&lt;=0),"",ROUND(F10*G10*测算参数!$B$10,2))))))</f>
        <v>44520</v>
      </c>
      <c r="I10" s="28">
        <f>IF(COUNTIFS(计租与历史!$A$6:$A$25,A10)&lt;&gt;1,"",IF(COUNT(INDEX(计租与历史!$D$6:$D$25,MATCH(A10,计租与历史!$A$6:$A$25,0)))&lt;&gt;1,"",INDEX(计租与历史!$D$6:$D$25,MATCH(A10,计租与历史!$A$6:$A$25,0))))</f>
        <v>14</v>
      </c>
      <c r="J10" s="25">
        <f t="shared" si="0"/>
        <v>0.89285714285714279</v>
      </c>
      <c r="K10" s="16" t="str">
        <f>IF(L10="排除",IF(AND(D10="不重复计租",OR(IF(COUNTIFS(计租与历史!$A$6:$A$25,A10)&lt;&gt;1,"",IF(INDEX(计租与历史!$G$6:$G$25,MATCH(A10,计租与历史!$A$6:$A$25,0))="","",INDEX(计租与历史!$G$6:$G$25,MATCH(A10,计租与历史!$A$6:$A$25,0))))="",COUNTIFS(资产清单!$A$6:$A$25,IF(COUNTIFS(计租与历史!$A$6:$A$25,A10)&lt;&gt;1,"",IF(INDEX(计租与历史!$G$6:$G$25,MATCH(A10,计租与历史!$A$6:$A$25,0))="","",INDEX(计租与历史!$G$6:$G$25,MATCH(A10,计租与历史!$A$6:$A$25,0)))))&lt;&gt;1)),"待核主资产","范围排除"),IF(D10="市场比较",IF(COUNT(三案例测算!H18:H20)&lt;&gt;3,"待补资料或重判评分",IF(OR(COUNTIFS(三案例测算!J18:J20,"通过")&lt;&gt;3,MAX(三案例测算!H18:H20)/MIN(三案例测算!H18:H20)-1&gt;测算参数!$B$8),"超限待复核","通过")),IF(COUNT(H10)&lt;&gt;1,"待补专项或核定资料","独立资料核定")))</f>
        <v>通过</v>
      </c>
      <c r="L10" s="16" t="str">
        <f>IF(COUNTIFS(计租与历史!$A$6:$A$25,A10)&lt;&gt;1,"",IF(INDEX(计租与历史!$B$6:$B$25,MATCH(A10,计租与历史!$A$6:$A$25,0))="","",INDEX(计租与历史!$B$6:$B$25,MATCH(A10,计租与历史!$A$6:$A$25,0))))</f>
        <v>纳入</v>
      </c>
      <c r="M10" s="16" t="str">
        <f>IF(COUNTIFS(计租与历史!$A$6:$A$25,A10)&lt;&gt;1,"",IF(INDEX(计租与历史!$H$6:$H$25,MATCH(A10,计租与历史!$A$6:$A$25,0))="","",INDEX(计租与历史!$H$6:$H$25,MATCH(A10,计租与历史!$A$6:$A$25,0))))</f>
        <v>按相应计租口径测算</v>
      </c>
      <c r="N10" s="16" t="s">
        <v>73</v>
      </c>
    </row>
    <row r="11" spans="1:14" ht="50" customHeight="1">
      <c r="A11" s="16" t="s">
        <v>78</v>
      </c>
      <c r="B11" s="16" t="str">
        <f>IF(COUNTIFS(资产清单!$A$6:$A$25,A11)&lt;&gt;1,"",IF(INDEX(资产清单!$D$6:$D$25,MATCH(A11,资产清单!$A$6:$A$25,0))="","",INDEX(资产清单!$D$6:$D$25,MATCH(A11,资产清单!$A$6:$A$25,0))))</f>
        <v>办公用房二</v>
      </c>
      <c r="C11" s="16" t="str">
        <f>IF(COUNTIFS(资产清单!$A$6:$A$25,A11)&lt;&gt;1,"",IF(INDEX(资产清单!$H$6:$H$25,MATCH(A11,资产清单!$A$6:$A$25,0))="","",INDEX(资产清单!$H$6:$H$25,MATCH(A11,资产清单!$A$6:$A$25,0))))</f>
        <v>办公</v>
      </c>
      <c r="D11" s="16" t="str">
        <f>IF(COUNTIFS(计租与历史!$A$6:$A$25,A11)&lt;&gt;1,"",IF(INDEX(计租与历史!$C$6:$C$25,MATCH(A11,计租与历史!$A$6:$A$25,0))="","",INDEX(计租与历史!$C$6:$C$25,MATCH(A11,计租与历史!$A$6:$A$25,0))))</f>
        <v>市场比较</v>
      </c>
      <c r="E11" s="16" t="str">
        <f>IF(COUNTIFS(资产清单!$A$6:$A$25,A11)&lt;&gt;1,"",IF(INDEX(资产清单!$J$6:$J$25,MATCH(A11,资产清单!$A$6:$A$25,0))="","",INDEX(资产清单!$J$6:$J$25,MATCH(A11,资产清单!$A$6:$A$25,0))))</f>
        <v>元/㎡/月</v>
      </c>
      <c r="F11" s="28">
        <f>IF(COUNTIFS(资产清单!$A$6:$A$25,A11)&lt;&gt;1,"",IF(COUNT(INDEX(资产清单!$K$6:$K$25,MATCH(A11,资产清单!$A$6:$A$25,0)))&lt;&gt;1,"",INDEX(资产清单!$K$6:$K$25,MATCH(A11,资产清单!$A$6:$A$25,0))))</f>
        <v>180</v>
      </c>
      <c r="G11" s="28">
        <f>IF(L11="排除",0,IF(D11="市场比较",IF(COUNT(三案例测算!H21:H23)&lt;&gt;3,"",ROUND(AVERAGE(三案例测算!H21:H23),测算参数!$B$9)),IF(OR(D11="资料核定",D11="租赁资料核定"),IF(COUNTIFS(租赁资料核定!$A$6:$A$7,A11)&lt;&gt;1,"",IF(COUNT(INDEX(租赁资料核定!$M$6:$M$7,MATCH(A11,租赁资料核定!$A$6:$A$7,0)))&lt;&gt;1,"",INDEX(租赁资料核定!$M$6:$M$7,MATCH(A11,租赁资料核定!$A$6:$A$7,0)))),IF(D11="专项计租",IF(COUNTIFS(特殊计租!$A$6:$A$7,A11)&lt;&gt;1,"",IF(COUNT(INDEX(特殊计租!$D$6:$D$7,MATCH(A11,特殊计租!$A$6:$A$7,0)))&lt;&gt;1,"",INDEX(特殊计租!$D$6:$D$7,MATCH(A11,特殊计租!$A$6:$A$7,0)))),IF(D11="设备附表",IF(COUNTIFS(设备附表!$A$6:$A$7,A11)&lt;&gt;1,"",IF(COUNT(INDEX(设备附表!$F$6:$F$7,MATCH(A11,设备附表!$A$6:$A$7,0)))&lt;&gt;1,"",INDEX(设备附表!$F$6:$F$7,MATCH(A11,设备附表!$A$6:$A$7,0)))),"")))))</f>
        <v>26.1</v>
      </c>
      <c r="H11" s="28">
        <f>IF(L11="排除",0,IF(D11="专项计租",IF(COUNTIFS(特殊计租!$A$6:$A$7,A11)&lt;&gt;1,"",IF(COUNT(INDEX(特殊计租!$J$6:$J$7,MATCH(A11,特殊计租!$A$6:$A$7,0)))&lt;&gt;1,"",INDEX(特殊计租!$J$6:$J$7,MATCH(A11,特殊计租!$A$6:$A$7,0)))),IF(D11="设备附表",IF(COUNTIFS(设备附表!$A$6:$A$7,A11)&lt;&gt;1,"",IF(COUNT(INDEX(设备附表!$G$6:$G$7,MATCH(A11,设备附表!$A$6:$A$7,0)))&lt;&gt;1,"",INDEX(设备附表!$G$6:$G$7,MATCH(A11,设备附表!$A$6:$A$7,0)))),IF(OR(D11="资料核定",D11="租赁资料核定"),IF(COUNTIFS(租赁资料核定!$A$6:$A$7,A11)&lt;&gt;1,"",IF(COUNT(INDEX(租赁资料核定!$N$6:$N$7,MATCH(A11,租赁资料核定!$A$6:$A$7,0)))&lt;&gt;1,"",INDEX(租赁资料核定!$N$6:$N$7,MATCH(A11,租赁资料核定!$A$6:$A$7,0)))),IF(OR(COUNT(F11:G11)&lt;&gt;2,F11&lt;=0),"",ROUND(F11*G11*测算参数!$B$10,2))))))</f>
        <v>56376</v>
      </c>
      <c r="I11" s="28">
        <f>IF(COUNTIFS(计租与历史!$A$6:$A$25,A11)&lt;&gt;1,"",IF(COUNT(INDEX(计租与历史!$D$6:$D$25,MATCH(A11,计租与历史!$A$6:$A$25,0)))&lt;&gt;1,"",INDEX(计租与历史!$D$6:$D$25,MATCH(A11,计租与历史!$A$6:$A$25,0))))</f>
        <v>32</v>
      </c>
      <c r="J11" s="25">
        <f t="shared" si="0"/>
        <v>-0.18437499999999996</v>
      </c>
      <c r="K11" s="16" t="str">
        <f>IF(L11="排除",IF(AND(D11="不重复计租",OR(IF(COUNTIFS(计租与历史!$A$6:$A$25,A11)&lt;&gt;1,"",IF(INDEX(计租与历史!$G$6:$G$25,MATCH(A11,计租与历史!$A$6:$A$25,0))="","",INDEX(计租与历史!$G$6:$G$25,MATCH(A11,计租与历史!$A$6:$A$25,0))))="",COUNTIFS(资产清单!$A$6:$A$25,IF(COUNTIFS(计租与历史!$A$6:$A$25,A11)&lt;&gt;1,"",IF(INDEX(计租与历史!$G$6:$G$25,MATCH(A11,计租与历史!$A$6:$A$25,0))="","",INDEX(计租与历史!$G$6:$G$25,MATCH(A11,计租与历史!$A$6:$A$25,0)))))&lt;&gt;1)),"待核主资产","范围排除"),IF(D11="市场比较",IF(COUNT(三案例测算!H21:H23)&lt;&gt;3,"待补资料或重判评分",IF(OR(COUNTIFS(三案例测算!J21:J23,"通过")&lt;&gt;3,MAX(三案例测算!H21:H23)/MIN(三案例测算!H21:H23)-1&gt;测算参数!$B$8),"超限待复核","通过")),IF(COUNT(H11)&lt;&gt;1,"待补专项或核定资料","独立资料核定")))</f>
        <v>通过</v>
      </c>
      <c r="L11" s="16" t="str">
        <f>IF(COUNTIFS(计租与历史!$A$6:$A$25,A11)&lt;&gt;1,"",IF(INDEX(计租与历史!$B$6:$B$25,MATCH(A11,计租与历史!$A$6:$A$25,0))="","",INDEX(计租与历史!$B$6:$B$25,MATCH(A11,计租与历史!$A$6:$A$25,0))))</f>
        <v>纳入</v>
      </c>
      <c r="M11" s="16" t="str">
        <f>IF(COUNTIFS(计租与历史!$A$6:$A$25,A11)&lt;&gt;1,"",IF(INDEX(计租与历史!$H$6:$H$25,MATCH(A11,计租与历史!$A$6:$A$25,0))="","",INDEX(计租与历史!$H$6:$H$25,MATCH(A11,计租与历史!$A$6:$A$25,0))))</f>
        <v>按相应计租口径测算</v>
      </c>
      <c r="N11" s="16" t="s">
        <v>73</v>
      </c>
    </row>
    <row r="12" spans="1:14" ht="50" customHeight="1">
      <c r="A12" s="16" t="s">
        <v>79</v>
      </c>
      <c r="B12" s="16" t="str">
        <f>IF(COUNTIFS(资产清单!$A$6:$A$25,A12)&lt;&gt;1,"",IF(INDEX(资产清单!$D$6:$D$25,MATCH(A12,资产清单!$A$6:$A$25,0))="","",INDEX(资产清单!$D$6:$D$25,MATCH(A12,资产清单!$A$6:$A$25,0))))</f>
        <v>仓储库房</v>
      </c>
      <c r="C12" s="16" t="str">
        <f>IF(COUNTIFS(资产清单!$A$6:$A$25,A12)&lt;&gt;1,"",IF(INDEX(资产清单!$H$6:$H$25,MATCH(A12,资产清单!$A$6:$A$25,0))="","",INDEX(资产清单!$H$6:$H$25,MATCH(A12,资产清单!$A$6:$A$25,0))))</f>
        <v>仓储</v>
      </c>
      <c r="D12" s="16" t="str">
        <f>IF(COUNTIFS(计租与历史!$A$6:$A$25,A12)&lt;&gt;1,"",IF(INDEX(计租与历史!$C$6:$C$25,MATCH(A12,计租与历史!$A$6:$A$25,0))="","",INDEX(计租与历史!$C$6:$C$25,MATCH(A12,计租与历史!$A$6:$A$25,0))))</f>
        <v>市场比较</v>
      </c>
      <c r="E12" s="16" t="str">
        <f>IF(COUNTIFS(资产清单!$A$6:$A$25,A12)&lt;&gt;1,"",IF(INDEX(资产清单!$J$6:$J$25,MATCH(A12,资产清单!$A$6:$A$25,0))="","",INDEX(资产清单!$J$6:$J$25,MATCH(A12,资产清单!$A$6:$A$25,0))))</f>
        <v>元/㎡/月</v>
      </c>
      <c r="F12" s="28">
        <f>IF(COUNTIFS(资产清单!$A$6:$A$25,A12)&lt;&gt;1,"",IF(COUNT(INDEX(资产清单!$K$6:$K$25,MATCH(A12,资产清单!$A$6:$A$25,0)))&lt;&gt;1,"",INDEX(资产清单!$K$6:$K$25,MATCH(A12,资产清单!$A$6:$A$25,0))))</f>
        <v>500</v>
      </c>
      <c r="G12" s="28">
        <f>IF(L12="排除",0,IF(D12="市场比较",IF(COUNT(三案例测算!H24:H26)&lt;&gt;3,"",ROUND(AVERAGE(三案例测算!H24:H26),测算参数!$B$9)),IF(OR(D12="资料核定",D12="租赁资料核定"),IF(COUNTIFS(租赁资料核定!$A$6:$A$7,A12)&lt;&gt;1,"",IF(COUNT(INDEX(租赁资料核定!$M$6:$M$7,MATCH(A12,租赁资料核定!$A$6:$A$7,0)))&lt;&gt;1,"",INDEX(租赁资料核定!$M$6:$M$7,MATCH(A12,租赁资料核定!$A$6:$A$7,0)))),IF(D12="专项计租",IF(COUNTIFS(特殊计租!$A$6:$A$7,A12)&lt;&gt;1,"",IF(COUNT(INDEX(特殊计租!$D$6:$D$7,MATCH(A12,特殊计租!$A$6:$A$7,0)))&lt;&gt;1,"",INDEX(特殊计租!$D$6:$D$7,MATCH(A12,特殊计租!$A$6:$A$7,0)))),IF(D12="设备附表",IF(COUNTIFS(设备附表!$A$6:$A$7,A12)&lt;&gt;1,"",IF(COUNT(INDEX(设备附表!$F$6:$F$7,MATCH(A12,设备附表!$A$6:$A$7,0)))&lt;&gt;1,"",INDEX(设备附表!$F$6:$F$7,MATCH(A12,设备附表!$A$6:$A$7,0)))),"")))))</f>
        <v>12.1</v>
      </c>
      <c r="H12" s="28">
        <f>IF(L12="排除",0,IF(D12="专项计租",IF(COUNTIFS(特殊计租!$A$6:$A$7,A12)&lt;&gt;1,"",IF(COUNT(INDEX(特殊计租!$J$6:$J$7,MATCH(A12,特殊计租!$A$6:$A$7,0)))&lt;&gt;1,"",INDEX(特殊计租!$J$6:$J$7,MATCH(A12,特殊计租!$A$6:$A$7,0)))),IF(D12="设备附表",IF(COUNTIFS(设备附表!$A$6:$A$7,A12)&lt;&gt;1,"",IF(COUNT(INDEX(设备附表!$G$6:$G$7,MATCH(A12,设备附表!$A$6:$A$7,0)))&lt;&gt;1,"",INDEX(设备附表!$G$6:$G$7,MATCH(A12,设备附表!$A$6:$A$7,0)))),IF(OR(D12="资料核定",D12="租赁资料核定"),IF(COUNTIFS(租赁资料核定!$A$6:$A$7,A12)&lt;&gt;1,"",IF(COUNT(INDEX(租赁资料核定!$N$6:$N$7,MATCH(A12,租赁资料核定!$A$6:$A$7,0)))&lt;&gt;1,"",INDEX(租赁资料核定!$N$6:$N$7,MATCH(A12,租赁资料核定!$A$6:$A$7,0)))),IF(OR(COUNT(F12:G12)&lt;&gt;2,F12&lt;=0),"",ROUND(F12*G12*测算参数!$B$10,2))))))</f>
        <v>72600</v>
      </c>
      <c r="I12" s="28">
        <f>IF(COUNTIFS(计租与历史!$A$6:$A$25,A12)&lt;&gt;1,"",IF(COUNT(INDEX(计租与历史!$D$6:$D$25,MATCH(A12,计租与历史!$A$6:$A$25,0)))&lt;&gt;1,"",INDEX(计租与历史!$D$6:$D$25,MATCH(A12,计租与历史!$A$6:$A$25,0))))</f>
        <v>11</v>
      </c>
      <c r="J12" s="25">
        <f t="shared" si="0"/>
        <v>9.9999999999999867E-2</v>
      </c>
      <c r="K12" s="16" t="str">
        <f>IF(L12="排除",IF(AND(D12="不重复计租",OR(IF(COUNTIFS(计租与历史!$A$6:$A$25,A12)&lt;&gt;1,"",IF(INDEX(计租与历史!$G$6:$G$25,MATCH(A12,计租与历史!$A$6:$A$25,0))="","",INDEX(计租与历史!$G$6:$G$25,MATCH(A12,计租与历史!$A$6:$A$25,0))))="",COUNTIFS(资产清单!$A$6:$A$25,IF(COUNTIFS(计租与历史!$A$6:$A$25,A12)&lt;&gt;1,"",IF(INDEX(计租与历史!$G$6:$G$25,MATCH(A12,计租与历史!$A$6:$A$25,0))="","",INDEX(计租与历史!$G$6:$G$25,MATCH(A12,计租与历史!$A$6:$A$25,0)))))&lt;&gt;1)),"待核主资产","范围排除"),IF(D12="市场比较",IF(COUNT(三案例测算!H24:H26)&lt;&gt;3,"待补资料或重判评分",IF(OR(COUNTIFS(三案例测算!J24:J26,"通过")&lt;&gt;3,MAX(三案例测算!H24:H26)/MIN(三案例测算!H24:H26)-1&gt;测算参数!$B$8),"超限待复核","通过")),IF(COUNT(H12)&lt;&gt;1,"待补专项或核定资料","独立资料核定")))</f>
        <v>通过</v>
      </c>
      <c r="L12" s="16" t="str">
        <f>IF(COUNTIFS(计租与历史!$A$6:$A$25,A12)&lt;&gt;1,"",IF(INDEX(计租与历史!$B$6:$B$25,MATCH(A12,计租与历史!$A$6:$A$25,0))="","",INDEX(计租与历史!$B$6:$B$25,MATCH(A12,计租与历史!$A$6:$A$25,0))))</f>
        <v>纳入</v>
      </c>
      <c r="M12" s="16" t="str">
        <f>IF(COUNTIFS(计租与历史!$A$6:$A$25,A12)&lt;&gt;1,"",IF(INDEX(计租与历史!$H$6:$H$25,MATCH(A12,计租与历史!$A$6:$A$25,0))="","",INDEX(计租与历史!$H$6:$H$25,MATCH(A12,计租与历史!$A$6:$A$25,0))))</f>
        <v>按相应计租口径测算</v>
      </c>
      <c r="N12" s="16" t="s">
        <v>73</v>
      </c>
    </row>
    <row r="13" spans="1:14" ht="50" customHeight="1">
      <c r="A13" s="16" t="s">
        <v>80</v>
      </c>
      <c r="B13" s="16" t="str">
        <f>IF(COUNTIFS(资产清单!$A$6:$A$25,A13)&lt;&gt;1,"",IF(INDEX(资产清单!$D$6:$D$25,MATCH(A13,资产清单!$A$6:$A$25,0))="","",INDEX(资产清单!$D$6:$D$25,MATCH(A13,资产清单!$A$6:$A$25,0))))</f>
        <v>工业厂房</v>
      </c>
      <c r="C13" s="16" t="str">
        <f>IF(COUNTIFS(资产清单!$A$6:$A$25,A13)&lt;&gt;1,"",IF(INDEX(资产清单!$H$6:$H$25,MATCH(A13,资产清单!$A$6:$A$25,0))="","",INDEX(资产清单!$H$6:$H$25,MATCH(A13,资产清单!$A$6:$A$25,0))))</f>
        <v>厂房</v>
      </c>
      <c r="D13" s="16" t="str">
        <f>IF(COUNTIFS(计租与历史!$A$6:$A$25,A13)&lt;&gt;1,"",IF(INDEX(计租与历史!$C$6:$C$25,MATCH(A13,计租与历史!$A$6:$A$25,0))="","",INDEX(计租与历史!$C$6:$C$25,MATCH(A13,计租与历史!$A$6:$A$25,0))))</f>
        <v>市场比较</v>
      </c>
      <c r="E13" s="16" t="str">
        <f>IF(COUNTIFS(资产清单!$A$6:$A$25,A13)&lt;&gt;1,"",IF(INDEX(资产清单!$J$6:$J$25,MATCH(A13,资产清单!$A$6:$A$25,0))="","",INDEX(资产清单!$J$6:$J$25,MATCH(A13,资产清单!$A$6:$A$25,0))))</f>
        <v>元/㎡/月</v>
      </c>
      <c r="F13" s="28">
        <f>IF(COUNTIFS(资产清单!$A$6:$A$25,A13)&lt;&gt;1,"",IF(COUNT(INDEX(资产清单!$K$6:$K$25,MATCH(A13,资产清单!$A$6:$A$25,0)))&lt;&gt;1,"",INDEX(资产清单!$K$6:$K$25,MATCH(A13,资产清单!$A$6:$A$25,0))))</f>
        <v>1200</v>
      </c>
      <c r="G13" s="28">
        <f>IF(L13="排除",0,IF(D13="市场比较",IF(COUNT(三案例测算!H27:H29)&lt;&gt;3,"",ROUND(AVERAGE(三案例测算!H27:H29),测算参数!$B$9)),IF(OR(D13="资料核定",D13="租赁资料核定"),IF(COUNTIFS(租赁资料核定!$A$6:$A$7,A13)&lt;&gt;1,"",IF(COUNT(INDEX(租赁资料核定!$M$6:$M$7,MATCH(A13,租赁资料核定!$A$6:$A$7,0)))&lt;&gt;1,"",INDEX(租赁资料核定!$M$6:$M$7,MATCH(A13,租赁资料核定!$A$6:$A$7,0)))),IF(D13="专项计租",IF(COUNTIFS(特殊计租!$A$6:$A$7,A13)&lt;&gt;1,"",IF(COUNT(INDEX(特殊计租!$D$6:$D$7,MATCH(A13,特殊计租!$A$6:$A$7,0)))&lt;&gt;1,"",INDEX(特殊计租!$D$6:$D$7,MATCH(A13,特殊计租!$A$6:$A$7,0)))),IF(D13="设备附表",IF(COUNTIFS(设备附表!$A$6:$A$7,A13)&lt;&gt;1,"",IF(COUNT(INDEX(设备附表!$F$6:$F$7,MATCH(A13,设备附表!$A$6:$A$7,0)))&lt;&gt;1,"",INDEX(设备附表!$F$6:$F$7,MATCH(A13,设备附表!$A$6:$A$7,0)))),"")))))</f>
        <v>16.600000000000001</v>
      </c>
      <c r="H13" s="28">
        <f>IF(L13="排除",0,IF(D13="专项计租",IF(COUNTIFS(特殊计租!$A$6:$A$7,A13)&lt;&gt;1,"",IF(COUNT(INDEX(特殊计租!$J$6:$J$7,MATCH(A13,特殊计租!$A$6:$A$7,0)))&lt;&gt;1,"",INDEX(特殊计租!$J$6:$J$7,MATCH(A13,特殊计租!$A$6:$A$7,0)))),IF(D13="设备附表",IF(COUNTIFS(设备附表!$A$6:$A$7,A13)&lt;&gt;1,"",IF(COUNT(INDEX(设备附表!$G$6:$G$7,MATCH(A13,设备附表!$A$6:$A$7,0)))&lt;&gt;1,"",INDEX(设备附表!$G$6:$G$7,MATCH(A13,设备附表!$A$6:$A$7,0)))),IF(OR(D13="资料核定",D13="租赁资料核定"),IF(COUNTIFS(租赁资料核定!$A$6:$A$7,A13)&lt;&gt;1,"",IF(COUNT(INDEX(租赁资料核定!$N$6:$N$7,MATCH(A13,租赁资料核定!$A$6:$A$7,0)))&lt;&gt;1,"",INDEX(租赁资料核定!$N$6:$N$7,MATCH(A13,租赁资料核定!$A$6:$A$7,0)))),IF(OR(COUNT(F13:G13)&lt;&gt;2,F13&lt;=0),"",ROUND(F13*G13*测算参数!$B$10,2))))))</f>
        <v>239040</v>
      </c>
      <c r="I13" s="28">
        <f>IF(COUNTIFS(计租与历史!$A$6:$A$25,A13)&lt;&gt;1,"",IF(COUNT(INDEX(计租与历史!$D$6:$D$25,MATCH(A13,计租与历史!$A$6:$A$25,0)))&lt;&gt;1,"",INDEX(计租与历史!$D$6:$D$25,MATCH(A13,计租与历史!$A$6:$A$25,0))))</f>
        <v>15</v>
      </c>
      <c r="J13" s="25">
        <f t="shared" si="0"/>
        <v>0.10666666666666669</v>
      </c>
      <c r="K13" s="16" t="str">
        <f>IF(L13="排除",IF(AND(D13="不重复计租",OR(IF(COUNTIFS(计租与历史!$A$6:$A$25,A13)&lt;&gt;1,"",IF(INDEX(计租与历史!$G$6:$G$25,MATCH(A13,计租与历史!$A$6:$A$25,0))="","",INDEX(计租与历史!$G$6:$G$25,MATCH(A13,计租与历史!$A$6:$A$25,0))))="",COUNTIFS(资产清单!$A$6:$A$25,IF(COUNTIFS(计租与历史!$A$6:$A$25,A13)&lt;&gt;1,"",IF(INDEX(计租与历史!$G$6:$G$25,MATCH(A13,计租与历史!$A$6:$A$25,0))="","",INDEX(计租与历史!$G$6:$G$25,MATCH(A13,计租与历史!$A$6:$A$25,0)))))&lt;&gt;1)),"待核主资产","范围排除"),IF(D13="市场比较",IF(COUNT(三案例测算!H27:H29)&lt;&gt;3,"待补资料或重判评分",IF(OR(COUNTIFS(三案例测算!J27:J29,"通过")&lt;&gt;3,MAX(三案例测算!H27:H29)/MIN(三案例测算!H27:H29)-1&gt;测算参数!$B$8),"超限待复核","通过")),IF(COUNT(H13)&lt;&gt;1,"待补专项或核定资料","独立资料核定")))</f>
        <v>通过</v>
      </c>
      <c r="L13" s="16" t="str">
        <f>IF(COUNTIFS(计租与历史!$A$6:$A$25,A13)&lt;&gt;1,"",IF(INDEX(计租与历史!$B$6:$B$25,MATCH(A13,计租与历史!$A$6:$A$25,0))="","",INDEX(计租与历史!$B$6:$B$25,MATCH(A13,计租与历史!$A$6:$A$25,0))))</f>
        <v>纳入</v>
      </c>
      <c r="M13" s="16" t="str">
        <f>IF(COUNTIFS(计租与历史!$A$6:$A$25,A13)&lt;&gt;1,"",IF(INDEX(计租与历史!$H$6:$H$25,MATCH(A13,计租与历史!$A$6:$A$25,0))="","",INDEX(计租与历史!$H$6:$H$25,MATCH(A13,计租与历史!$A$6:$A$25,0))))</f>
        <v>按相应计租口径测算</v>
      </c>
      <c r="N13" s="16" t="s">
        <v>73</v>
      </c>
    </row>
    <row r="14" spans="1:14" ht="50" customHeight="1">
      <c r="A14" s="16" t="s">
        <v>81</v>
      </c>
      <c r="B14" s="16" t="str">
        <f>IF(COUNTIFS(资产清单!$A$6:$A$25,A14)&lt;&gt;1,"",IF(INDEX(资产清单!$D$6:$D$25,MATCH(A14,资产清单!$A$6:$A$25,0))="","",INDEX(资产清单!$D$6:$D$25,MATCH(A14,资产清单!$A$6:$A$25,0))))</f>
        <v>露天场地</v>
      </c>
      <c r="C14" s="16" t="str">
        <f>IF(COUNTIFS(资产清单!$A$6:$A$25,A14)&lt;&gt;1,"",IF(INDEX(资产清单!$H$6:$H$25,MATCH(A14,资产清单!$A$6:$A$25,0))="","",INDEX(资产清单!$H$6:$H$25,MATCH(A14,资产清单!$A$6:$A$25,0))))</f>
        <v>场地</v>
      </c>
      <c r="D14" s="16" t="str">
        <f>IF(COUNTIFS(计租与历史!$A$6:$A$25,A14)&lt;&gt;1,"",IF(INDEX(计租与历史!$C$6:$C$25,MATCH(A14,计租与历史!$A$6:$A$25,0))="","",INDEX(计租与历史!$C$6:$C$25,MATCH(A14,计租与历史!$A$6:$A$25,0))))</f>
        <v>市场比较</v>
      </c>
      <c r="E14" s="16" t="str">
        <f>IF(COUNTIFS(资产清单!$A$6:$A$25,A14)&lt;&gt;1,"",IF(INDEX(资产清单!$J$6:$J$25,MATCH(A14,资产清单!$A$6:$A$25,0))="","",INDEX(资产清单!$J$6:$J$25,MATCH(A14,资产清单!$A$6:$A$25,0))))</f>
        <v>元/㎡/月</v>
      </c>
      <c r="F14" s="28">
        <f>IF(COUNTIFS(资产清单!$A$6:$A$25,A14)&lt;&gt;1,"",IF(COUNT(INDEX(资产清单!$K$6:$K$25,MATCH(A14,资产清单!$A$6:$A$25,0)))&lt;&gt;1,"",INDEX(资产清单!$K$6:$K$25,MATCH(A14,资产清单!$A$6:$A$25,0))))</f>
        <v>900</v>
      </c>
      <c r="G14" s="28">
        <f>IF(L14="排除",0,IF(D14="市场比较",IF(COUNT(三案例测算!H30:H32)&lt;&gt;3,"",ROUND(AVERAGE(三案例测算!H30:H32),测算参数!$B$9)),IF(OR(D14="资料核定",D14="租赁资料核定"),IF(COUNTIFS(租赁资料核定!$A$6:$A$7,A14)&lt;&gt;1,"",IF(COUNT(INDEX(租赁资料核定!$M$6:$M$7,MATCH(A14,租赁资料核定!$A$6:$A$7,0)))&lt;&gt;1,"",INDEX(租赁资料核定!$M$6:$M$7,MATCH(A14,租赁资料核定!$A$6:$A$7,0)))),IF(D14="专项计租",IF(COUNTIFS(特殊计租!$A$6:$A$7,A14)&lt;&gt;1,"",IF(COUNT(INDEX(特殊计租!$D$6:$D$7,MATCH(A14,特殊计租!$A$6:$A$7,0)))&lt;&gt;1,"",INDEX(特殊计租!$D$6:$D$7,MATCH(A14,特殊计租!$A$6:$A$7,0)))),IF(D14="设备附表",IF(COUNTIFS(设备附表!$A$6:$A$7,A14)&lt;&gt;1,"",IF(COUNT(INDEX(设备附表!$F$6:$F$7,MATCH(A14,设备附表!$A$6:$A$7,0)))&lt;&gt;1,"",INDEX(设备附表!$F$6:$F$7,MATCH(A14,设备附表!$A$6:$A$7,0)))),"")))))</f>
        <v>3.4</v>
      </c>
      <c r="H14" s="28">
        <f>IF(L14="排除",0,IF(D14="专项计租",IF(COUNTIFS(特殊计租!$A$6:$A$7,A14)&lt;&gt;1,"",IF(COUNT(INDEX(特殊计租!$J$6:$J$7,MATCH(A14,特殊计租!$A$6:$A$7,0)))&lt;&gt;1,"",INDEX(特殊计租!$J$6:$J$7,MATCH(A14,特殊计租!$A$6:$A$7,0)))),IF(D14="设备附表",IF(COUNTIFS(设备附表!$A$6:$A$7,A14)&lt;&gt;1,"",IF(COUNT(INDEX(设备附表!$G$6:$G$7,MATCH(A14,设备附表!$A$6:$A$7,0)))&lt;&gt;1,"",INDEX(设备附表!$G$6:$G$7,MATCH(A14,设备附表!$A$6:$A$7,0)))),IF(OR(D14="资料核定",D14="租赁资料核定"),IF(COUNTIFS(租赁资料核定!$A$6:$A$7,A14)&lt;&gt;1,"",IF(COUNT(INDEX(租赁资料核定!$N$6:$N$7,MATCH(A14,租赁资料核定!$A$6:$A$7,0)))&lt;&gt;1,"",INDEX(租赁资料核定!$N$6:$N$7,MATCH(A14,租赁资料核定!$A$6:$A$7,0)))),IF(OR(COUNT(F14:G14)&lt;&gt;2,F14&lt;=0),"",ROUND(F14*G14*测算参数!$B$10,2))))))</f>
        <v>36720</v>
      </c>
      <c r="I14" s="28">
        <f>IF(COUNTIFS(计租与历史!$A$6:$A$25,A14)&lt;&gt;1,"",IF(COUNT(INDEX(计租与历史!$D$6:$D$25,MATCH(A14,计租与历史!$A$6:$A$25,0)))&lt;&gt;1,"",INDEX(计租与历史!$D$6:$D$25,MATCH(A14,计租与历史!$A$6:$A$25,0))))</f>
        <v>3</v>
      </c>
      <c r="J14" s="25">
        <f t="shared" si="0"/>
        <v>0.1333333333333333</v>
      </c>
      <c r="K14" s="16" t="str">
        <f>IF(L14="排除",IF(AND(D14="不重复计租",OR(IF(COUNTIFS(计租与历史!$A$6:$A$25,A14)&lt;&gt;1,"",IF(INDEX(计租与历史!$G$6:$G$25,MATCH(A14,计租与历史!$A$6:$A$25,0))="","",INDEX(计租与历史!$G$6:$G$25,MATCH(A14,计租与历史!$A$6:$A$25,0))))="",COUNTIFS(资产清单!$A$6:$A$25,IF(COUNTIFS(计租与历史!$A$6:$A$25,A14)&lt;&gt;1,"",IF(INDEX(计租与历史!$G$6:$G$25,MATCH(A14,计租与历史!$A$6:$A$25,0))="","",INDEX(计租与历史!$G$6:$G$25,MATCH(A14,计租与历史!$A$6:$A$25,0)))))&lt;&gt;1)),"待核主资产","范围排除"),IF(D14="市场比较",IF(COUNT(三案例测算!H30:H32)&lt;&gt;3,"待补资料或重判评分",IF(OR(COUNTIFS(三案例测算!J30:J32,"通过")&lt;&gt;3,MAX(三案例测算!H30:H32)/MIN(三案例测算!H30:H32)-1&gt;测算参数!$B$8),"超限待复核","通过")),IF(COUNT(H14)&lt;&gt;1,"待补专项或核定资料","独立资料核定")))</f>
        <v>通过</v>
      </c>
      <c r="L14" s="16" t="str">
        <f>IF(COUNTIFS(计租与历史!$A$6:$A$25,A14)&lt;&gt;1,"",IF(INDEX(计租与历史!$B$6:$B$25,MATCH(A14,计租与历史!$A$6:$A$25,0))="","",INDEX(计租与历史!$B$6:$B$25,MATCH(A14,计租与历史!$A$6:$A$25,0))))</f>
        <v>纳入</v>
      </c>
      <c r="M14" s="16" t="str">
        <f>IF(COUNTIFS(计租与历史!$A$6:$A$25,A14)&lt;&gt;1,"",IF(INDEX(计租与历史!$H$6:$H$25,MATCH(A14,计租与历史!$A$6:$A$25,0))="","",INDEX(计租与历史!$H$6:$H$25,MATCH(A14,计租与历史!$A$6:$A$25,0))))</f>
        <v>按相应计租口径测算</v>
      </c>
      <c r="N14" s="16" t="s">
        <v>73</v>
      </c>
    </row>
    <row r="15" spans="1:14" ht="50" customHeight="1">
      <c r="A15" s="16" t="s">
        <v>82</v>
      </c>
      <c r="B15" s="16" t="str">
        <f>IF(COUNTIFS(资产清单!$A$6:$A$25,A15)&lt;&gt;1,"",IF(INDEX(资产清单!$D$6:$D$25,MATCH(A15,资产清单!$A$6:$A$25,0))="","",INDEX(资产清单!$D$6:$D$25,MATCH(A15,资产清单!$A$6:$A$25,0))))</f>
        <v>地面停车位组</v>
      </c>
      <c r="C15" s="16" t="str">
        <f>IF(COUNTIFS(资产清单!$A$6:$A$25,A15)&lt;&gt;1,"",IF(INDEX(资产清单!$H$6:$H$25,MATCH(A15,资产清单!$A$6:$A$25,0))="","",INDEX(资产清单!$H$6:$H$25,MATCH(A15,资产清单!$A$6:$A$25,0))))</f>
        <v>车位</v>
      </c>
      <c r="D15" s="16" t="str">
        <f>IF(COUNTIFS(计租与历史!$A$6:$A$25,A15)&lt;&gt;1,"",IF(INDEX(计租与历史!$C$6:$C$25,MATCH(A15,计租与历史!$A$6:$A$25,0))="","",INDEX(计租与历史!$C$6:$C$25,MATCH(A15,计租与历史!$A$6:$A$25,0))))</f>
        <v>市场比较</v>
      </c>
      <c r="E15" s="16" t="str">
        <f>IF(COUNTIFS(资产清单!$A$6:$A$25,A15)&lt;&gt;1,"",IF(INDEX(资产清单!$J$6:$J$25,MATCH(A15,资产清单!$A$6:$A$25,0))="","",INDEX(资产清单!$J$6:$J$25,MATCH(A15,资产清单!$A$6:$A$25,0))))</f>
        <v>元/个/月</v>
      </c>
      <c r="F15" s="28">
        <f>IF(COUNTIFS(资产清单!$A$6:$A$25,A15)&lt;&gt;1,"",IF(COUNT(INDEX(资产清单!$K$6:$K$25,MATCH(A15,资产清单!$A$6:$A$25,0)))&lt;&gt;1,"",INDEX(资产清单!$K$6:$K$25,MATCH(A15,资产清单!$A$6:$A$25,0))))</f>
        <v>10</v>
      </c>
      <c r="G15" s="28">
        <f>IF(L15="排除",0,IF(D15="市场比较",IF(COUNT(三案例测算!H33:H35)&lt;&gt;3,"",ROUND(AVERAGE(三案例测算!H33:H35),测算参数!$B$9)),IF(OR(D15="资料核定",D15="租赁资料核定"),IF(COUNTIFS(租赁资料核定!$A$6:$A$7,A15)&lt;&gt;1,"",IF(COUNT(INDEX(租赁资料核定!$M$6:$M$7,MATCH(A15,租赁资料核定!$A$6:$A$7,0)))&lt;&gt;1,"",INDEX(租赁资料核定!$M$6:$M$7,MATCH(A15,租赁资料核定!$A$6:$A$7,0)))),IF(D15="专项计租",IF(COUNTIFS(特殊计租!$A$6:$A$7,A15)&lt;&gt;1,"",IF(COUNT(INDEX(特殊计租!$D$6:$D$7,MATCH(A15,特殊计租!$A$6:$A$7,0)))&lt;&gt;1,"",INDEX(特殊计租!$D$6:$D$7,MATCH(A15,特殊计租!$A$6:$A$7,0)))),IF(D15="设备附表",IF(COUNTIFS(设备附表!$A$6:$A$7,A15)&lt;&gt;1,"",IF(COUNT(INDEX(设备附表!$F$6:$F$7,MATCH(A15,设备附表!$A$6:$A$7,0)))&lt;&gt;1,"",INDEX(设备附表!$F$6:$F$7,MATCH(A15,设备附表!$A$6:$A$7,0)))),"")))))</f>
        <v>185</v>
      </c>
      <c r="H15" s="28">
        <f>IF(L15="排除",0,IF(D15="专项计租",IF(COUNTIFS(特殊计租!$A$6:$A$7,A15)&lt;&gt;1,"",IF(COUNT(INDEX(特殊计租!$J$6:$J$7,MATCH(A15,特殊计租!$A$6:$A$7,0)))&lt;&gt;1,"",INDEX(特殊计租!$J$6:$J$7,MATCH(A15,特殊计租!$A$6:$A$7,0)))),IF(D15="设备附表",IF(COUNTIFS(设备附表!$A$6:$A$7,A15)&lt;&gt;1,"",IF(COUNT(INDEX(设备附表!$G$6:$G$7,MATCH(A15,设备附表!$A$6:$A$7,0)))&lt;&gt;1,"",INDEX(设备附表!$G$6:$G$7,MATCH(A15,设备附表!$A$6:$A$7,0)))),IF(OR(D15="资料核定",D15="租赁资料核定"),IF(COUNTIFS(租赁资料核定!$A$6:$A$7,A15)&lt;&gt;1,"",IF(COUNT(INDEX(租赁资料核定!$N$6:$N$7,MATCH(A15,租赁资料核定!$A$6:$A$7,0)))&lt;&gt;1,"",INDEX(租赁资料核定!$N$6:$N$7,MATCH(A15,租赁资料核定!$A$6:$A$7,0)))),IF(OR(COUNT(F15:G15)&lt;&gt;2,F15&lt;=0),"",ROUND(F15*G15*测算参数!$B$10,2))))))</f>
        <v>22200</v>
      </c>
      <c r="I15" s="28">
        <f>IF(COUNTIFS(计租与历史!$A$6:$A$25,A15)&lt;&gt;1,"",IF(COUNT(INDEX(计租与历史!$D$6:$D$25,MATCH(A15,计租与历史!$A$6:$A$25,0)))&lt;&gt;1,"",INDEX(计租与历史!$D$6:$D$25,MATCH(A15,计租与历史!$A$6:$A$25,0))))</f>
        <v>175</v>
      </c>
      <c r="J15" s="25">
        <f t="shared" si="0"/>
        <v>5.7142857142857162E-2</v>
      </c>
      <c r="K15" s="16" t="str">
        <f>IF(L15="排除",IF(AND(D15="不重复计租",OR(IF(COUNTIFS(计租与历史!$A$6:$A$25,A15)&lt;&gt;1,"",IF(INDEX(计租与历史!$G$6:$G$25,MATCH(A15,计租与历史!$A$6:$A$25,0))="","",INDEX(计租与历史!$G$6:$G$25,MATCH(A15,计租与历史!$A$6:$A$25,0))))="",COUNTIFS(资产清单!$A$6:$A$25,IF(COUNTIFS(计租与历史!$A$6:$A$25,A15)&lt;&gt;1,"",IF(INDEX(计租与历史!$G$6:$G$25,MATCH(A15,计租与历史!$A$6:$A$25,0))="","",INDEX(计租与历史!$G$6:$G$25,MATCH(A15,计租与历史!$A$6:$A$25,0)))))&lt;&gt;1)),"待核主资产","范围排除"),IF(D15="市场比较",IF(COUNT(三案例测算!H33:H35)&lt;&gt;3,"待补资料或重判评分",IF(OR(COUNTIFS(三案例测算!J33:J35,"通过")&lt;&gt;3,MAX(三案例测算!H33:H35)/MIN(三案例测算!H33:H35)-1&gt;测算参数!$B$8),"超限待复核","通过")),IF(COUNT(H15)&lt;&gt;1,"待补专项或核定资料","独立资料核定")))</f>
        <v>通过</v>
      </c>
      <c r="L15" s="16" t="str">
        <f>IF(COUNTIFS(计租与历史!$A$6:$A$25,A15)&lt;&gt;1,"",IF(INDEX(计租与历史!$B$6:$B$25,MATCH(A15,计租与历史!$A$6:$A$25,0))="","",INDEX(计租与历史!$B$6:$B$25,MATCH(A15,计租与历史!$A$6:$A$25,0))))</f>
        <v>纳入</v>
      </c>
      <c r="M15" s="16" t="str">
        <f>IF(COUNTIFS(计租与历史!$A$6:$A$25,A15)&lt;&gt;1,"",IF(INDEX(计租与历史!$H$6:$H$25,MATCH(A15,计租与历史!$A$6:$A$25,0))="","",INDEX(计租与历史!$H$6:$H$25,MATCH(A15,计租与历史!$A$6:$A$25,0))))</f>
        <v>按相应计租口径测算</v>
      </c>
      <c r="N15" s="16" t="s">
        <v>73</v>
      </c>
    </row>
    <row r="16" spans="1:14" ht="50" customHeight="1">
      <c r="A16" s="16" t="s">
        <v>83</v>
      </c>
      <c r="B16" s="16" t="str">
        <f>IF(COUNTIFS(资产清单!$A$6:$A$25,A16)&lt;&gt;1,"",IF(INDEX(资产清单!$D$6:$D$25,MATCH(A16,资产清单!$A$6:$A$25,0))="","",INDEX(资产清单!$D$6:$D$25,MATCH(A16,资产清单!$A$6:$A$25,0))))</f>
        <v>按间计租宿舍</v>
      </c>
      <c r="C16" s="16" t="str">
        <f>IF(COUNTIFS(资产清单!$A$6:$A$25,A16)&lt;&gt;1,"",IF(INDEX(资产清单!$H$6:$H$25,MATCH(A16,资产清单!$A$6:$A$25,0))="","",INDEX(资产清单!$H$6:$H$25,MATCH(A16,资产清单!$A$6:$A$25,0))))</f>
        <v>住宅</v>
      </c>
      <c r="D16" s="16" t="str">
        <f>IF(COUNTIFS(计租与历史!$A$6:$A$25,A16)&lt;&gt;1,"",IF(INDEX(计租与历史!$C$6:$C$25,MATCH(A16,计租与历史!$A$6:$A$25,0))="","",INDEX(计租与历史!$C$6:$C$25,MATCH(A16,计租与历史!$A$6:$A$25,0))))</f>
        <v>市场比较</v>
      </c>
      <c r="E16" s="16" t="str">
        <f>IF(COUNTIFS(资产清单!$A$6:$A$25,A16)&lt;&gt;1,"",IF(INDEX(资产清单!$J$6:$J$25,MATCH(A16,资产清单!$A$6:$A$25,0))="","",INDEX(资产清单!$J$6:$J$25,MATCH(A16,资产清单!$A$6:$A$25,0))))</f>
        <v>元/间/月</v>
      </c>
      <c r="F16" s="28">
        <f>IF(COUNTIFS(资产清单!$A$6:$A$25,A16)&lt;&gt;1,"",IF(COUNT(INDEX(资产清单!$K$6:$K$25,MATCH(A16,资产清单!$A$6:$A$25,0)))&lt;&gt;1,"",INDEX(资产清单!$K$6:$K$25,MATCH(A16,资产清单!$A$6:$A$25,0))))</f>
        <v>1</v>
      </c>
      <c r="G16" s="28">
        <f>IF(L16="排除",0,IF(D16="市场比较",IF(COUNT(三案例测算!H36:H38)&lt;&gt;3,"",ROUND(AVERAGE(三案例测算!H36:H38),测算参数!$B$9)),IF(OR(D16="资料核定",D16="租赁资料核定"),IF(COUNTIFS(租赁资料核定!$A$6:$A$7,A16)&lt;&gt;1,"",IF(COUNT(INDEX(租赁资料核定!$M$6:$M$7,MATCH(A16,租赁资料核定!$A$6:$A$7,0)))&lt;&gt;1,"",INDEX(租赁资料核定!$M$6:$M$7,MATCH(A16,租赁资料核定!$A$6:$A$7,0)))),IF(D16="专项计租",IF(COUNTIFS(特殊计租!$A$6:$A$7,A16)&lt;&gt;1,"",IF(COUNT(INDEX(特殊计租!$D$6:$D$7,MATCH(A16,特殊计租!$A$6:$A$7,0)))&lt;&gt;1,"",INDEX(特殊计租!$D$6:$D$7,MATCH(A16,特殊计租!$A$6:$A$7,0)))),IF(D16="设备附表",IF(COUNTIFS(设备附表!$A$6:$A$7,A16)&lt;&gt;1,"",IF(COUNT(INDEX(设备附表!$F$6:$F$7,MATCH(A16,设备附表!$A$6:$A$7,0)))&lt;&gt;1,"",INDEX(设备附表!$F$6:$F$7,MATCH(A16,设备附表!$A$6:$A$7,0)))),"")))))</f>
        <v>664.4</v>
      </c>
      <c r="H16" s="28">
        <f>IF(L16="排除",0,IF(D16="专项计租",IF(COUNTIFS(特殊计租!$A$6:$A$7,A16)&lt;&gt;1,"",IF(COUNT(INDEX(特殊计租!$J$6:$J$7,MATCH(A16,特殊计租!$A$6:$A$7,0)))&lt;&gt;1,"",INDEX(特殊计租!$J$6:$J$7,MATCH(A16,特殊计租!$A$6:$A$7,0)))),IF(D16="设备附表",IF(COUNTIFS(设备附表!$A$6:$A$7,A16)&lt;&gt;1,"",IF(COUNT(INDEX(设备附表!$G$6:$G$7,MATCH(A16,设备附表!$A$6:$A$7,0)))&lt;&gt;1,"",INDEX(设备附表!$G$6:$G$7,MATCH(A16,设备附表!$A$6:$A$7,0)))),IF(OR(D16="资料核定",D16="租赁资料核定"),IF(COUNTIFS(租赁资料核定!$A$6:$A$7,A16)&lt;&gt;1,"",IF(COUNT(INDEX(租赁资料核定!$N$6:$N$7,MATCH(A16,租赁资料核定!$A$6:$A$7,0)))&lt;&gt;1,"",INDEX(租赁资料核定!$N$6:$N$7,MATCH(A16,租赁资料核定!$A$6:$A$7,0)))),IF(OR(COUNT(F16:G16)&lt;&gt;2,F16&lt;=0),"",ROUND(F16*G16*测算参数!$B$10,2))))))</f>
        <v>7972.8</v>
      </c>
      <c r="I16" s="28">
        <f>IF(COUNTIFS(计租与历史!$A$6:$A$25,A16)&lt;&gt;1,"",IF(COUNT(INDEX(计租与历史!$D$6:$D$25,MATCH(A16,计租与历史!$A$6:$A$25,0)))&lt;&gt;1,"",INDEX(计租与历史!$D$6:$D$25,MATCH(A16,计租与历史!$A$6:$A$25,0))))</f>
        <v>620</v>
      </c>
      <c r="J16" s="25">
        <f t="shared" si="0"/>
        <v>7.1612903225806379E-2</v>
      </c>
      <c r="K16" s="16" t="str">
        <f>IF(L16="排除",IF(AND(D16="不重复计租",OR(IF(COUNTIFS(计租与历史!$A$6:$A$25,A16)&lt;&gt;1,"",IF(INDEX(计租与历史!$G$6:$G$25,MATCH(A16,计租与历史!$A$6:$A$25,0))="","",INDEX(计租与历史!$G$6:$G$25,MATCH(A16,计租与历史!$A$6:$A$25,0))))="",COUNTIFS(资产清单!$A$6:$A$25,IF(COUNTIFS(计租与历史!$A$6:$A$25,A16)&lt;&gt;1,"",IF(INDEX(计租与历史!$G$6:$G$25,MATCH(A16,计租与历史!$A$6:$A$25,0))="","",INDEX(计租与历史!$G$6:$G$25,MATCH(A16,计租与历史!$A$6:$A$25,0)))))&lt;&gt;1)),"待核主资产","范围排除"),IF(D16="市场比较",IF(COUNT(三案例测算!H36:H38)&lt;&gt;3,"待补资料或重判评分",IF(OR(COUNTIFS(三案例测算!J36:J38,"通过")&lt;&gt;3,MAX(三案例测算!H36:H38)/MIN(三案例测算!H36:H38)-1&gt;测算参数!$B$8),"超限待复核","通过")),IF(COUNT(H16)&lt;&gt;1,"待补专项或核定资料","独立资料核定")))</f>
        <v>通过</v>
      </c>
      <c r="L16" s="16" t="str">
        <f>IF(COUNTIFS(计租与历史!$A$6:$A$25,A16)&lt;&gt;1,"",IF(INDEX(计租与历史!$B$6:$B$25,MATCH(A16,计租与历史!$A$6:$A$25,0))="","",INDEX(计租与历史!$B$6:$B$25,MATCH(A16,计租与历史!$A$6:$A$25,0))))</f>
        <v>纳入</v>
      </c>
      <c r="M16" s="16" t="str">
        <f>IF(COUNTIFS(计租与历史!$A$6:$A$25,A16)&lt;&gt;1,"",IF(INDEX(计租与历史!$H$6:$H$25,MATCH(A16,计租与历史!$A$6:$A$25,0))="","",INDEX(计租与历史!$H$6:$H$25,MATCH(A16,计租与历史!$A$6:$A$25,0))))</f>
        <v>按相应计租口径测算</v>
      </c>
      <c r="N16" s="16" t="s">
        <v>73</v>
      </c>
    </row>
    <row r="17" spans="1:14" ht="50" customHeight="1">
      <c r="A17" s="16" t="s">
        <v>84</v>
      </c>
      <c r="B17" s="16" t="str">
        <f>IF(COUNTIFS(资产清单!$A$6:$A$25,A17)&lt;&gt;1,"",IF(INDEX(资产清单!$D$6:$D$25,MATCH(A17,资产清单!$A$6:$A$25,0))="","",INDEX(资产清单!$D$6:$D$25,MATCH(A17,资产清单!$A$6:$A$25,0))))</f>
        <v>通信基站点位</v>
      </c>
      <c r="C17" s="16" t="str">
        <f>IF(COUNTIFS(资产清单!$A$6:$A$25,A17)&lt;&gt;1,"",IF(INDEX(资产清单!$H$6:$H$25,MATCH(A17,资产清单!$A$6:$A$25,0))="","",INDEX(资产清单!$H$6:$H$25,MATCH(A17,资产清单!$A$6:$A$25,0))))</f>
        <v>通信基站</v>
      </c>
      <c r="D17" s="16" t="str">
        <f>IF(COUNTIFS(计租与历史!$A$6:$A$25,A17)&lt;&gt;1,"",IF(INDEX(计租与历史!$C$6:$C$25,MATCH(A17,计租与历史!$A$6:$A$25,0))="","",INDEX(计租与历史!$C$6:$C$25,MATCH(A17,计租与历史!$A$6:$A$25,0))))</f>
        <v>市场比较</v>
      </c>
      <c r="E17" s="16" t="str">
        <f>IF(COUNTIFS(资产清单!$A$6:$A$25,A17)&lt;&gt;1,"",IF(INDEX(资产清单!$J$6:$J$25,MATCH(A17,资产清单!$A$6:$A$25,0))="","",INDEX(资产清单!$J$6:$J$25,MATCH(A17,资产清单!$A$6:$A$25,0))))</f>
        <v>元/处/月</v>
      </c>
      <c r="F17" s="28">
        <f>IF(COUNTIFS(资产清单!$A$6:$A$25,A17)&lt;&gt;1,"",IF(COUNT(INDEX(资产清单!$K$6:$K$25,MATCH(A17,资产清单!$A$6:$A$25,0)))&lt;&gt;1,"",INDEX(资产清单!$K$6:$K$25,MATCH(A17,资产清单!$A$6:$A$25,0))))</f>
        <v>1</v>
      </c>
      <c r="G17" s="28">
        <f>IF(L17="排除",0,IF(D17="市场比较",IF(COUNT(三案例测算!H39:H41)&lt;&gt;3,"",ROUND(AVERAGE(三案例测算!H39:H41),测算参数!$B$9)),IF(OR(D17="资料核定",D17="租赁资料核定"),IF(COUNTIFS(租赁资料核定!$A$6:$A$7,A17)&lt;&gt;1,"",IF(COUNT(INDEX(租赁资料核定!$M$6:$M$7,MATCH(A17,租赁资料核定!$A$6:$A$7,0)))&lt;&gt;1,"",INDEX(租赁资料核定!$M$6:$M$7,MATCH(A17,租赁资料核定!$A$6:$A$7,0)))),IF(D17="专项计租",IF(COUNTIFS(特殊计租!$A$6:$A$7,A17)&lt;&gt;1,"",IF(COUNT(INDEX(特殊计租!$D$6:$D$7,MATCH(A17,特殊计租!$A$6:$A$7,0)))&lt;&gt;1,"",INDEX(特殊计租!$D$6:$D$7,MATCH(A17,特殊计租!$A$6:$A$7,0)))),IF(D17="设备附表",IF(COUNTIFS(设备附表!$A$6:$A$7,A17)&lt;&gt;1,"",IF(COUNT(INDEX(设备附表!$F$6:$F$7,MATCH(A17,设备附表!$A$6:$A$7,0)))&lt;&gt;1,"",INDEX(设备附表!$F$6:$F$7,MATCH(A17,设备附表!$A$6:$A$7,0)))),"")))))</f>
        <v>719</v>
      </c>
      <c r="H17" s="28">
        <f>IF(L17="排除",0,IF(D17="专项计租",IF(COUNTIFS(特殊计租!$A$6:$A$7,A17)&lt;&gt;1,"",IF(COUNT(INDEX(特殊计租!$J$6:$J$7,MATCH(A17,特殊计租!$A$6:$A$7,0)))&lt;&gt;1,"",INDEX(特殊计租!$J$6:$J$7,MATCH(A17,特殊计租!$A$6:$A$7,0)))),IF(D17="设备附表",IF(COUNTIFS(设备附表!$A$6:$A$7,A17)&lt;&gt;1,"",IF(COUNT(INDEX(设备附表!$G$6:$G$7,MATCH(A17,设备附表!$A$6:$A$7,0)))&lt;&gt;1,"",INDEX(设备附表!$G$6:$G$7,MATCH(A17,设备附表!$A$6:$A$7,0)))),IF(OR(D17="资料核定",D17="租赁资料核定"),IF(COUNTIFS(租赁资料核定!$A$6:$A$7,A17)&lt;&gt;1,"",IF(COUNT(INDEX(租赁资料核定!$N$6:$N$7,MATCH(A17,租赁资料核定!$A$6:$A$7,0)))&lt;&gt;1,"",INDEX(租赁资料核定!$N$6:$N$7,MATCH(A17,租赁资料核定!$A$6:$A$7,0)))),IF(OR(COUNT(F17:G17)&lt;&gt;2,F17&lt;=0),"",ROUND(F17*G17*测算参数!$B$10,2))))))</f>
        <v>8628</v>
      </c>
      <c r="I17" s="28">
        <f>IF(COUNTIFS(计租与历史!$A$6:$A$25,A17)&lt;&gt;1,"",IF(COUNT(INDEX(计租与历史!$D$6:$D$25,MATCH(A17,计租与历史!$A$6:$A$25,0)))&lt;&gt;1,"",INDEX(计租与历史!$D$6:$D$25,MATCH(A17,计租与历史!$A$6:$A$25,0))))</f>
        <v>680</v>
      </c>
      <c r="J17" s="25">
        <f t="shared" si="0"/>
        <v>5.7352941176470607E-2</v>
      </c>
      <c r="K17" s="16" t="str">
        <f>IF(L17="排除",IF(AND(D17="不重复计租",OR(IF(COUNTIFS(计租与历史!$A$6:$A$25,A17)&lt;&gt;1,"",IF(INDEX(计租与历史!$G$6:$G$25,MATCH(A17,计租与历史!$A$6:$A$25,0))="","",INDEX(计租与历史!$G$6:$G$25,MATCH(A17,计租与历史!$A$6:$A$25,0))))="",COUNTIFS(资产清单!$A$6:$A$25,IF(COUNTIFS(计租与历史!$A$6:$A$25,A17)&lt;&gt;1,"",IF(INDEX(计租与历史!$G$6:$G$25,MATCH(A17,计租与历史!$A$6:$A$25,0))="","",INDEX(计租与历史!$G$6:$G$25,MATCH(A17,计租与历史!$A$6:$A$25,0)))))&lt;&gt;1)),"待核主资产","范围排除"),IF(D17="市场比较",IF(COUNT(三案例测算!H39:H41)&lt;&gt;3,"待补资料或重判评分",IF(OR(COUNTIFS(三案例测算!J39:J41,"通过")&lt;&gt;3,MAX(三案例测算!H39:H41)/MIN(三案例测算!H39:H41)-1&gt;测算参数!$B$8),"超限待复核","通过")),IF(COUNT(H17)&lt;&gt;1,"待补专项或核定资料","独立资料核定")))</f>
        <v>通过</v>
      </c>
      <c r="L17" s="16" t="str">
        <f>IF(COUNTIFS(计租与历史!$A$6:$A$25,A17)&lt;&gt;1,"",IF(INDEX(计租与历史!$B$6:$B$25,MATCH(A17,计租与历史!$A$6:$A$25,0))="","",INDEX(计租与历史!$B$6:$B$25,MATCH(A17,计租与历史!$A$6:$A$25,0))))</f>
        <v>纳入</v>
      </c>
      <c r="M17" s="16" t="str">
        <f>IF(COUNTIFS(计租与历史!$A$6:$A$25,A17)&lt;&gt;1,"",IF(INDEX(计租与历史!$H$6:$H$25,MATCH(A17,计租与历史!$A$6:$A$25,0))="","",INDEX(计租与历史!$H$6:$H$25,MATCH(A17,计租与历史!$A$6:$A$25,0))))</f>
        <v>按相应计租口径测算</v>
      </c>
      <c r="N17" s="16" t="s">
        <v>73</v>
      </c>
    </row>
    <row r="18" spans="1:14" ht="50" customHeight="1">
      <c r="A18" s="16" t="s">
        <v>85</v>
      </c>
      <c r="B18" s="16" t="str">
        <f>IF(COUNTIFS(资产清单!$A$6:$A$25,A18)&lt;&gt;1,"",IF(INDEX(资产清单!$D$6:$D$25,MATCH(A18,资产清单!$A$6:$A$25,0))="","",INDEX(资产清单!$D$6:$D$25,MATCH(A18,资产清单!$A$6:$A$25,0))))</f>
        <v>小型附属库房</v>
      </c>
      <c r="C18" s="16" t="str">
        <f>IF(COUNTIFS(资产清单!$A$6:$A$25,A18)&lt;&gt;1,"",IF(INDEX(资产清单!$H$6:$H$25,MATCH(A18,资产清单!$A$6:$A$25,0))="","",INDEX(资产清单!$H$6:$H$25,MATCH(A18,资产清单!$A$6:$A$25,0))))</f>
        <v>仓储</v>
      </c>
      <c r="D18" s="16" t="str">
        <f>IF(COUNTIFS(计租与历史!$A$6:$A$25,A18)&lt;&gt;1,"",IF(INDEX(计租与历史!$C$6:$C$25,MATCH(A18,计租与历史!$A$6:$A$25,0))="","",INDEX(计租与历史!$C$6:$C$25,MATCH(A18,计租与历史!$A$6:$A$25,0))))</f>
        <v>资料核定</v>
      </c>
      <c r="E18" s="16" t="str">
        <f>IF(COUNTIFS(资产清单!$A$6:$A$25,A18)&lt;&gt;1,"",IF(INDEX(资产清单!$J$6:$J$25,MATCH(A18,资产清单!$A$6:$A$25,0))="","",INDEX(资产清单!$J$6:$J$25,MATCH(A18,资产清单!$A$6:$A$25,0))))</f>
        <v>元/㎡/月</v>
      </c>
      <c r="F18" s="28">
        <f>IF(COUNTIFS(资产清单!$A$6:$A$25,A18)&lt;&gt;1,"",IF(COUNT(INDEX(资产清单!$K$6:$K$25,MATCH(A18,资产清单!$A$6:$A$25,0)))&lt;&gt;1,"",INDEX(资产清单!$K$6:$K$25,MATCH(A18,资产清单!$A$6:$A$25,0))))</f>
        <v>25</v>
      </c>
      <c r="G18" s="28">
        <f>IF(L18="排除",0,IF(D18="市场比较","",IF(OR(D18="资料核定",D18="租赁资料核定"),IF(COUNTIFS(租赁资料核定!$A$6:$A$7,A18)&lt;&gt;1,"",IF(COUNT(INDEX(租赁资料核定!$M$6:$M$7,MATCH(A18,租赁资料核定!$A$6:$A$7,0)))&lt;&gt;1,"",INDEX(租赁资料核定!$M$6:$M$7,MATCH(A18,租赁资料核定!$A$6:$A$7,0)))),IF(D18="专项计租",IF(COUNTIFS(特殊计租!$A$6:$A$7,A18)&lt;&gt;1,"",IF(COUNT(INDEX(特殊计租!$D$6:$D$7,MATCH(A18,特殊计租!$A$6:$A$7,0)))&lt;&gt;1,"",INDEX(特殊计租!$D$6:$D$7,MATCH(A18,特殊计租!$A$6:$A$7,0)))),IF(D18="设备附表",IF(COUNTIFS(设备附表!$A$6:$A$7,A18)&lt;&gt;1,"",IF(COUNT(INDEX(设备附表!$F$6:$F$7,MATCH(A18,设备附表!$A$6:$A$7,0)))&lt;&gt;1,"",INDEX(设备附表!$F$6:$F$7,MATCH(A18,设备附表!$A$6:$A$7,0)))),"")))))</f>
        <v>4.8</v>
      </c>
      <c r="H18" s="28">
        <f>IF(L18="排除",0,IF(D18="专项计租",IF(COUNTIFS(特殊计租!$A$6:$A$7,A18)&lt;&gt;1,"",IF(COUNT(INDEX(特殊计租!$J$6:$J$7,MATCH(A18,特殊计租!$A$6:$A$7,0)))&lt;&gt;1,"",INDEX(特殊计租!$J$6:$J$7,MATCH(A18,特殊计租!$A$6:$A$7,0)))),IF(D18="设备附表",IF(COUNTIFS(设备附表!$A$6:$A$7,A18)&lt;&gt;1,"",IF(COUNT(INDEX(设备附表!$G$6:$G$7,MATCH(A18,设备附表!$A$6:$A$7,0)))&lt;&gt;1,"",INDEX(设备附表!$G$6:$G$7,MATCH(A18,设备附表!$A$6:$A$7,0)))),IF(OR(D18="资料核定",D18="租赁资料核定"),IF(COUNTIFS(租赁资料核定!$A$6:$A$7,A18)&lt;&gt;1,"",IF(COUNT(INDEX(租赁资料核定!$N$6:$N$7,MATCH(A18,租赁资料核定!$A$6:$A$7,0)))&lt;&gt;1,"",INDEX(租赁资料核定!$N$6:$N$7,MATCH(A18,租赁资料核定!$A$6:$A$7,0)))),IF(OR(COUNT(F18:G18)&lt;&gt;2,F18&lt;=0),"",ROUND(F18*G18*测算参数!$B$10,2))))))</f>
        <v>1440</v>
      </c>
      <c r="I18" s="28">
        <f>IF(COUNTIFS(计租与历史!$A$6:$A$25,A18)&lt;&gt;1,"",IF(COUNT(INDEX(计租与历史!$D$6:$D$25,MATCH(A18,计租与历史!$A$6:$A$25,0)))&lt;&gt;1,"",INDEX(计租与历史!$D$6:$D$25,MATCH(A18,计租与历史!$A$6:$A$25,0))))</f>
        <v>4</v>
      </c>
      <c r="J18" s="25">
        <f t="shared" si="0"/>
        <v>0.19999999999999996</v>
      </c>
      <c r="K18" s="16" t="str">
        <f>IF(L18="排除",IF(AND(D18="不重复计租",OR(IF(COUNTIFS(计租与历史!$A$6:$A$25,A18)&lt;&gt;1,"",IF(INDEX(计租与历史!$G$6:$G$25,MATCH(A18,计租与历史!$A$6:$A$25,0))="","",INDEX(计租与历史!$G$6:$G$25,MATCH(A18,计租与历史!$A$6:$A$25,0))))="",COUNTIFS(资产清单!$A$6:$A$25,IF(COUNTIFS(计租与历史!$A$6:$A$25,A18)&lt;&gt;1,"",IF(INDEX(计租与历史!$G$6:$G$25,MATCH(A18,计租与历史!$A$6:$A$25,0))="","",INDEX(计租与历史!$G$6:$G$25,MATCH(A18,计租与历史!$A$6:$A$25,0)))))&lt;&gt;1)),"待核主资产","范围排除"),IF(D18="市场比较","不适用",IF(COUNT(H18)&lt;&gt;1,"待补专项或核定资料","独立资料核定")))</f>
        <v>独立资料核定</v>
      </c>
      <c r="L18" s="16" t="str">
        <f>IF(COUNTIFS(计租与历史!$A$6:$A$25,A18)&lt;&gt;1,"",IF(INDEX(计租与历史!$B$6:$B$25,MATCH(A18,计租与历史!$A$6:$A$25,0))="","",INDEX(计租与历史!$B$6:$B$25,MATCH(A18,计租与历史!$A$6:$A$25,0))))</f>
        <v>纳入</v>
      </c>
      <c r="M18" s="16" t="str">
        <f>IF(COUNTIFS(计租与历史!$A$6:$A$25,A18)&lt;&gt;1,"",IF(INDEX(计租与历史!$H$6:$H$25,MATCH(A18,计租与历史!$A$6:$A$25,0))="","",INDEX(计租与历史!$H$6:$H$25,MATCH(A18,计租与历史!$A$6:$A$25,0))))</f>
        <v>扩大案例搜集后结合已核定资料</v>
      </c>
      <c r="N18" s="16" t="s">
        <v>73</v>
      </c>
    </row>
    <row r="19" spans="1:14" ht="50" customHeight="1">
      <c r="A19" s="16" t="s">
        <v>86</v>
      </c>
      <c r="B19" s="16" t="str">
        <f>IF(COUNTIFS(资产清单!$A$6:$A$25,A19)&lt;&gt;1,"",IF(INDEX(资产清单!$D$6:$D$25,MATCH(A19,资产清单!$A$6:$A$25,0))="","",INDEX(资产清单!$D$6:$D$25,MATCH(A19,资产清单!$A$6:$A$25,0))))</f>
        <v>屋顶使用点位</v>
      </c>
      <c r="C19" s="16" t="str">
        <f>IF(COUNTIFS(资产清单!$A$6:$A$25,A19)&lt;&gt;1,"",IF(INDEX(资产清单!$H$6:$H$25,MATCH(A19,资产清单!$A$6:$A$25,0))="","",INDEX(资产清单!$H$6:$H$25,MATCH(A19,资产清单!$A$6:$A$25,0))))</f>
        <v>场地</v>
      </c>
      <c r="D19" s="16" t="str">
        <f>IF(COUNTIFS(计租与历史!$A$6:$A$25,A19)&lt;&gt;1,"",IF(INDEX(计租与历史!$C$6:$C$25,MATCH(A19,计租与历史!$A$6:$A$25,0))="","",INDEX(计租与历史!$C$6:$C$25,MATCH(A19,计租与历史!$A$6:$A$25,0))))</f>
        <v>租赁资料核定</v>
      </c>
      <c r="E19" s="16" t="str">
        <f>IF(COUNTIFS(资产清单!$A$6:$A$25,A19)&lt;&gt;1,"",IF(INDEX(资产清单!$J$6:$J$25,MATCH(A19,资产清单!$A$6:$A$25,0))="","",INDEX(资产清单!$J$6:$J$25,MATCH(A19,资产清单!$A$6:$A$25,0))))</f>
        <v>元/处/月</v>
      </c>
      <c r="F19" s="28">
        <f>IF(COUNTIFS(资产清单!$A$6:$A$25,A19)&lt;&gt;1,"",IF(COUNT(INDEX(资产清单!$K$6:$K$25,MATCH(A19,资产清单!$A$6:$A$25,0)))&lt;&gt;1,"",INDEX(资产清单!$K$6:$K$25,MATCH(A19,资产清单!$A$6:$A$25,0))))</f>
        <v>1</v>
      </c>
      <c r="G19" s="28">
        <f>IF(L19="排除",0,IF(D19="市场比较","",IF(OR(D19="资料核定",D19="租赁资料核定"),IF(COUNTIFS(租赁资料核定!$A$6:$A$7,A19)&lt;&gt;1,"",IF(COUNT(INDEX(租赁资料核定!$M$6:$M$7,MATCH(A19,租赁资料核定!$A$6:$A$7,0)))&lt;&gt;1,"",INDEX(租赁资料核定!$M$6:$M$7,MATCH(A19,租赁资料核定!$A$6:$A$7,0)))),IF(D19="专项计租",IF(COUNTIFS(特殊计租!$A$6:$A$7,A19)&lt;&gt;1,"",IF(COUNT(INDEX(特殊计租!$D$6:$D$7,MATCH(A19,特殊计租!$A$6:$A$7,0)))&lt;&gt;1,"",INDEX(特殊计租!$D$6:$D$7,MATCH(A19,特殊计租!$A$6:$A$7,0)))),IF(D19="设备附表",IF(COUNTIFS(设备附表!$A$6:$A$7,A19)&lt;&gt;1,"",IF(COUNT(INDEX(设备附表!$F$6:$F$7,MATCH(A19,设备附表!$A$6:$A$7,0)))&lt;&gt;1,"",INDEX(设备附表!$F$6:$F$7,MATCH(A19,设备附表!$A$6:$A$7,0)))),"")))))</f>
        <v>700</v>
      </c>
      <c r="H19" s="28">
        <f>IF(L19="排除",0,IF(D19="专项计租",IF(COUNTIFS(特殊计租!$A$6:$A$7,A19)&lt;&gt;1,"",IF(COUNT(INDEX(特殊计租!$J$6:$J$7,MATCH(A19,特殊计租!$A$6:$A$7,0)))&lt;&gt;1,"",INDEX(特殊计租!$J$6:$J$7,MATCH(A19,特殊计租!$A$6:$A$7,0)))),IF(D19="设备附表",IF(COUNTIFS(设备附表!$A$6:$A$7,A19)&lt;&gt;1,"",IF(COUNT(INDEX(设备附表!$G$6:$G$7,MATCH(A19,设备附表!$A$6:$A$7,0)))&lt;&gt;1,"",INDEX(设备附表!$G$6:$G$7,MATCH(A19,设备附表!$A$6:$A$7,0)))),IF(OR(D19="资料核定",D19="租赁资料核定"),IF(COUNTIFS(租赁资料核定!$A$6:$A$7,A19)&lt;&gt;1,"",IF(COUNT(INDEX(租赁资料核定!$N$6:$N$7,MATCH(A19,租赁资料核定!$A$6:$A$7,0)))&lt;&gt;1,"",INDEX(租赁资料核定!$N$6:$N$7,MATCH(A19,租赁资料核定!$A$6:$A$7,0)))),IF(OR(COUNT(F19:G19)&lt;&gt;2,F19&lt;=0),"",ROUND(F19*G19*测算参数!$B$10,2))))))</f>
        <v>8400</v>
      </c>
      <c r="I19" s="28">
        <f>IF(COUNTIFS(计租与历史!$A$6:$A$25,A19)&lt;&gt;1,"",IF(COUNT(INDEX(计租与历史!$D$6:$D$25,MATCH(A19,计租与历史!$A$6:$A$25,0)))&lt;&gt;1,"",INDEX(计租与历史!$D$6:$D$25,MATCH(A19,计租与历史!$A$6:$A$25,0))))</f>
        <v>650</v>
      </c>
      <c r="J19" s="25">
        <f t="shared" si="0"/>
        <v>7.6923076923076872E-2</v>
      </c>
      <c r="K19" s="16" t="str">
        <f>IF(L19="排除",IF(AND(D19="不重复计租",OR(IF(COUNTIFS(计租与历史!$A$6:$A$25,A19)&lt;&gt;1,"",IF(INDEX(计租与历史!$G$6:$G$25,MATCH(A19,计租与历史!$A$6:$A$25,0))="","",INDEX(计租与历史!$G$6:$G$25,MATCH(A19,计租与历史!$A$6:$A$25,0))))="",COUNTIFS(资产清单!$A$6:$A$25,IF(COUNTIFS(计租与历史!$A$6:$A$25,A19)&lt;&gt;1,"",IF(INDEX(计租与历史!$G$6:$G$25,MATCH(A19,计租与历史!$A$6:$A$25,0))="","",INDEX(计租与历史!$G$6:$G$25,MATCH(A19,计租与历史!$A$6:$A$25,0)))))&lt;&gt;1)),"待核主资产","范围排除"),IF(D19="市场比较","不适用",IF(COUNT(H19)&lt;&gt;1,"待补专项或核定资料","独立资料核定")))</f>
        <v>独立资料核定</v>
      </c>
      <c r="L19" s="16" t="str">
        <f>IF(COUNTIFS(计租与历史!$A$6:$A$25,A19)&lt;&gt;1,"",IF(INDEX(计租与历史!$B$6:$B$25,MATCH(A19,计租与历史!$A$6:$A$25,0))="","",INDEX(计租与历史!$B$6:$B$25,MATCH(A19,计租与历史!$A$6:$A$25,0))))</f>
        <v>纳入</v>
      </c>
      <c r="M19" s="16" t="str">
        <f>IF(COUNTIFS(计租与历史!$A$6:$A$25,A19)&lt;&gt;1,"",IF(INDEX(计租与历史!$H$6:$H$25,MATCH(A19,计租与历史!$A$6:$A$25,0))="","",INDEX(计租与历史!$H$6:$H$25,MATCH(A19,计租与历史!$A$6:$A$25,0))))</f>
        <v>按模拟合同口径核定</v>
      </c>
      <c r="N19" s="16" t="s">
        <v>73</v>
      </c>
    </row>
    <row r="20" spans="1:14" ht="50" customHeight="1">
      <c r="A20" s="16" t="s">
        <v>87</v>
      </c>
      <c r="B20" s="16" t="str">
        <f>IF(COUNTIFS(资产清单!$A$6:$A$25,A20)&lt;&gt;1,"",IF(INDEX(资产清单!$D$6:$D$25,MATCH(A20,资产清单!$A$6:$A$25,0))="","",INDEX(资产清单!$D$6:$D$25,MATCH(A20,资产清单!$A$6:$A$25,0))))</f>
        <v>活动场馆</v>
      </c>
      <c r="C20" s="16" t="str">
        <f>IF(COUNTIFS(资产清单!$A$6:$A$25,A20)&lt;&gt;1,"",IF(INDEX(资产清单!$H$6:$H$25,MATCH(A20,资产清单!$A$6:$A$25,0))="","",INDEX(资产清单!$H$6:$H$25,MATCH(A20,资产清单!$A$6:$A$25,0))))</f>
        <v>场馆</v>
      </c>
      <c r="D20" s="16" t="str">
        <f>IF(COUNTIFS(计租与历史!$A$6:$A$25,A20)&lt;&gt;1,"",IF(INDEX(计租与历史!$C$6:$C$25,MATCH(A20,计租与历史!$A$6:$A$25,0))="","",INDEX(计租与历史!$C$6:$C$25,MATCH(A20,计租与历史!$A$6:$A$25,0))))</f>
        <v>专项计租</v>
      </c>
      <c r="E20" s="16" t="str">
        <f>IF(COUNTIFS(资产清单!$A$6:$A$25,A20)&lt;&gt;1,"",IF(INDEX(资产清单!$J$6:$J$25,MATCH(A20,资产清单!$A$6:$A$25,0))="","",INDEX(资产清单!$J$6:$J$25,MATCH(A20,资产清单!$A$6:$A$25,0))))</f>
        <v>元/场·天</v>
      </c>
      <c r="F20" s="28">
        <f>IF(COUNTIFS(资产清单!$A$6:$A$25,A20)&lt;&gt;1,"",IF(COUNT(INDEX(资产清单!$K$6:$K$25,MATCH(A20,资产清单!$A$6:$A$25,0)))&lt;&gt;1,"",INDEX(资产清单!$K$6:$K$25,MATCH(A20,资产清单!$A$6:$A$25,0))))</f>
        <v>1</v>
      </c>
      <c r="G20" s="28">
        <f>IF(L20="排除",0,IF(D20="市场比较","",IF(OR(D20="资料核定",D20="租赁资料核定"),IF(COUNTIFS(租赁资料核定!$A$6:$A$7,A20)&lt;&gt;1,"",IF(COUNT(INDEX(租赁资料核定!$M$6:$M$7,MATCH(A20,租赁资料核定!$A$6:$A$7,0)))&lt;&gt;1,"",INDEX(租赁资料核定!$M$6:$M$7,MATCH(A20,租赁资料核定!$A$6:$A$7,0)))),IF(D20="专项计租",IF(COUNTIFS(特殊计租!$A$6:$A$7,A20)&lt;&gt;1,"",IF(COUNT(INDEX(特殊计租!$D$6:$D$7,MATCH(A20,特殊计租!$A$6:$A$7,0)))&lt;&gt;1,"",INDEX(特殊计租!$D$6:$D$7,MATCH(A20,特殊计租!$A$6:$A$7,0)))),IF(D20="设备附表",IF(COUNTIFS(设备附表!$A$6:$A$7,A20)&lt;&gt;1,"",IF(COUNT(INDEX(设备附表!$F$6:$F$7,MATCH(A20,设备附表!$A$6:$A$7,0)))&lt;&gt;1,"",INDEX(设备附表!$F$6:$F$7,MATCH(A20,设备附表!$A$6:$A$7,0)))),"")))))</f>
        <v>1950</v>
      </c>
      <c r="H20" s="28">
        <f>IF(L20="排除",0,IF(D20="专项计租",IF(COUNTIFS(特殊计租!$A$6:$A$7,A20)&lt;&gt;1,"",IF(COUNT(INDEX(特殊计租!$J$6:$J$7,MATCH(A20,特殊计租!$A$6:$A$7,0)))&lt;&gt;1,"",INDEX(特殊计租!$J$6:$J$7,MATCH(A20,特殊计租!$A$6:$A$7,0)))),IF(D20="设备附表",IF(COUNTIFS(设备附表!$A$6:$A$7,A20)&lt;&gt;1,"",IF(COUNT(INDEX(设备附表!$G$6:$G$7,MATCH(A20,设备附表!$A$6:$A$7,0)))&lt;&gt;1,"",INDEX(设备附表!$G$6:$G$7,MATCH(A20,设备附表!$A$6:$A$7,0)))),IF(OR(D20="资料核定",D20="租赁资料核定"),IF(COUNTIFS(租赁资料核定!$A$6:$A$7,A20)&lt;&gt;1,"",IF(COUNT(INDEX(租赁资料核定!$N$6:$N$7,MATCH(A20,租赁资料核定!$A$6:$A$7,0)))&lt;&gt;1,"",INDEX(租赁资料核定!$N$6:$N$7,MATCH(A20,租赁资料核定!$A$6:$A$7,0)))),IF(OR(COUNT(F20:G20)&lt;&gt;2,F20&lt;=0),"",ROUND(F20*G20*测算参数!$B$10,2))))))</f>
        <v>70200</v>
      </c>
      <c r="I20" s="28">
        <f>IF(COUNTIFS(计租与历史!$A$6:$A$25,A20)&lt;&gt;1,"",IF(COUNT(INDEX(计租与历史!$D$6:$D$25,MATCH(A20,计租与历史!$A$6:$A$25,0)))&lt;&gt;1,"",INDEX(计租与历史!$D$6:$D$25,MATCH(A20,计租与历史!$A$6:$A$25,0))))</f>
        <v>1800</v>
      </c>
      <c r="J20" s="25">
        <f t="shared" si="0"/>
        <v>8.3333333333333259E-2</v>
      </c>
      <c r="K20" s="16" t="str">
        <f>IF(L20="排除",IF(AND(D20="不重复计租",OR(IF(COUNTIFS(计租与历史!$A$6:$A$25,A20)&lt;&gt;1,"",IF(INDEX(计租与历史!$G$6:$G$25,MATCH(A20,计租与历史!$A$6:$A$25,0))="","",INDEX(计租与历史!$G$6:$G$25,MATCH(A20,计租与历史!$A$6:$A$25,0))))="",COUNTIFS(资产清单!$A$6:$A$25,IF(COUNTIFS(计租与历史!$A$6:$A$25,A20)&lt;&gt;1,"",IF(INDEX(计租与历史!$G$6:$G$25,MATCH(A20,计租与历史!$A$6:$A$25,0))="","",INDEX(计租与历史!$G$6:$G$25,MATCH(A20,计租与历史!$A$6:$A$25,0)))))&lt;&gt;1)),"待核主资产","范围排除"),IF(D20="市场比较","不适用",IF(COUNT(H20)&lt;&gt;1,"待补专项或核定资料","独立资料核定")))</f>
        <v>独立资料核定</v>
      </c>
      <c r="L20" s="16" t="str">
        <f>IF(COUNTIFS(计租与历史!$A$6:$A$25,A20)&lt;&gt;1,"",IF(INDEX(计租与历史!$B$6:$B$25,MATCH(A20,计租与历史!$A$6:$A$25,0))="","",INDEX(计租与历史!$B$6:$B$25,MATCH(A20,计租与历史!$A$6:$A$25,0))))</f>
        <v>纳入</v>
      </c>
      <c r="M20" s="16" t="str">
        <f>IF(COUNTIFS(计租与历史!$A$6:$A$25,A20)&lt;&gt;1,"",IF(INDEX(计租与历史!$H$6:$H$25,MATCH(A20,计租与历史!$A$6:$A$25,0))="","",INDEX(计租与历史!$H$6:$H$25,MATCH(A20,计租与历史!$A$6:$A$25,0))))</f>
        <v>按相应计租口径测算</v>
      </c>
      <c r="N20" s="16" t="s">
        <v>73</v>
      </c>
    </row>
    <row r="21" spans="1:14" ht="50" customHeight="1">
      <c r="A21" s="16" t="s">
        <v>88</v>
      </c>
      <c r="B21" s="16" t="str">
        <f>IF(COUNTIFS(资产清单!$A$6:$A$25,A21)&lt;&gt;1,"",IF(INDEX(资产清单!$D$6:$D$25,MATCH(A21,资产清单!$A$6:$A$25,0))="","",INDEX(资产清单!$D$6:$D$25,MATCH(A21,资产清单!$A$6:$A$25,0))))</f>
        <v>广告设置点位</v>
      </c>
      <c r="C21" s="16" t="str">
        <f>IF(COUNTIFS(资产清单!$A$6:$A$25,A21)&lt;&gt;1,"",IF(INDEX(资产清单!$H$6:$H$25,MATCH(A21,资产清单!$A$6:$A$25,0))="","",INDEX(资产清单!$H$6:$H$25,MATCH(A21,资产清单!$A$6:$A$25,0))))</f>
        <v>广告位</v>
      </c>
      <c r="D21" s="16" t="str">
        <f>IF(COUNTIFS(计租与历史!$A$6:$A$25,A21)&lt;&gt;1,"",IF(INDEX(计租与历史!$C$6:$C$25,MATCH(A21,计租与历史!$A$6:$A$25,0))="","",INDEX(计租与历史!$C$6:$C$25,MATCH(A21,计租与历史!$A$6:$A$25,0))))</f>
        <v>专项计租</v>
      </c>
      <c r="E21" s="16" t="str">
        <f>IF(COUNTIFS(资产清单!$A$6:$A$25,A21)&lt;&gt;1,"",IF(INDEX(资产清单!$J$6:$J$25,MATCH(A21,资产清单!$A$6:$A$25,0))="","",INDEX(资产清单!$J$6:$J$25,MATCH(A21,资产清单!$A$6:$A$25,0))))</f>
        <v>元/处/月</v>
      </c>
      <c r="F21" s="28">
        <f>IF(COUNTIFS(资产清单!$A$6:$A$25,A21)&lt;&gt;1,"",IF(COUNT(INDEX(资产清单!$K$6:$K$25,MATCH(A21,资产清单!$A$6:$A$25,0)))&lt;&gt;1,"",INDEX(资产清单!$K$6:$K$25,MATCH(A21,资产清单!$A$6:$A$25,0))))</f>
        <v>1</v>
      </c>
      <c r="G21" s="28">
        <f>IF(L21="排除",0,IF(D21="市场比较","",IF(OR(D21="资料核定",D21="租赁资料核定"),IF(COUNTIFS(租赁资料核定!$A$6:$A$7,A21)&lt;&gt;1,"",IF(COUNT(INDEX(租赁资料核定!$M$6:$M$7,MATCH(A21,租赁资料核定!$A$6:$A$7,0)))&lt;&gt;1,"",INDEX(租赁资料核定!$M$6:$M$7,MATCH(A21,租赁资料核定!$A$6:$A$7,0)))),IF(D21="专项计租",IF(COUNTIFS(特殊计租!$A$6:$A$7,A21)&lt;&gt;1,"",IF(COUNT(INDEX(特殊计租!$D$6:$D$7,MATCH(A21,特殊计租!$A$6:$A$7,0)))&lt;&gt;1,"",INDEX(特殊计租!$D$6:$D$7,MATCH(A21,特殊计租!$A$6:$A$7,0)))),IF(D21="设备附表",IF(COUNTIFS(设备附表!$A$6:$A$7,A21)&lt;&gt;1,"",IF(COUNT(INDEX(设备附表!$F$6:$F$7,MATCH(A21,设备附表!$A$6:$A$7,0)))&lt;&gt;1,"",INDEX(设备附表!$F$6:$F$7,MATCH(A21,设备附表!$A$6:$A$7,0)))),"")))))</f>
        <v>400</v>
      </c>
      <c r="H21" s="28">
        <f>IF(L21="排除",0,IF(D21="专项计租",IF(COUNTIFS(特殊计租!$A$6:$A$7,A21)&lt;&gt;1,"",IF(COUNT(INDEX(特殊计租!$J$6:$J$7,MATCH(A21,特殊计租!$A$6:$A$7,0)))&lt;&gt;1,"",INDEX(特殊计租!$J$6:$J$7,MATCH(A21,特殊计租!$A$6:$A$7,0)))),IF(D21="设备附表",IF(COUNTIFS(设备附表!$A$6:$A$7,A21)&lt;&gt;1,"",IF(COUNT(INDEX(设备附表!$G$6:$G$7,MATCH(A21,设备附表!$A$6:$A$7,0)))&lt;&gt;1,"",INDEX(设备附表!$G$6:$G$7,MATCH(A21,设备附表!$A$6:$A$7,0)))),IF(OR(D21="资料核定",D21="租赁资料核定"),IF(COUNTIFS(租赁资料核定!$A$6:$A$7,A21)&lt;&gt;1,"",IF(COUNT(INDEX(租赁资料核定!$N$6:$N$7,MATCH(A21,租赁资料核定!$A$6:$A$7,0)))&lt;&gt;1,"",INDEX(租赁资料核定!$N$6:$N$7,MATCH(A21,租赁资料核定!$A$6:$A$7,0)))),IF(OR(COUNT(F21:G21)&lt;&gt;2,F21&lt;=0),"",ROUND(F21*G21*测算参数!$B$10,2))))))</f>
        <v>4800</v>
      </c>
      <c r="I21" s="28">
        <f>IF(COUNTIFS(计租与历史!$A$6:$A$25,A21)&lt;&gt;1,"",IF(COUNT(INDEX(计租与历史!$D$6:$D$25,MATCH(A21,计租与历史!$A$6:$A$25,0)))&lt;&gt;1,"",INDEX(计租与历史!$D$6:$D$25,MATCH(A21,计租与历史!$A$6:$A$25,0))))</f>
        <v>380</v>
      </c>
      <c r="J21" s="25">
        <f t="shared" si="0"/>
        <v>5.2631578947368363E-2</v>
      </c>
      <c r="K21" s="16" t="str">
        <f>IF(L21="排除",IF(AND(D21="不重复计租",OR(IF(COUNTIFS(计租与历史!$A$6:$A$25,A21)&lt;&gt;1,"",IF(INDEX(计租与历史!$G$6:$G$25,MATCH(A21,计租与历史!$A$6:$A$25,0))="","",INDEX(计租与历史!$G$6:$G$25,MATCH(A21,计租与历史!$A$6:$A$25,0))))="",COUNTIFS(资产清单!$A$6:$A$25,IF(COUNTIFS(计租与历史!$A$6:$A$25,A21)&lt;&gt;1,"",IF(INDEX(计租与历史!$G$6:$G$25,MATCH(A21,计租与历史!$A$6:$A$25,0))="","",INDEX(计租与历史!$G$6:$G$25,MATCH(A21,计租与历史!$A$6:$A$25,0)))))&lt;&gt;1)),"待核主资产","范围排除"),IF(D21="市场比较","不适用",IF(COUNT(H21)&lt;&gt;1,"待补专项或核定资料","独立资料核定")))</f>
        <v>独立资料核定</v>
      </c>
      <c r="L21" s="16" t="str">
        <f>IF(COUNTIFS(计租与历史!$A$6:$A$25,A21)&lt;&gt;1,"",IF(INDEX(计租与历史!$B$6:$B$25,MATCH(A21,计租与历史!$A$6:$A$25,0))="","",INDEX(计租与历史!$B$6:$B$25,MATCH(A21,计租与历史!$A$6:$A$25,0))))</f>
        <v>纳入</v>
      </c>
      <c r="M21" s="16" t="str">
        <f>IF(COUNTIFS(计租与历史!$A$6:$A$25,A21)&lt;&gt;1,"",IF(INDEX(计租与历史!$H$6:$H$25,MATCH(A21,计租与历史!$A$6:$A$25,0))="","",INDEX(计租与历史!$H$6:$H$25,MATCH(A21,计租与历史!$A$6:$A$25,0))))</f>
        <v>按相应计租口径测算</v>
      </c>
      <c r="N21" s="16" t="s">
        <v>73</v>
      </c>
    </row>
    <row r="22" spans="1:14" ht="50" customHeight="1">
      <c r="A22" s="16" t="s">
        <v>89</v>
      </c>
      <c r="B22" s="16" t="str">
        <f>IF(COUNTIFS(资产清单!$A$6:$A$25,A22)&lt;&gt;1,"",IF(INDEX(资产清单!$D$6:$D$25,MATCH(A22,资产清单!$A$6:$A$25,0))="","",INDEX(资产清单!$D$6:$D$25,MATCH(A22,资产清单!$A$6:$A$25,0))))</f>
        <v>起重设备甲</v>
      </c>
      <c r="C22" s="16" t="str">
        <f>IF(COUNTIFS(资产清单!$A$6:$A$25,A22)&lt;&gt;1,"",IF(INDEX(资产清单!$H$6:$H$25,MATCH(A22,资产清单!$A$6:$A$25,0))="","",INDEX(资产清单!$H$6:$H$25,MATCH(A22,资产清单!$A$6:$A$25,0))))</f>
        <v>设备</v>
      </c>
      <c r="D22" s="16" t="str">
        <f>IF(COUNTIFS(计租与历史!$A$6:$A$25,A22)&lt;&gt;1,"",IF(INDEX(计租与历史!$C$6:$C$25,MATCH(A22,计租与历史!$A$6:$A$25,0))="","",INDEX(计租与历史!$C$6:$C$25,MATCH(A22,计租与历史!$A$6:$A$25,0))))</f>
        <v>设备附表</v>
      </c>
      <c r="E22" s="16" t="str">
        <f>IF(COUNTIFS(资产清单!$A$6:$A$25,A22)&lt;&gt;1,"",IF(INDEX(资产清单!$J$6:$J$25,MATCH(A22,资产清单!$A$6:$A$25,0))="","",INDEX(资产清单!$J$6:$J$25,MATCH(A22,资产清单!$A$6:$A$25,0))))</f>
        <v>元/台/月</v>
      </c>
      <c r="F22" s="28">
        <f>IF(COUNTIFS(资产清单!$A$6:$A$25,A22)&lt;&gt;1,"",IF(COUNT(INDEX(资产清单!$K$6:$K$25,MATCH(A22,资产清单!$A$6:$A$25,0)))&lt;&gt;1,"",INDEX(资产清单!$K$6:$K$25,MATCH(A22,资产清单!$A$6:$A$25,0))))</f>
        <v>1</v>
      </c>
      <c r="G22" s="28">
        <f>IF(L22="排除",0,IF(D22="市场比较","",IF(OR(D22="资料核定",D22="租赁资料核定"),IF(COUNTIFS(租赁资料核定!$A$6:$A$7,A22)&lt;&gt;1,"",IF(COUNT(INDEX(租赁资料核定!$M$6:$M$7,MATCH(A22,租赁资料核定!$A$6:$A$7,0)))&lt;&gt;1,"",INDEX(租赁资料核定!$M$6:$M$7,MATCH(A22,租赁资料核定!$A$6:$A$7,0)))),IF(D22="专项计租",IF(COUNTIFS(特殊计租!$A$6:$A$7,A22)&lt;&gt;1,"",IF(COUNT(INDEX(特殊计租!$D$6:$D$7,MATCH(A22,特殊计租!$A$6:$A$7,0)))&lt;&gt;1,"",INDEX(特殊计租!$D$6:$D$7,MATCH(A22,特殊计租!$A$6:$A$7,0)))),IF(D22="设备附表",IF(COUNTIFS(设备附表!$A$6:$A$7,A22)&lt;&gt;1,"",IF(COUNT(INDEX(设备附表!$F$6:$F$7,MATCH(A22,设备附表!$A$6:$A$7,0)))&lt;&gt;1,"",INDEX(设备附表!$F$6:$F$7,MATCH(A22,设备附表!$A$6:$A$7,0)))),"")))))</f>
        <v>300</v>
      </c>
      <c r="H22" s="28">
        <f>IF(L22="排除",0,IF(D22="专项计租",IF(COUNTIFS(特殊计租!$A$6:$A$7,A22)&lt;&gt;1,"",IF(COUNT(INDEX(特殊计租!$J$6:$J$7,MATCH(A22,特殊计租!$A$6:$A$7,0)))&lt;&gt;1,"",INDEX(特殊计租!$J$6:$J$7,MATCH(A22,特殊计租!$A$6:$A$7,0)))),IF(D22="设备附表",IF(COUNTIFS(设备附表!$A$6:$A$7,A22)&lt;&gt;1,"",IF(COUNT(INDEX(设备附表!$G$6:$G$7,MATCH(A22,设备附表!$A$6:$A$7,0)))&lt;&gt;1,"",INDEX(设备附表!$G$6:$G$7,MATCH(A22,设备附表!$A$6:$A$7,0)))),IF(OR(D22="资料核定",D22="租赁资料核定"),IF(COUNTIFS(租赁资料核定!$A$6:$A$7,A22)&lt;&gt;1,"",IF(COUNT(INDEX(租赁资料核定!$N$6:$N$7,MATCH(A22,租赁资料核定!$A$6:$A$7,0)))&lt;&gt;1,"",INDEX(租赁资料核定!$N$6:$N$7,MATCH(A22,租赁资料核定!$A$6:$A$7,0)))),IF(OR(COUNT(F22:G22)&lt;&gt;2,F22&lt;=0),"",ROUND(F22*G22*测算参数!$B$10,2))))))</f>
        <v>3600</v>
      </c>
      <c r="I22" s="28">
        <f>IF(COUNTIFS(计租与历史!$A$6:$A$25,A22)&lt;&gt;1,"",IF(COUNT(INDEX(计租与历史!$D$6:$D$25,MATCH(A22,计租与历史!$A$6:$A$25,0)))&lt;&gt;1,"",INDEX(计租与历史!$D$6:$D$25,MATCH(A22,计租与历史!$A$6:$A$25,0))))</f>
        <v>266.6666666667</v>
      </c>
      <c r="J22" s="25">
        <f t="shared" si="0"/>
        <v>0.12499999999985945</v>
      </c>
      <c r="K22" s="16" t="str">
        <f>IF(L22="排除",IF(AND(D22="不重复计租",OR(IF(COUNTIFS(计租与历史!$A$6:$A$25,A22)&lt;&gt;1,"",IF(INDEX(计租与历史!$G$6:$G$25,MATCH(A22,计租与历史!$A$6:$A$25,0))="","",INDEX(计租与历史!$G$6:$G$25,MATCH(A22,计租与历史!$A$6:$A$25,0))))="",COUNTIFS(资产清单!$A$6:$A$25,IF(COUNTIFS(计租与历史!$A$6:$A$25,A22)&lt;&gt;1,"",IF(INDEX(计租与历史!$G$6:$G$25,MATCH(A22,计租与历史!$A$6:$A$25,0))="","",INDEX(计租与历史!$G$6:$G$25,MATCH(A22,计租与历史!$A$6:$A$25,0)))))&lt;&gt;1)),"待核主资产","范围排除"),IF(D22="市场比较","不适用",IF(COUNT(H22)&lt;&gt;1,"待补专项或核定资料","独立资料核定")))</f>
        <v>独立资料核定</v>
      </c>
      <c r="L22" s="16" t="str">
        <f>IF(COUNTIFS(计租与历史!$A$6:$A$25,A22)&lt;&gt;1,"",IF(INDEX(计租与历史!$B$6:$B$25,MATCH(A22,计租与历史!$A$6:$A$25,0))="","",INDEX(计租与历史!$B$6:$B$25,MATCH(A22,计租与历史!$A$6:$A$25,0))))</f>
        <v>纳入</v>
      </c>
      <c r="M22" s="16" t="str">
        <f>IF(COUNTIFS(计租与历史!$A$6:$A$25,A22)&lt;&gt;1,"",IF(INDEX(计租与历史!$H$6:$H$25,MATCH(A22,计租与历史!$A$6:$A$25,0))="","",INDEX(计租与历史!$H$6:$H$25,MATCH(A22,计租与历史!$A$6:$A$25,0))))</f>
        <v>仅接收设备附表的年租金结论</v>
      </c>
      <c r="N22" s="16" t="s">
        <v>73</v>
      </c>
    </row>
    <row r="23" spans="1:14" ht="50" customHeight="1">
      <c r="A23" s="16" t="s">
        <v>90</v>
      </c>
      <c r="B23" s="16" t="str">
        <f>IF(COUNTIFS(资产清单!$A$6:$A$25,A23)&lt;&gt;1,"",IF(INDEX(资产清单!$D$6:$D$25,MATCH(A23,资产清单!$A$6:$A$25,0))="","",INDEX(资产清单!$D$6:$D$25,MATCH(A23,资产清单!$A$6:$A$25,0))))</f>
        <v>加工设备乙</v>
      </c>
      <c r="C23" s="16" t="str">
        <f>IF(COUNTIFS(资产清单!$A$6:$A$25,A23)&lt;&gt;1,"",IF(INDEX(资产清单!$H$6:$H$25,MATCH(A23,资产清单!$A$6:$A$25,0))="","",INDEX(资产清单!$H$6:$H$25,MATCH(A23,资产清单!$A$6:$A$25,0))))</f>
        <v>设备</v>
      </c>
      <c r="D23" s="16" t="str">
        <f>IF(COUNTIFS(计租与历史!$A$6:$A$25,A23)&lt;&gt;1,"",IF(INDEX(计租与历史!$C$6:$C$25,MATCH(A23,计租与历史!$A$6:$A$25,0))="","",INDEX(计租与历史!$C$6:$C$25,MATCH(A23,计租与历史!$A$6:$A$25,0))))</f>
        <v>设备附表</v>
      </c>
      <c r="E23" s="16" t="str">
        <f>IF(COUNTIFS(资产清单!$A$6:$A$25,A23)&lt;&gt;1,"",IF(INDEX(资产清单!$J$6:$J$25,MATCH(A23,资产清单!$A$6:$A$25,0))="","",INDEX(资产清单!$J$6:$J$25,MATCH(A23,资产清单!$A$6:$A$25,0))))</f>
        <v>元/台/月</v>
      </c>
      <c r="F23" s="28">
        <f>IF(COUNTIFS(资产清单!$A$6:$A$25,A23)&lt;&gt;1,"",IF(COUNT(INDEX(资产清单!$K$6:$K$25,MATCH(A23,资产清单!$A$6:$A$25,0)))&lt;&gt;1,"",INDEX(资产清单!$K$6:$K$25,MATCH(A23,资产清单!$A$6:$A$25,0))))</f>
        <v>1</v>
      </c>
      <c r="G23" s="28">
        <f>IF(L23="排除",0,IF(D23="市场比较","",IF(OR(D23="资料核定",D23="租赁资料核定"),IF(COUNTIFS(租赁资料核定!$A$6:$A$7,A23)&lt;&gt;1,"",IF(COUNT(INDEX(租赁资料核定!$M$6:$M$7,MATCH(A23,租赁资料核定!$A$6:$A$7,0)))&lt;&gt;1,"",INDEX(租赁资料核定!$M$6:$M$7,MATCH(A23,租赁资料核定!$A$6:$A$7,0)))),IF(D23="专项计租",IF(COUNTIFS(特殊计租!$A$6:$A$7,A23)&lt;&gt;1,"",IF(COUNT(INDEX(特殊计租!$D$6:$D$7,MATCH(A23,特殊计租!$A$6:$A$7,0)))&lt;&gt;1,"",INDEX(特殊计租!$D$6:$D$7,MATCH(A23,特殊计租!$A$6:$A$7,0)))),IF(D23="设备附表",IF(COUNTIFS(设备附表!$A$6:$A$7,A23)&lt;&gt;1,"",IF(COUNT(INDEX(设备附表!$F$6:$F$7,MATCH(A23,设备附表!$A$6:$A$7,0)))&lt;&gt;1,"",INDEX(设备附表!$F$6:$F$7,MATCH(A23,设备附表!$A$6:$A$7,0)))),"")))))</f>
        <v>150</v>
      </c>
      <c r="H23" s="28">
        <f>IF(L23="排除",0,IF(D23="专项计租",IF(COUNTIFS(特殊计租!$A$6:$A$7,A23)&lt;&gt;1,"",IF(COUNT(INDEX(特殊计租!$J$6:$J$7,MATCH(A23,特殊计租!$A$6:$A$7,0)))&lt;&gt;1,"",INDEX(特殊计租!$J$6:$J$7,MATCH(A23,特殊计租!$A$6:$A$7,0)))),IF(D23="设备附表",IF(COUNTIFS(设备附表!$A$6:$A$7,A23)&lt;&gt;1,"",IF(COUNT(INDEX(设备附表!$G$6:$G$7,MATCH(A23,设备附表!$A$6:$A$7,0)))&lt;&gt;1,"",INDEX(设备附表!$G$6:$G$7,MATCH(A23,设备附表!$A$6:$A$7,0)))),IF(OR(D23="资料核定",D23="租赁资料核定"),IF(COUNTIFS(租赁资料核定!$A$6:$A$7,A23)&lt;&gt;1,"",IF(COUNT(INDEX(租赁资料核定!$N$6:$N$7,MATCH(A23,租赁资料核定!$A$6:$A$7,0)))&lt;&gt;1,"",INDEX(租赁资料核定!$N$6:$N$7,MATCH(A23,租赁资料核定!$A$6:$A$7,0)))),IF(OR(COUNT(F23:G23)&lt;&gt;2,F23&lt;=0),"",ROUND(F23*G23*测算参数!$B$10,2))))))</f>
        <v>1800</v>
      </c>
      <c r="I23" s="28">
        <f>IF(COUNTIFS(计租与历史!$A$6:$A$25,A23)&lt;&gt;1,"",IF(COUNT(INDEX(计租与历史!$D$6:$D$25,MATCH(A23,计租与历史!$A$6:$A$25,0)))&lt;&gt;1,"",INDEX(计租与历史!$D$6:$D$25,MATCH(A23,计租与历史!$A$6:$A$25,0))))</f>
        <v>133.3333333333</v>
      </c>
      <c r="J23" s="25">
        <f t="shared" si="0"/>
        <v>0.12500000000028111</v>
      </c>
      <c r="K23" s="16" t="str">
        <f>IF(L23="排除",IF(AND(D23="不重复计租",OR(IF(COUNTIFS(计租与历史!$A$6:$A$25,A23)&lt;&gt;1,"",IF(INDEX(计租与历史!$G$6:$G$25,MATCH(A23,计租与历史!$A$6:$A$25,0))="","",INDEX(计租与历史!$G$6:$G$25,MATCH(A23,计租与历史!$A$6:$A$25,0))))="",COUNTIFS(资产清单!$A$6:$A$25,IF(COUNTIFS(计租与历史!$A$6:$A$25,A23)&lt;&gt;1,"",IF(INDEX(计租与历史!$G$6:$G$25,MATCH(A23,计租与历史!$A$6:$A$25,0))="","",INDEX(计租与历史!$G$6:$G$25,MATCH(A23,计租与历史!$A$6:$A$25,0)))))&lt;&gt;1)),"待核主资产","范围排除"),IF(D23="市场比较","不适用",IF(COUNT(H23)&lt;&gt;1,"待补专项或核定资料","独立资料核定")))</f>
        <v>独立资料核定</v>
      </c>
      <c r="L23" s="16" t="str">
        <f>IF(COUNTIFS(计租与历史!$A$6:$A$25,A23)&lt;&gt;1,"",IF(INDEX(计租与历史!$B$6:$B$25,MATCH(A23,计租与历史!$A$6:$A$25,0))="","",INDEX(计租与历史!$B$6:$B$25,MATCH(A23,计租与历史!$A$6:$A$25,0))))</f>
        <v>纳入</v>
      </c>
      <c r="M23" s="16" t="str">
        <f>IF(COUNTIFS(计租与历史!$A$6:$A$25,A23)&lt;&gt;1,"",IF(INDEX(计租与历史!$H$6:$H$25,MATCH(A23,计租与历史!$A$6:$A$25,0))="","",INDEX(计租与历史!$H$6:$H$25,MATCH(A23,计租与历史!$A$6:$A$25,0))))</f>
        <v>仅接收设备附表的年租金结论</v>
      </c>
      <c r="N23" s="16" t="s">
        <v>73</v>
      </c>
    </row>
    <row r="24" spans="1:14" ht="50" customHeight="1">
      <c r="A24" s="16" t="s">
        <v>91</v>
      </c>
      <c r="B24" s="16" t="str">
        <f>IF(COUNTIFS(资产清单!$A$6:$A$25,A24)&lt;&gt;1,"",IF(INDEX(资产清单!$D$6:$D$25,MATCH(A24,资产清单!$A$6:$A$25,0))="","",INDEX(资产清单!$D$6:$D$25,MATCH(A24,资产清单!$A$6:$A$25,0))))</f>
        <v>库房重复记录</v>
      </c>
      <c r="C24" s="16" t="str">
        <f>IF(COUNTIFS(资产清单!$A$6:$A$25,A24)&lt;&gt;1,"",IF(INDEX(资产清单!$H$6:$H$25,MATCH(A24,资产清单!$A$6:$A$25,0))="","",INDEX(资产清单!$H$6:$H$25,MATCH(A24,资产清单!$A$6:$A$25,0))))</f>
        <v>仓储</v>
      </c>
      <c r="D24" s="16" t="str">
        <f>IF(COUNTIFS(计租与历史!$A$6:$A$25,A24)&lt;&gt;1,"",IF(INDEX(计租与历史!$C$6:$C$25,MATCH(A24,计租与历史!$A$6:$A$25,0))="","",INDEX(计租与历史!$C$6:$C$25,MATCH(A24,计租与历史!$A$6:$A$25,0))))</f>
        <v>不重复计租</v>
      </c>
      <c r="E24" s="16" t="str">
        <f>IF(COUNTIFS(资产清单!$A$6:$A$25,A24)&lt;&gt;1,"",IF(INDEX(资产清单!$J$6:$J$25,MATCH(A24,资产清单!$A$6:$A$25,0))="","",INDEX(资产清单!$J$6:$J$25,MATCH(A24,资产清单!$A$6:$A$25,0))))</f>
        <v>元/㎡/月</v>
      </c>
      <c r="F24" s="28">
        <f>IF(COUNTIFS(资产清单!$A$6:$A$25,A24)&lt;&gt;1,"",IF(COUNT(INDEX(资产清单!$K$6:$K$25,MATCH(A24,资产清单!$A$6:$A$25,0)))&lt;&gt;1,"",INDEX(资产清单!$K$6:$K$25,MATCH(A24,资产清单!$A$6:$A$25,0))))</f>
        <v>500</v>
      </c>
      <c r="G24" s="28">
        <f>IF(L24="排除",0,IF(D24="市场比较","",IF(OR(D24="资料核定",D24="租赁资料核定"),IF(COUNTIFS(租赁资料核定!$A$6:$A$7,A24)&lt;&gt;1,"",IF(COUNT(INDEX(租赁资料核定!$M$6:$M$7,MATCH(A24,租赁资料核定!$A$6:$A$7,0)))&lt;&gt;1,"",INDEX(租赁资料核定!$M$6:$M$7,MATCH(A24,租赁资料核定!$A$6:$A$7,0)))),IF(D24="专项计租",IF(COUNTIFS(特殊计租!$A$6:$A$7,A24)&lt;&gt;1,"",IF(COUNT(INDEX(特殊计租!$D$6:$D$7,MATCH(A24,特殊计租!$A$6:$A$7,0)))&lt;&gt;1,"",INDEX(特殊计租!$D$6:$D$7,MATCH(A24,特殊计租!$A$6:$A$7,0)))),IF(D24="设备附表",IF(COUNTIFS(设备附表!$A$6:$A$7,A24)&lt;&gt;1,"",IF(COUNT(INDEX(设备附表!$F$6:$F$7,MATCH(A24,设备附表!$A$6:$A$7,0)))&lt;&gt;1,"",INDEX(设备附表!$F$6:$F$7,MATCH(A24,设备附表!$A$6:$A$7,0)))),"")))))</f>
        <v>0</v>
      </c>
      <c r="H24" s="28">
        <f>IF(L24="排除",0,IF(D24="专项计租",IF(COUNTIFS(特殊计租!$A$6:$A$7,A24)&lt;&gt;1,"",IF(COUNT(INDEX(特殊计租!$J$6:$J$7,MATCH(A24,特殊计租!$A$6:$A$7,0)))&lt;&gt;1,"",INDEX(特殊计租!$J$6:$J$7,MATCH(A24,特殊计租!$A$6:$A$7,0)))),IF(D24="设备附表",IF(COUNTIFS(设备附表!$A$6:$A$7,A24)&lt;&gt;1,"",IF(COUNT(INDEX(设备附表!$G$6:$G$7,MATCH(A24,设备附表!$A$6:$A$7,0)))&lt;&gt;1,"",INDEX(设备附表!$G$6:$G$7,MATCH(A24,设备附表!$A$6:$A$7,0)))),IF(OR(D24="资料核定",D24="租赁资料核定"),IF(COUNTIFS(租赁资料核定!$A$6:$A$7,A24)&lt;&gt;1,"",IF(COUNT(INDEX(租赁资料核定!$N$6:$N$7,MATCH(A24,租赁资料核定!$A$6:$A$7,0)))&lt;&gt;1,"",INDEX(租赁资料核定!$N$6:$N$7,MATCH(A24,租赁资料核定!$A$6:$A$7,0)))),IF(OR(COUNT(F24:G24)&lt;&gt;2,F24&lt;=0),"",ROUND(F24*G24*测算参数!$B$10,2))))))</f>
        <v>0</v>
      </c>
      <c r="I24" s="28" t="str">
        <f>IF(COUNTIFS(计租与历史!$A$6:$A$25,A24)&lt;&gt;1,"",IF(COUNT(INDEX(计租与历史!$D$6:$D$25,MATCH(A24,计租与历史!$A$6:$A$25,0)))&lt;&gt;1,"",INDEX(计租与历史!$D$6:$D$25,MATCH(A24,计租与历史!$A$6:$A$25,0))))</f>
        <v/>
      </c>
      <c r="J24" s="25" t="str">
        <f t="shared" si="0"/>
        <v/>
      </c>
      <c r="K24" s="16" t="str">
        <f>IF(L24="排除",IF(AND(D24="不重复计租",OR(IF(COUNTIFS(计租与历史!$A$6:$A$25,A24)&lt;&gt;1,"",IF(INDEX(计租与历史!$G$6:$G$25,MATCH(A24,计租与历史!$A$6:$A$25,0))="","",INDEX(计租与历史!$G$6:$G$25,MATCH(A24,计租与历史!$A$6:$A$25,0))))="",COUNTIFS(资产清单!$A$6:$A$25,IF(COUNTIFS(计租与历史!$A$6:$A$25,A24)&lt;&gt;1,"",IF(INDEX(计租与历史!$G$6:$G$25,MATCH(A24,计租与历史!$A$6:$A$25,0))="","",INDEX(计租与历史!$G$6:$G$25,MATCH(A24,计租与历史!$A$6:$A$25,0)))))&lt;&gt;1)),"待核主资产","范围排除"),IF(D24="市场比较","不适用",IF(COUNT(H24)&lt;&gt;1,"待补专项或核定资料","独立资料核定")))</f>
        <v>范围排除</v>
      </c>
      <c r="L24" s="16" t="str">
        <f>IF(COUNTIFS(计租与历史!$A$6:$A$25,A24)&lt;&gt;1,"",IF(INDEX(计租与历史!$B$6:$B$25,MATCH(A24,计租与历史!$A$6:$A$25,0))="","",INDEX(计租与历史!$B$6:$B$25,MATCH(A24,计租与历史!$A$6:$A$25,0))))</f>
        <v>排除</v>
      </c>
      <c r="M24" s="16" t="str">
        <f>IF(COUNTIFS(计租与历史!$A$6:$A$25,A24)&lt;&gt;1,"",IF(INDEX(计租与历史!$H$6:$H$25,MATCH(A24,计租与历史!$A$6:$A$25,0))="","",INDEX(计租与历史!$H$6:$H$25,MATCH(A24,计租与历史!$A$6:$A$25,0))))</f>
        <v>同一标的重复登记，保留主记录计租</v>
      </c>
      <c r="N24" s="16" t="s">
        <v>73</v>
      </c>
    </row>
    <row r="25" spans="1:14" ht="50" customHeight="1">
      <c r="A25" s="16" t="s">
        <v>92</v>
      </c>
      <c r="B25" s="16" t="str">
        <f>IF(COUNTIFS(资产清单!$A$6:$A$25,A25)&lt;&gt;1,"",IF(INDEX(资产清单!$D$6:$D$25,MATCH(A25,资产清单!$A$6:$A$25,0))="","",INDEX(资产清单!$D$6:$D$25,MATCH(A25,资产清单!$A$6:$A$25,0))))</f>
        <v>范围外房屋</v>
      </c>
      <c r="C25" s="16" t="str">
        <f>IF(COUNTIFS(资产清单!$A$6:$A$25,A25)&lt;&gt;1,"",IF(INDEX(资产清单!$H$6:$H$25,MATCH(A25,资产清单!$A$6:$A$25,0))="","",INDEX(资产清单!$H$6:$H$25,MATCH(A25,资产清单!$A$6:$A$25,0))))</f>
        <v>办公</v>
      </c>
      <c r="D25" s="16" t="str">
        <f>IF(COUNTIFS(计租与历史!$A$6:$A$25,A25)&lt;&gt;1,"",IF(INDEX(计租与历史!$C$6:$C$25,MATCH(A25,计租与历史!$A$6:$A$25,0))="","",INDEX(计租与历史!$C$6:$C$25,MATCH(A25,计租与历史!$A$6:$A$25,0))))</f>
        <v>不纳入</v>
      </c>
      <c r="E25" s="16" t="str">
        <f>IF(COUNTIFS(资产清单!$A$6:$A$25,A25)&lt;&gt;1,"",IF(INDEX(资产清单!$J$6:$J$25,MATCH(A25,资产清单!$A$6:$A$25,0))="","",INDEX(资产清单!$J$6:$J$25,MATCH(A25,资产清单!$A$6:$A$25,0))))</f>
        <v>元/㎡/月</v>
      </c>
      <c r="F25" s="28">
        <f>IF(COUNTIFS(资产清单!$A$6:$A$25,A25)&lt;&gt;1,"",IF(COUNT(INDEX(资产清单!$K$6:$K$25,MATCH(A25,资产清单!$A$6:$A$25,0)))&lt;&gt;1,"",INDEX(资产清单!$K$6:$K$25,MATCH(A25,资产清单!$A$6:$A$25,0))))</f>
        <v>80</v>
      </c>
      <c r="G25" s="28">
        <f>IF(L25="排除",0,IF(D25="市场比较","",IF(OR(D25="资料核定",D25="租赁资料核定"),IF(COUNTIFS(租赁资料核定!$A$6:$A$7,A25)&lt;&gt;1,"",IF(COUNT(INDEX(租赁资料核定!$M$6:$M$7,MATCH(A25,租赁资料核定!$A$6:$A$7,0)))&lt;&gt;1,"",INDEX(租赁资料核定!$M$6:$M$7,MATCH(A25,租赁资料核定!$A$6:$A$7,0)))),IF(D25="专项计租",IF(COUNTIFS(特殊计租!$A$6:$A$7,A25)&lt;&gt;1,"",IF(COUNT(INDEX(特殊计租!$D$6:$D$7,MATCH(A25,特殊计租!$A$6:$A$7,0)))&lt;&gt;1,"",INDEX(特殊计租!$D$6:$D$7,MATCH(A25,特殊计租!$A$6:$A$7,0)))),IF(D25="设备附表",IF(COUNTIFS(设备附表!$A$6:$A$7,A25)&lt;&gt;1,"",IF(COUNT(INDEX(设备附表!$F$6:$F$7,MATCH(A25,设备附表!$A$6:$A$7,0)))&lt;&gt;1,"",INDEX(设备附表!$F$6:$F$7,MATCH(A25,设备附表!$A$6:$A$7,0)))),"")))))</f>
        <v>0</v>
      </c>
      <c r="H25" s="28">
        <f>IF(L25="排除",0,IF(D25="专项计租",IF(COUNTIFS(特殊计租!$A$6:$A$7,A25)&lt;&gt;1,"",IF(COUNT(INDEX(特殊计租!$J$6:$J$7,MATCH(A25,特殊计租!$A$6:$A$7,0)))&lt;&gt;1,"",INDEX(特殊计租!$J$6:$J$7,MATCH(A25,特殊计租!$A$6:$A$7,0)))),IF(D25="设备附表",IF(COUNTIFS(设备附表!$A$6:$A$7,A25)&lt;&gt;1,"",IF(COUNT(INDEX(设备附表!$G$6:$G$7,MATCH(A25,设备附表!$A$6:$A$7,0)))&lt;&gt;1,"",INDEX(设备附表!$G$6:$G$7,MATCH(A25,设备附表!$A$6:$A$7,0)))),IF(OR(D25="资料核定",D25="租赁资料核定"),IF(COUNTIFS(租赁资料核定!$A$6:$A$7,A25)&lt;&gt;1,"",IF(COUNT(INDEX(租赁资料核定!$N$6:$N$7,MATCH(A25,租赁资料核定!$A$6:$A$7,0)))&lt;&gt;1,"",INDEX(租赁资料核定!$N$6:$N$7,MATCH(A25,租赁资料核定!$A$6:$A$7,0)))),IF(OR(COUNT(F25:G25)&lt;&gt;2,F25&lt;=0),"",ROUND(F25*G25*测算参数!$B$10,2))))))</f>
        <v>0</v>
      </c>
      <c r="I25" s="28" t="str">
        <f>IF(COUNTIFS(计租与历史!$A$6:$A$25,A25)&lt;&gt;1,"",IF(COUNT(INDEX(计租与历史!$D$6:$D$25,MATCH(A25,计租与历史!$A$6:$A$25,0)))&lt;&gt;1,"",INDEX(计租与历史!$D$6:$D$25,MATCH(A25,计租与历史!$A$6:$A$25,0))))</f>
        <v/>
      </c>
      <c r="J25" s="25" t="str">
        <f t="shared" si="0"/>
        <v/>
      </c>
      <c r="K25" s="16" t="str">
        <f>IF(L25="排除",IF(AND(D25="不重复计租",OR(IF(COUNTIFS(计租与历史!$A$6:$A$25,A25)&lt;&gt;1,"",IF(INDEX(计租与历史!$G$6:$G$25,MATCH(A25,计租与历史!$A$6:$A$25,0))="","",INDEX(计租与历史!$G$6:$G$25,MATCH(A25,计租与历史!$A$6:$A$25,0))))="",COUNTIFS(资产清单!$A$6:$A$25,IF(COUNTIFS(计租与历史!$A$6:$A$25,A25)&lt;&gt;1,"",IF(INDEX(计租与历史!$G$6:$G$25,MATCH(A25,计租与历史!$A$6:$A$25,0))="","",INDEX(计租与历史!$G$6:$G$25,MATCH(A25,计租与历史!$A$6:$A$25,0)))))&lt;&gt;1)),"待核主资产","范围排除"),IF(D25="市场比较","不适用",IF(COUNT(H25)&lt;&gt;1,"待补专项或核定资料","独立资料核定")))</f>
        <v>范围排除</v>
      </c>
      <c r="L25" s="16" t="str">
        <f>IF(COUNTIFS(计租与历史!$A$6:$A$25,A25)&lt;&gt;1,"",IF(INDEX(计租与历史!$B$6:$B$25,MATCH(A25,计租与历史!$A$6:$A$25,0))="","",INDEX(计租与历史!$B$6:$B$25,MATCH(A25,计租与历史!$A$6:$A$25,0))))</f>
        <v>排除</v>
      </c>
      <c r="M25" s="16" t="str">
        <f>IF(COUNTIFS(计租与历史!$A$6:$A$25,A25)&lt;&gt;1,"",IF(INDEX(计租与历史!$H$6:$H$25,MATCH(A25,计租与历史!$A$6:$A$25,0))="","",INDEX(计租与历史!$H$6:$H$25,MATCH(A25,计租与历史!$A$6:$A$25,0))))</f>
        <v>模拟委托清单明确不纳入</v>
      </c>
      <c r="N25" s="16" t="s">
        <v>73</v>
      </c>
    </row>
    <row r="26" spans="1:14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25.05" customHeight="1">
      <c r="A27" s="3" t="s">
        <v>93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25.05" customHeight="1">
      <c r="A28" s="3" t="s">
        <v>94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phoneticPr fontId="8" type="noConversion"/>
  <conditionalFormatting sqref="K6:K25">
    <cfRule type="containsText" dxfId="7" priority="1" operator="containsText" text="待"/>
  </conditionalFormatting>
  <pageMargins left="0.39370078740157477" right="0.39370078740157477" top="0.75" bottom="0.75" header="0.3" footer="0.3"/>
  <pageSetup paperSize="8" scale="5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23" customWidth="1"/>
    <col min="2" max="3" width="18" customWidth="1"/>
    <col min="4" max="4" width="23" customWidth="1"/>
    <col min="5" max="5" width="30" customWidth="1"/>
  </cols>
  <sheetData>
    <row r="1" spans="1:5" ht="25.05" customHeight="1">
      <c r="A1" s="1"/>
      <c r="B1" s="1"/>
      <c r="C1" s="1"/>
      <c r="D1" s="1"/>
      <c r="E1" s="1"/>
    </row>
    <row r="2" spans="1:5" ht="34.049999999999997" customHeight="1">
      <c r="A2" s="2" t="s">
        <v>95</v>
      </c>
      <c r="B2" s="2"/>
      <c r="C2" s="2"/>
      <c r="D2" s="2"/>
      <c r="E2" s="2"/>
    </row>
    <row r="3" spans="1:5" ht="25.05" customHeight="1">
      <c r="A3" s="3" t="s">
        <v>57</v>
      </c>
      <c r="B3" s="1"/>
      <c r="C3" s="1"/>
      <c r="D3" s="1"/>
      <c r="E3" s="1"/>
    </row>
    <row r="4" spans="1:5" ht="25.05" customHeight="1">
      <c r="A4" s="1"/>
      <c r="B4" s="1"/>
      <c r="C4" s="1"/>
      <c r="D4" s="1"/>
      <c r="E4" s="1"/>
    </row>
    <row r="5" spans="1:5" ht="44" customHeight="1">
      <c r="A5" s="4" t="s">
        <v>96</v>
      </c>
      <c r="B5" s="4" t="s">
        <v>97</v>
      </c>
      <c r="C5" s="4" t="s">
        <v>98</v>
      </c>
      <c r="D5" s="4" t="s">
        <v>65</v>
      </c>
      <c r="E5" s="4" t="s">
        <v>99</v>
      </c>
    </row>
    <row r="6" spans="1:5" ht="25.05" customHeight="1">
      <c r="A6" s="16" t="s">
        <v>100</v>
      </c>
      <c r="B6" s="19">
        <f>COUNTIFS(测算结果!$C$6:$C$25,A6,测算结果!$L$6:$L$25,"纳入")</f>
        <v>4</v>
      </c>
      <c r="C6" s="19">
        <f>COUNTIFS(测算结果!$C$6:$C$25,A6,测算结果!$L$6:$L$25,"排除")</f>
        <v>0</v>
      </c>
      <c r="D6" s="24">
        <f>IF(COUNT(测算结果!$H$6:$H$25)&lt;&gt;20,"",SUMIFS(测算结果!$H$6:$H$25,测算结果!$C$6:$C$25,A6,测算结果!$L$6:$L$25,"纳入"))</f>
        <v>186788.4</v>
      </c>
      <c r="E6" s="16" t="s">
        <v>101</v>
      </c>
    </row>
    <row r="7" spans="1:5" ht="25.05" customHeight="1">
      <c r="A7" s="16" t="s">
        <v>102</v>
      </c>
      <c r="B7" s="19">
        <f>COUNTIFS(测算结果!$C$6:$C$25,A7,测算结果!$L$6:$L$25,"纳入")</f>
        <v>2</v>
      </c>
      <c r="C7" s="19">
        <f>COUNTIFS(测算结果!$C$6:$C$25,A7,测算结果!$L$6:$L$25,"排除")</f>
        <v>1</v>
      </c>
      <c r="D7" s="24">
        <f>IF(COUNT(测算结果!$H$6:$H$25)&lt;&gt;20,"",SUMIFS(测算结果!$H$6:$H$25,测算结果!$C$6:$C$25,A7,测算结果!$L$6:$L$25,"纳入"))</f>
        <v>100896</v>
      </c>
      <c r="E7" s="16" t="s">
        <v>101</v>
      </c>
    </row>
    <row r="8" spans="1:5" ht="25.05" customHeight="1">
      <c r="A8" s="16" t="s">
        <v>103</v>
      </c>
      <c r="B8" s="19">
        <f>COUNTIFS(测算结果!$C$6:$C$25,A8,测算结果!$L$6:$L$25,"纳入")</f>
        <v>2</v>
      </c>
      <c r="C8" s="19">
        <f>COUNTIFS(测算结果!$C$6:$C$25,A8,测算结果!$L$6:$L$25,"排除")</f>
        <v>1</v>
      </c>
      <c r="D8" s="24">
        <f>IF(COUNT(测算结果!$H$6:$H$25)&lt;&gt;20,"",SUMIFS(测算结果!$H$6:$H$25,测算结果!$C$6:$C$25,A8,测算结果!$L$6:$L$25,"纳入"))</f>
        <v>74040</v>
      </c>
      <c r="E8" s="16" t="s">
        <v>101</v>
      </c>
    </row>
    <row r="9" spans="1:5" ht="25.05" customHeight="1">
      <c r="A9" s="16" t="s">
        <v>104</v>
      </c>
      <c r="B9" s="19">
        <f>COUNTIFS(测算结果!$C$6:$C$25,A9,测算结果!$L$6:$L$25,"纳入")</f>
        <v>1</v>
      </c>
      <c r="C9" s="19">
        <f>COUNTIFS(测算结果!$C$6:$C$25,A9,测算结果!$L$6:$L$25,"排除")</f>
        <v>0</v>
      </c>
      <c r="D9" s="24">
        <f>IF(COUNT(测算结果!$H$6:$H$25)&lt;&gt;20,"",SUMIFS(测算结果!$H$6:$H$25,测算结果!$C$6:$C$25,A9,测算结果!$L$6:$L$25,"纳入"))</f>
        <v>239040</v>
      </c>
      <c r="E9" s="16" t="s">
        <v>101</v>
      </c>
    </row>
    <row r="10" spans="1:5" ht="25.05" customHeight="1">
      <c r="A10" s="16" t="s">
        <v>105</v>
      </c>
      <c r="B10" s="19">
        <f>COUNTIFS(测算结果!$C$6:$C$25,A10,测算结果!$L$6:$L$25,"纳入")</f>
        <v>2</v>
      </c>
      <c r="C10" s="19">
        <f>COUNTIFS(测算结果!$C$6:$C$25,A10,测算结果!$L$6:$L$25,"排除")</f>
        <v>0</v>
      </c>
      <c r="D10" s="24">
        <f>IF(COUNT(测算结果!$H$6:$H$25)&lt;&gt;20,"",SUMIFS(测算结果!$H$6:$H$25,测算结果!$C$6:$C$25,A10,测算结果!$L$6:$L$25,"纳入"))</f>
        <v>45120</v>
      </c>
      <c r="E10" s="16" t="s">
        <v>101</v>
      </c>
    </row>
    <row r="11" spans="1:5" ht="25.05" customHeight="1">
      <c r="A11" s="16" t="s">
        <v>106</v>
      </c>
      <c r="B11" s="19">
        <f>COUNTIFS(测算结果!$C$6:$C$25,A11,测算结果!$L$6:$L$25,"纳入")</f>
        <v>1</v>
      </c>
      <c r="C11" s="19">
        <f>COUNTIFS(测算结果!$C$6:$C$25,A11,测算结果!$L$6:$L$25,"排除")</f>
        <v>0</v>
      </c>
      <c r="D11" s="24">
        <f>IF(COUNT(测算结果!$H$6:$H$25)&lt;&gt;20,"",SUMIFS(测算结果!$H$6:$H$25,测算结果!$C$6:$C$25,A11,测算结果!$L$6:$L$25,"纳入"))</f>
        <v>22200</v>
      </c>
      <c r="E11" s="16" t="s">
        <v>101</v>
      </c>
    </row>
    <row r="12" spans="1:5" ht="25.05" customHeight="1">
      <c r="A12" s="16" t="s">
        <v>107</v>
      </c>
      <c r="B12" s="19">
        <f>COUNTIFS(测算结果!$C$6:$C$25,A12,测算结果!$L$6:$L$25,"纳入")</f>
        <v>1</v>
      </c>
      <c r="C12" s="19">
        <f>COUNTIFS(测算结果!$C$6:$C$25,A12,测算结果!$L$6:$L$25,"排除")</f>
        <v>0</v>
      </c>
      <c r="D12" s="24">
        <f>IF(COUNT(测算结果!$H$6:$H$25)&lt;&gt;20,"",SUMIFS(测算结果!$H$6:$H$25,测算结果!$C$6:$C$25,A12,测算结果!$L$6:$L$25,"纳入"))</f>
        <v>7972.8</v>
      </c>
      <c r="E12" s="16" t="s">
        <v>101</v>
      </c>
    </row>
    <row r="13" spans="1:5" ht="25.05" customHeight="1">
      <c r="A13" s="16" t="s">
        <v>108</v>
      </c>
      <c r="B13" s="19">
        <f>COUNTIFS(测算结果!$C$6:$C$25,A13,测算结果!$L$6:$L$25,"纳入")</f>
        <v>1</v>
      </c>
      <c r="C13" s="19">
        <f>COUNTIFS(测算结果!$C$6:$C$25,A13,测算结果!$L$6:$L$25,"排除")</f>
        <v>0</v>
      </c>
      <c r="D13" s="24">
        <f>IF(COUNT(测算结果!$H$6:$H$25)&lt;&gt;20,"",SUMIFS(测算结果!$H$6:$H$25,测算结果!$C$6:$C$25,A13,测算结果!$L$6:$L$25,"纳入"))</f>
        <v>8628</v>
      </c>
      <c r="E13" s="16" t="s">
        <v>101</v>
      </c>
    </row>
    <row r="14" spans="1:5" ht="25.05" customHeight="1">
      <c r="A14" s="16" t="s">
        <v>109</v>
      </c>
      <c r="B14" s="19">
        <f>COUNTIFS(测算结果!$C$6:$C$25,A14,测算结果!$L$6:$L$25,"纳入")</f>
        <v>1</v>
      </c>
      <c r="C14" s="19">
        <f>COUNTIFS(测算结果!$C$6:$C$25,A14,测算结果!$L$6:$L$25,"排除")</f>
        <v>0</v>
      </c>
      <c r="D14" s="24">
        <f>IF(COUNT(测算结果!$H$6:$H$25)&lt;&gt;20,"",SUMIFS(测算结果!$H$6:$H$25,测算结果!$C$6:$C$25,A14,测算结果!$L$6:$L$25,"纳入"))</f>
        <v>70200</v>
      </c>
      <c r="E14" s="16" t="s">
        <v>101</v>
      </c>
    </row>
    <row r="15" spans="1:5" ht="25.05" customHeight="1">
      <c r="A15" s="16" t="s">
        <v>110</v>
      </c>
      <c r="B15" s="19">
        <f>COUNTIFS(测算结果!$C$6:$C$25,A15,测算结果!$L$6:$L$25,"纳入")</f>
        <v>1</v>
      </c>
      <c r="C15" s="19">
        <f>COUNTIFS(测算结果!$C$6:$C$25,A15,测算结果!$L$6:$L$25,"排除")</f>
        <v>0</v>
      </c>
      <c r="D15" s="24">
        <f>IF(COUNT(测算结果!$H$6:$H$25)&lt;&gt;20,"",SUMIFS(测算结果!$H$6:$H$25,测算结果!$C$6:$C$25,A15,测算结果!$L$6:$L$25,"纳入"))</f>
        <v>4800</v>
      </c>
      <c r="E15" s="16" t="s">
        <v>101</v>
      </c>
    </row>
    <row r="16" spans="1:5" ht="25.05" customHeight="1">
      <c r="A16" s="16" t="s">
        <v>111</v>
      </c>
      <c r="B16" s="19">
        <f>COUNTIFS(测算结果!$C$6:$C$25,A16,测算结果!$L$6:$L$25,"纳入")</f>
        <v>2</v>
      </c>
      <c r="C16" s="19">
        <f>COUNTIFS(测算结果!$C$6:$C$25,A16,测算结果!$L$6:$L$25,"排除")</f>
        <v>0</v>
      </c>
      <c r="D16" s="24">
        <f>IF(COUNT(测算结果!$H$6:$H$25)&lt;&gt;20,"",SUMIFS(测算结果!$H$6:$H$25,测算结果!$C$6:$C$25,A16,测算结果!$L$6:$L$25,"纳入"))</f>
        <v>5400</v>
      </c>
      <c r="E16" s="16" t="s">
        <v>112</v>
      </c>
    </row>
    <row r="17" spans="1:5" ht="25.05" customHeight="1">
      <c r="A17" s="16"/>
      <c r="B17" s="31"/>
      <c r="C17" s="31"/>
      <c r="D17" s="28"/>
      <c r="E17" s="16"/>
    </row>
    <row r="18" spans="1:5" ht="25.05" customHeight="1">
      <c r="A18" s="16" t="s">
        <v>113</v>
      </c>
      <c r="B18" s="31">
        <f>SUM(B6:B16)</f>
        <v>18</v>
      </c>
      <c r="C18" s="31">
        <f>SUM(C6:C16)</f>
        <v>2</v>
      </c>
      <c r="D18" s="28">
        <f>IF(COUNT(D6:D16)&lt;&gt;11,"",SUM(D6:D16))</f>
        <v>765085.20000000007</v>
      </c>
      <c r="E18" s="16"/>
    </row>
    <row r="19" spans="1:5" ht="25.05" customHeight="1">
      <c r="A19" s="1"/>
      <c r="B19" s="1"/>
      <c r="C19" s="1"/>
      <c r="D19" s="1"/>
      <c r="E19" s="1"/>
    </row>
    <row r="20" spans="1:5" ht="25.05" customHeight="1">
      <c r="A20" s="1"/>
      <c r="B20" s="1"/>
      <c r="C20" s="1"/>
      <c r="D20" s="1"/>
      <c r="E20" s="1"/>
    </row>
    <row r="21" spans="1:5" ht="25.05" customHeight="1">
      <c r="A21" s="1"/>
      <c r="B21" s="1"/>
      <c r="C21" s="1"/>
      <c r="D21" s="1"/>
      <c r="E21" s="1"/>
    </row>
    <row r="22" spans="1:5" ht="25.05" customHeight="1">
      <c r="A22" s="1"/>
      <c r="B22" s="1"/>
      <c r="C22" s="1"/>
      <c r="D22" s="1"/>
      <c r="E22" s="1"/>
    </row>
    <row r="23" spans="1:5" ht="25.05" customHeight="1">
      <c r="A23" s="1"/>
      <c r="B23" s="1"/>
      <c r="C23" s="1"/>
      <c r="D23" s="1"/>
      <c r="E23" s="1"/>
    </row>
    <row r="24" spans="1:5" ht="25.05" customHeight="1">
      <c r="A24" s="1"/>
      <c r="B24" s="1"/>
      <c r="C24" s="1"/>
      <c r="D24" s="1"/>
      <c r="E24" s="1"/>
    </row>
    <row r="25" spans="1:5" ht="25.05" customHeight="1">
      <c r="A25" s="1"/>
      <c r="B25" s="1"/>
      <c r="C25" s="1"/>
      <c r="D25" s="1"/>
      <c r="E25" s="1"/>
    </row>
  </sheetData>
  <phoneticPr fontId="8" type="noConversion"/>
  <pageMargins left="0.39370078740157477" right="0.39370078740157477" top="0.75" bottom="0.75" header="0.3" footer="0.3"/>
  <pageSetup paperSize="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1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3" width="22" customWidth="1"/>
    <col min="4" max="5" width="20" customWidth="1"/>
    <col min="6" max="7" width="23" customWidth="1"/>
    <col min="8" max="8" width="24" customWidth="1"/>
  </cols>
  <sheetData>
    <row r="1" spans="1:8" ht="25.05" customHeight="1">
      <c r="A1" s="1"/>
      <c r="B1" s="1"/>
      <c r="C1" s="1"/>
      <c r="D1" s="1"/>
      <c r="E1" s="1"/>
      <c r="F1" s="1"/>
      <c r="G1" s="1"/>
      <c r="H1" s="1"/>
    </row>
    <row r="2" spans="1:8" ht="34.049999999999997" customHeight="1">
      <c r="A2" s="2" t="s">
        <v>114</v>
      </c>
      <c r="B2" s="2"/>
      <c r="C2" s="2"/>
      <c r="D2" s="2"/>
      <c r="E2" s="2"/>
      <c r="F2" s="2"/>
      <c r="G2" s="2"/>
      <c r="H2" s="2"/>
    </row>
    <row r="3" spans="1:8" ht="25.05" customHeight="1">
      <c r="A3" s="3" t="s">
        <v>57</v>
      </c>
      <c r="B3" s="1"/>
      <c r="C3" s="1"/>
      <c r="D3" s="1"/>
      <c r="E3" s="1"/>
      <c r="F3" s="1"/>
      <c r="G3" s="1"/>
      <c r="H3" s="1"/>
    </row>
    <row r="4" spans="1:8" ht="25.05" customHeight="1">
      <c r="A4" s="1"/>
      <c r="B4" s="1"/>
      <c r="C4" s="1"/>
      <c r="D4" s="1"/>
      <c r="E4" s="1"/>
      <c r="F4" s="1"/>
      <c r="G4" s="1"/>
      <c r="H4" s="1"/>
    </row>
    <row r="5" spans="1:8" ht="44" customHeight="1">
      <c r="A5" s="4" t="s">
        <v>58</v>
      </c>
      <c r="B5" s="4" t="s">
        <v>59</v>
      </c>
      <c r="C5" s="4" t="s">
        <v>115</v>
      </c>
      <c r="D5" s="4" t="s">
        <v>116</v>
      </c>
      <c r="E5" s="4" t="s">
        <v>117</v>
      </c>
      <c r="F5" s="4" t="s">
        <v>118</v>
      </c>
      <c r="G5" s="4" t="s">
        <v>119</v>
      </c>
      <c r="H5" s="4" t="s">
        <v>120</v>
      </c>
    </row>
    <row r="6" spans="1:8" ht="25.05" customHeight="1">
      <c r="A6" s="17" t="str">
        <f>测算结果!A6</f>
        <v>RP-001</v>
      </c>
      <c r="B6" s="17" t="str">
        <f>测算结果!B6</f>
        <v>沿街商铺一</v>
      </c>
      <c r="C6" s="17" t="str">
        <f>测算结果!D6</f>
        <v>市场比较</v>
      </c>
      <c r="D6" s="24">
        <f>IF(COUNTIFS(计租与历史!$A$6:$A$25,A6)&lt;&gt;1,"",IF(COUNT(INDEX(计租与历史!$E$6:$E$25,MATCH(A6,计租与历史!$A$6:$A$25,0)))&lt;&gt;1,"",INDEX(计租与历史!$E$6:$E$25,MATCH(A6,计租与历史!$A$6:$A$25,0))))</f>
        <v>34560</v>
      </c>
      <c r="E6" s="24">
        <f>IF(COUNT(测算结果!H6)&lt;&gt;1,"",测算结果!H6)</f>
        <v>39384</v>
      </c>
      <c r="F6" s="17" t="str">
        <f>IF(AND(测算结果!L6="纳入",C6&lt;&gt;"设备附表",COUNT(D6:E6)=2,D6&gt;0),"可比","不纳入可比")</f>
        <v>可比</v>
      </c>
      <c r="G6" s="28">
        <f t="shared" ref="G6:G25" si="0">IF(F6="可比",D6,0)</f>
        <v>34560</v>
      </c>
      <c r="H6" s="28">
        <f t="shared" ref="H6:H25" si="1">IF(F6="可比",E6,0)</f>
        <v>39384</v>
      </c>
    </row>
    <row r="7" spans="1:8" ht="25.05" customHeight="1">
      <c r="A7" s="17" t="str">
        <f>测算结果!A7</f>
        <v>RP-002</v>
      </c>
      <c r="B7" s="17" t="str">
        <f>测算结果!B7</f>
        <v>沿街商铺二</v>
      </c>
      <c r="C7" s="17" t="str">
        <f>测算结果!D7</f>
        <v>市场比较</v>
      </c>
      <c r="D7" s="24">
        <f>IF(COUNTIFS(计租与历史!$A$6:$A$25,A7)&lt;&gt;1,"",IF(COUNT(INDEX(计租与历史!$E$6:$E$25,MATCH(A7,计租与历史!$A$6:$A$25,0)))&lt;&gt;1,"",INDEX(计租与历史!$E$6:$E$25,MATCH(A7,计租与历史!$A$6:$A$25,0))))</f>
        <v>62040</v>
      </c>
      <c r="E7" s="24">
        <f>IF(COUNT(测算结果!H7)&lt;&gt;1,"",测算结果!H7)</f>
        <v>68904</v>
      </c>
      <c r="F7" s="17" t="str">
        <f>IF(AND(测算结果!L7="纳入",C7&lt;&gt;"设备附表",COUNT(D7:E7)=2,D7&gt;0),"可比","不纳入可比")</f>
        <v>可比</v>
      </c>
      <c r="G7" s="28">
        <f t="shared" si="0"/>
        <v>62040</v>
      </c>
      <c r="H7" s="28">
        <f t="shared" si="1"/>
        <v>68904</v>
      </c>
    </row>
    <row r="8" spans="1:8" ht="25.05" customHeight="1">
      <c r="A8" s="17" t="str">
        <f>测算结果!A8</f>
        <v>RP-003</v>
      </c>
      <c r="B8" s="17" t="str">
        <f>测算结果!B8</f>
        <v>二层商铺</v>
      </c>
      <c r="C8" s="17" t="str">
        <f>测算结果!D8</f>
        <v>市场比较</v>
      </c>
      <c r="D8" s="24">
        <f>IF(COUNTIFS(计租与历史!$A$6:$A$25,A8)&lt;&gt;1,"",IF(COUNT(INDEX(计租与历史!$E$6:$E$25,MATCH(A8,计租与历史!$A$6:$A$25,0)))&lt;&gt;1,"",INDEX(计租与历史!$E$6:$E$25,MATCH(A8,计租与历史!$A$6:$A$25,0))))</f>
        <v>47880</v>
      </c>
      <c r="E8" s="24">
        <f>IF(COUNT(测算结果!H8)&lt;&gt;1,"",测算结果!H8)</f>
        <v>50274</v>
      </c>
      <c r="F8" s="17" t="str">
        <f>IF(AND(测算结果!L8="纳入",C8&lt;&gt;"设备附表",COUNT(D8:E8)=2,D8&gt;0),"可比","不纳入可比")</f>
        <v>可比</v>
      </c>
      <c r="G8" s="28">
        <f t="shared" si="0"/>
        <v>47880</v>
      </c>
      <c r="H8" s="28">
        <f t="shared" si="1"/>
        <v>50274</v>
      </c>
    </row>
    <row r="9" spans="1:8" ht="25.05" customHeight="1">
      <c r="A9" s="17" t="str">
        <f>测算结果!A9</f>
        <v>RP-004</v>
      </c>
      <c r="B9" s="17" t="str">
        <f>测算结果!B9</f>
        <v>内部通道商铺</v>
      </c>
      <c r="C9" s="17" t="str">
        <f>测算结果!D9</f>
        <v>市场比较</v>
      </c>
      <c r="D9" s="24">
        <f>IF(COUNTIFS(计租与历史!$A$6:$A$25,A9)&lt;&gt;1,"",IF(COUNT(INDEX(计租与历史!$E$6:$E$25,MATCH(A9,计租与历史!$A$6:$A$25,0)))&lt;&gt;1,"",INDEX(计租与历史!$E$6:$E$25,MATCH(A9,计租与历史!$A$6:$A$25,0))))</f>
        <v>22800</v>
      </c>
      <c r="E9" s="24">
        <f>IF(COUNT(测算结果!H9)&lt;&gt;1,"",测算结果!H9)</f>
        <v>28226.400000000001</v>
      </c>
      <c r="F9" s="17" t="str">
        <f>IF(AND(测算结果!L9="纳入",C9&lt;&gt;"设备附表",COUNT(D9:E9)=2,D9&gt;0),"可比","不纳入可比")</f>
        <v>可比</v>
      </c>
      <c r="G9" s="28">
        <f t="shared" si="0"/>
        <v>22800</v>
      </c>
      <c r="H9" s="28">
        <f t="shared" si="1"/>
        <v>28226.400000000001</v>
      </c>
    </row>
    <row r="10" spans="1:8" ht="25.05" customHeight="1">
      <c r="A10" s="17" t="str">
        <f>测算结果!A10</f>
        <v>RP-005</v>
      </c>
      <c r="B10" s="17" t="str">
        <f>测算结果!B10</f>
        <v>办公用房一</v>
      </c>
      <c r="C10" s="17" t="str">
        <f>测算结果!D10</f>
        <v>市场比较</v>
      </c>
      <c r="D10" s="24">
        <f>IF(COUNTIFS(计租与历史!$A$6:$A$25,A10)&lt;&gt;1,"",IF(COUNT(INDEX(计租与历史!$E$6:$E$25,MATCH(A10,计租与历史!$A$6:$A$25,0)))&lt;&gt;1,"",INDEX(计租与历史!$E$6:$E$25,MATCH(A10,计租与历史!$A$6:$A$25,0))))</f>
        <v>23520</v>
      </c>
      <c r="E10" s="24">
        <f>IF(COUNT(测算结果!H10)&lt;&gt;1,"",测算结果!H10)</f>
        <v>44520</v>
      </c>
      <c r="F10" s="17" t="str">
        <f>IF(AND(测算结果!L10="纳入",C10&lt;&gt;"设备附表",COUNT(D10:E10)=2,D10&gt;0),"可比","不纳入可比")</f>
        <v>可比</v>
      </c>
      <c r="G10" s="28">
        <f t="shared" si="0"/>
        <v>23520</v>
      </c>
      <c r="H10" s="28">
        <f t="shared" si="1"/>
        <v>44520</v>
      </c>
    </row>
    <row r="11" spans="1:8" ht="25.05" customHeight="1">
      <c r="A11" s="17" t="str">
        <f>测算结果!A11</f>
        <v>RP-006</v>
      </c>
      <c r="B11" s="17" t="str">
        <f>测算结果!B11</f>
        <v>办公用房二</v>
      </c>
      <c r="C11" s="17" t="str">
        <f>测算结果!D11</f>
        <v>市场比较</v>
      </c>
      <c r="D11" s="24">
        <f>IF(COUNTIFS(计租与历史!$A$6:$A$25,A11)&lt;&gt;1,"",IF(COUNT(INDEX(计租与历史!$E$6:$E$25,MATCH(A11,计租与历史!$A$6:$A$25,0)))&lt;&gt;1,"",INDEX(计租与历史!$E$6:$E$25,MATCH(A11,计租与历史!$A$6:$A$25,0))))</f>
        <v>69120</v>
      </c>
      <c r="E11" s="24">
        <f>IF(COUNT(测算结果!H11)&lt;&gt;1,"",测算结果!H11)</f>
        <v>56376</v>
      </c>
      <c r="F11" s="17" t="str">
        <f>IF(AND(测算结果!L11="纳入",C11&lt;&gt;"设备附表",COUNT(D11:E11)=2,D11&gt;0),"可比","不纳入可比")</f>
        <v>可比</v>
      </c>
      <c r="G11" s="28">
        <f t="shared" si="0"/>
        <v>69120</v>
      </c>
      <c r="H11" s="28">
        <f t="shared" si="1"/>
        <v>56376</v>
      </c>
    </row>
    <row r="12" spans="1:8" ht="25.05" customHeight="1">
      <c r="A12" s="17" t="str">
        <f>测算结果!A12</f>
        <v>RP-007</v>
      </c>
      <c r="B12" s="17" t="str">
        <f>测算结果!B12</f>
        <v>仓储库房</v>
      </c>
      <c r="C12" s="17" t="str">
        <f>测算结果!D12</f>
        <v>市场比较</v>
      </c>
      <c r="D12" s="24">
        <f>IF(COUNTIFS(计租与历史!$A$6:$A$25,A12)&lt;&gt;1,"",IF(COUNT(INDEX(计租与历史!$E$6:$E$25,MATCH(A12,计租与历史!$A$6:$A$25,0)))&lt;&gt;1,"",INDEX(计租与历史!$E$6:$E$25,MATCH(A12,计租与历史!$A$6:$A$25,0))))</f>
        <v>66000</v>
      </c>
      <c r="E12" s="24">
        <f>IF(COUNT(测算结果!H12)&lt;&gt;1,"",测算结果!H12)</f>
        <v>72600</v>
      </c>
      <c r="F12" s="17" t="str">
        <f>IF(AND(测算结果!L12="纳入",C12&lt;&gt;"设备附表",COUNT(D12:E12)=2,D12&gt;0),"可比","不纳入可比")</f>
        <v>可比</v>
      </c>
      <c r="G12" s="28">
        <f t="shared" si="0"/>
        <v>66000</v>
      </c>
      <c r="H12" s="28">
        <f t="shared" si="1"/>
        <v>72600</v>
      </c>
    </row>
    <row r="13" spans="1:8" ht="25.05" customHeight="1">
      <c r="A13" s="17" t="str">
        <f>测算结果!A13</f>
        <v>RP-008</v>
      </c>
      <c r="B13" s="17" t="str">
        <f>测算结果!B13</f>
        <v>工业厂房</v>
      </c>
      <c r="C13" s="17" t="str">
        <f>测算结果!D13</f>
        <v>市场比较</v>
      </c>
      <c r="D13" s="24">
        <f>IF(COUNTIFS(计租与历史!$A$6:$A$25,A13)&lt;&gt;1,"",IF(COUNT(INDEX(计租与历史!$E$6:$E$25,MATCH(A13,计租与历史!$A$6:$A$25,0)))&lt;&gt;1,"",INDEX(计租与历史!$E$6:$E$25,MATCH(A13,计租与历史!$A$6:$A$25,0))))</f>
        <v>216000</v>
      </c>
      <c r="E13" s="24">
        <f>IF(COUNT(测算结果!H13)&lt;&gt;1,"",测算结果!H13)</f>
        <v>239040</v>
      </c>
      <c r="F13" s="17" t="str">
        <f>IF(AND(测算结果!L13="纳入",C13&lt;&gt;"设备附表",COUNT(D13:E13)=2,D13&gt;0),"可比","不纳入可比")</f>
        <v>可比</v>
      </c>
      <c r="G13" s="28">
        <f t="shared" si="0"/>
        <v>216000</v>
      </c>
      <c r="H13" s="28">
        <f t="shared" si="1"/>
        <v>239040</v>
      </c>
    </row>
    <row r="14" spans="1:8" ht="25.05" customHeight="1">
      <c r="A14" s="17" t="str">
        <f>测算结果!A14</f>
        <v>RP-009</v>
      </c>
      <c r="B14" s="17" t="str">
        <f>测算结果!B14</f>
        <v>露天场地</v>
      </c>
      <c r="C14" s="17" t="str">
        <f>测算结果!D14</f>
        <v>市场比较</v>
      </c>
      <c r="D14" s="24">
        <f>IF(COUNTIFS(计租与历史!$A$6:$A$25,A14)&lt;&gt;1,"",IF(COUNT(INDEX(计租与历史!$E$6:$E$25,MATCH(A14,计租与历史!$A$6:$A$25,0)))&lt;&gt;1,"",INDEX(计租与历史!$E$6:$E$25,MATCH(A14,计租与历史!$A$6:$A$25,0))))</f>
        <v>32400</v>
      </c>
      <c r="E14" s="24">
        <f>IF(COUNT(测算结果!H14)&lt;&gt;1,"",测算结果!H14)</f>
        <v>36720</v>
      </c>
      <c r="F14" s="17" t="str">
        <f>IF(AND(测算结果!L14="纳入",C14&lt;&gt;"设备附表",COUNT(D14:E14)=2,D14&gt;0),"可比","不纳入可比")</f>
        <v>可比</v>
      </c>
      <c r="G14" s="28">
        <f t="shared" si="0"/>
        <v>32400</v>
      </c>
      <c r="H14" s="28">
        <f t="shared" si="1"/>
        <v>36720</v>
      </c>
    </row>
    <row r="15" spans="1:8" ht="25.05" customHeight="1">
      <c r="A15" s="17" t="str">
        <f>测算结果!A15</f>
        <v>RP-010</v>
      </c>
      <c r="B15" s="17" t="str">
        <f>测算结果!B15</f>
        <v>地面停车位组</v>
      </c>
      <c r="C15" s="17" t="str">
        <f>测算结果!D15</f>
        <v>市场比较</v>
      </c>
      <c r="D15" s="24">
        <f>IF(COUNTIFS(计租与历史!$A$6:$A$25,A15)&lt;&gt;1,"",IF(COUNT(INDEX(计租与历史!$E$6:$E$25,MATCH(A15,计租与历史!$A$6:$A$25,0)))&lt;&gt;1,"",INDEX(计租与历史!$E$6:$E$25,MATCH(A15,计租与历史!$A$6:$A$25,0))))</f>
        <v>21000</v>
      </c>
      <c r="E15" s="24">
        <f>IF(COUNT(测算结果!H15)&lt;&gt;1,"",测算结果!H15)</f>
        <v>22200</v>
      </c>
      <c r="F15" s="17" t="str">
        <f>IF(AND(测算结果!L15="纳入",C15&lt;&gt;"设备附表",COUNT(D15:E15)=2,D15&gt;0),"可比","不纳入可比")</f>
        <v>可比</v>
      </c>
      <c r="G15" s="28">
        <f t="shared" si="0"/>
        <v>21000</v>
      </c>
      <c r="H15" s="28">
        <f t="shared" si="1"/>
        <v>22200</v>
      </c>
    </row>
    <row r="16" spans="1:8" ht="25.05" customHeight="1">
      <c r="A16" s="17" t="str">
        <f>测算结果!A16</f>
        <v>RP-011</v>
      </c>
      <c r="B16" s="17" t="str">
        <f>测算结果!B16</f>
        <v>按间计租宿舍</v>
      </c>
      <c r="C16" s="17" t="str">
        <f>测算结果!D16</f>
        <v>市场比较</v>
      </c>
      <c r="D16" s="24">
        <f>IF(COUNTIFS(计租与历史!$A$6:$A$25,A16)&lt;&gt;1,"",IF(COUNT(INDEX(计租与历史!$E$6:$E$25,MATCH(A16,计租与历史!$A$6:$A$25,0)))&lt;&gt;1,"",INDEX(计租与历史!$E$6:$E$25,MATCH(A16,计租与历史!$A$6:$A$25,0))))</f>
        <v>7440</v>
      </c>
      <c r="E16" s="24">
        <f>IF(COUNT(测算结果!H16)&lt;&gt;1,"",测算结果!H16)</f>
        <v>7972.8</v>
      </c>
      <c r="F16" s="17" t="str">
        <f>IF(AND(测算结果!L16="纳入",C16&lt;&gt;"设备附表",COUNT(D16:E16)=2,D16&gt;0),"可比","不纳入可比")</f>
        <v>可比</v>
      </c>
      <c r="G16" s="28">
        <f t="shared" si="0"/>
        <v>7440</v>
      </c>
      <c r="H16" s="28">
        <f t="shared" si="1"/>
        <v>7972.8</v>
      </c>
    </row>
    <row r="17" spans="1:8" ht="25.05" customHeight="1">
      <c r="A17" s="17" t="str">
        <f>测算结果!A17</f>
        <v>RP-012</v>
      </c>
      <c r="B17" s="17" t="str">
        <f>测算结果!B17</f>
        <v>通信基站点位</v>
      </c>
      <c r="C17" s="17" t="str">
        <f>测算结果!D17</f>
        <v>市场比较</v>
      </c>
      <c r="D17" s="24">
        <f>IF(COUNTIFS(计租与历史!$A$6:$A$25,A17)&lt;&gt;1,"",IF(COUNT(INDEX(计租与历史!$E$6:$E$25,MATCH(A17,计租与历史!$A$6:$A$25,0)))&lt;&gt;1,"",INDEX(计租与历史!$E$6:$E$25,MATCH(A17,计租与历史!$A$6:$A$25,0))))</f>
        <v>8160</v>
      </c>
      <c r="E17" s="24">
        <f>IF(COUNT(测算结果!H17)&lt;&gt;1,"",测算结果!H17)</f>
        <v>8628</v>
      </c>
      <c r="F17" s="17" t="str">
        <f>IF(AND(测算结果!L17="纳入",C17&lt;&gt;"设备附表",COUNT(D17:E17)=2,D17&gt;0),"可比","不纳入可比")</f>
        <v>可比</v>
      </c>
      <c r="G17" s="28">
        <f t="shared" si="0"/>
        <v>8160</v>
      </c>
      <c r="H17" s="28">
        <f t="shared" si="1"/>
        <v>8628</v>
      </c>
    </row>
    <row r="18" spans="1:8" ht="25.05" customHeight="1">
      <c r="A18" s="17" t="str">
        <f>测算结果!A18</f>
        <v>RP-013</v>
      </c>
      <c r="B18" s="17" t="str">
        <f>测算结果!B18</f>
        <v>小型附属库房</v>
      </c>
      <c r="C18" s="17" t="str">
        <f>测算结果!D18</f>
        <v>资料核定</v>
      </c>
      <c r="D18" s="24">
        <f>IF(COUNTIFS(计租与历史!$A$6:$A$25,A18)&lt;&gt;1,"",IF(COUNT(INDEX(计租与历史!$E$6:$E$25,MATCH(A18,计租与历史!$A$6:$A$25,0)))&lt;&gt;1,"",INDEX(计租与历史!$E$6:$E$25,MATCH(A18,计租与历史!$A$6:$A$25,0))))</f>
        <v>1200</v>
      </c>
      <c r="E18" s="24">
        <f>IF(COUNT(测算结果!H18)&lt;&gt;1,"",测算结果!H18)</f>
        <v>1440</v>
      </c>
      <c r="F18" s="17" t="str">
        <f>IF(AND(测算结果!L18="纳入",C18&lt;&gt;"设备附表",COUNT(D18:E18)=2,D18&gt;0),"可比","不纳入可比")</f>
        <v>可比</v>
      </c>
      <c r="G18" s="28">
        <f t="shared" si="0"/>
        <v>1200</v>
      </c>
      <c r="H18" s="28">
        <f t="shared" si="1"/>
        <v>1440</v>
      </c>
    </row>
    <row r="19" spans="1:8" ht="25.05" customHeight="1">
      <c r="A19" s="17" t="str">
        <f>测算结果!A19</f>
        <v>RP-014</v>
      </c>
      <c r="B19" s="17" t="str">
        <f>测算结果!B19</f>
        <v>屋顶使用点位</v>
      </c>
      <c r="C19" s="17" t="str">
        <f>测算结果!D19</f>
        <v>租赁资料核定</v>
      </c>
      <c r="D19" s="24">
        <f>IF(COUNTIFS(计租与历史!$A$6:$A$25,A19)&lt;&gt;1,"",IF(COUNT(INDEX(计租与历史!$E$6:$E$25,MATCH(A19,计租与历史!$A$6:$A$25,0)))&lt;&gt;1,"",INDEX(计租与历史!$E$6:$E$25,MATCH(A19,计租与历史!$A$6:$A$25,0))))</f>
        <v>7800</v>
      </c>
      <c r="E19" s="24">
        <f>IF(COUNT(测算结果!H19)&lt;&gt;1,"",测算结果!H19)</f>
        <v>8400</v>
      </c>
      <c r="F19" s="17" t="str">
        <f>IF(AND(测算结果!L19="纳入",C19&lt;&gt;"设备附表",COUNT(D19:E19)=2,D19&gt;0),"可比","不纳入可比")</f>
        <v>可比</v>
      </c>
      <c r="G19" s="28">
        <f t="shared" si="0"/>
        <v>7800</v>
      </c>
      <c r="H19" s="28">
        <f t="shared" si="1"/>
        <v>8400</v>
      </c>
    </row>
    <row r="20" spans="1:8" ht="25.05" customHeight="1">
      <c r="A20" s="17" t="str">
        <f>测算结果!A20</f>
        <v>RP-015</v>
      </c>
      <c r="B20" s="17" t="str">
        <f>测算结果!B20</f>
        <v>活动场馆</v>
      </c>
      <c r="C20" s="17" t="str">
        <f>测算结果!D20</f>
        <v>专项计租</v>
      </c>
      <c r="D20" s="24">
        <f>IF(COUNTIFS(计租与历史!$A$6:$A$25,A20)&lt;&gt;1,"",IF(COUNT(INDEX(计租与历史!$E$6:$E$25,MATCH(A20,计租与历史!$A$6:$A$25,0)))&lt;&gt;1,"",INDEX(计租与历史!$E$6:$E$25,MATCH(A20,计租与历史!$A$6:$A$25,0))))</f>
        <v>64800</v>
      </c>
      <c r="E20" s="24">
        <f>IF(COUNT(测算结果!H20)&lt;&gt;1,"",测算结果!H20)</f>
        <v>70200</v>
      </c>
      <c r="F20" s="17" t="str">
        <f>IF(AND(测算结果!L20="纳入",C20&lt;&gt;"设备附表",COUNT(D20:E20)=2,D20&gt;0),"可比","不纳入可比")</f>
        <v>可比</v>
      </c>
      <c r="G20" s="28">
        <f t="shared" si="0"/>
        <v>64800</v>
      </c>
      <c r="H20" s="28">
        <f t="shared" si="1"/>
        <v>70200</v>
      </c>
    </row>
    <row r="21" spans="1:8" ht="25.05" customHeight="1">
      <c r="A21" s="17" t="str">
        <f>测算结果!A21</f>
        <v>RP-016</v>
      </c>
      <c r="B21" s="17" t="str">
        <f>测算结果!B21</f>
        <v>广告设置点位</v>
      </c>
      <c r="C21" s="17" t="str">
        <f>测算结果!D21</f>
        <v>专项计租</v>
      </c>
      <c r="D21" s="24">
        <f>IF(COUNTIFS(计租与历史!$A$6:$A$25,A21)&lt;&gt;1,"",IF(COUNT(INDEX(计租与历史!$E$6:$E$25,MATCH(A21,计租与历史!$A$6:$A$25,0)))&lt;&gt;1,"",INDEX(计租与历史!$E$6:$E$25,MATCH(A21,计租与历史!$A$6:$A$25,0))))</f>
        <v>4560</v>
      </c>
      <c r="E21" s="24">
        <f>IF(COUNT(测算结果!H21)&lt;&gt;1,"",测算结果!H21)</f>
        <v>4800</v>
      </c>
      <c r="F21" s="17" t="str">
        <f>IF(AND(测算结果!L21="纳入",C21&lt;&gt;"设备附表",COUNT(D21:E21)=2,D21&gt;0),"可比","不纳入可比")</f>
        <v>可比</v>
      </c>
      <c r="G21" s="28">
        <f t="shared" si="0"/>
        <v>4560</v>
      </c>
      <c r="H21" s="28">
        <f t="shared" si="1"/>
        <v>4800</v>
      </c>
    </row>
    <row r="22" spans="1:8" ht="25.05" customHeight="1">
      <c r="A22" s="17" t="str">
        <f>测算结果!A22</f>
        <v>RP-017</v>
      </c>
      <c r="B22" s="17" t="str">
        <f>测算结果!B22</f>
        <v>起重设备甲</v>
      </c>
      <c r="C22" s="17" t="str">
        <f>测算结果!D22</f>
        <v>设备附表</v>
      </c>
      <c r="D22" s="24">
        <f>IF(COUNTIFS(计租与历史!$A$6:$A$25,A22)&lt;&gt;1,"",IF(COUNT(INDEX(计租与历史!$E$6:$E$25,MATCH(A22,计租与历史!$A$6:$A$25,0)))&lt;&gt;1,"",INDEX(计租与历史!$E$6:$E$25,MATCH(A22,计租与历史!$A$6:$A$25,0))))</f>
        <v>3200</v>
      </c>
      <c r="E22" s="24">
        <f>IF(COUNT(测算结果!H22)&lt;&gt;1,"",测算结果!H22)</f>
        <v>3600</v>
      </c>
      <c r="F22" s="17" t="str">
        <f>IF(AND(测算结果!L22="纳入",C22&lt;&gt;"设备附表",COUNT(D22:E22)=2,D22&gt;0),"可比","不纳入可比")</f>
        <v>不纳入可比</v>
      </c>
      <c r="G22" s="28">
        <f t="shared" si="0"/>
        <v>0</v>
      </c>
      <c r="H22" s="28">
        <f t="shared" si="1"/>
        <v>0</v>
      </c>
    </row>
    <row r="23" spans="1:8" ht="25.05" customHeight="1">
      <c r="A23" s="17" t="str">
        <f>测算结果!A23</f>
        <v>RP-018</v>
      </c>
      <c r="B23" s="17" t="str">
        <f>测算结果!B23</f>
        <v>加工设备乙</v>
      </c>
      <c r="C23" s="17" t="str">
        <f>测算结果!D23</f>
        <v>设备附表</v>
      </c>
      <c r="D23" s="24">
        <f>IF(COUNTIFS(计租与历史!$A$6:$A$25,A23)&lt;&gt;1,"",IF(COUNT(INDEX(计租与历史!$E$6:$E$25,MATCH(A23,计租与历史!$A$6:$A$25,0)))&lt;&gt;1,"",INDEX(计租与历史!$E$6:$E$25,MATCH(A23,计租与历史!$A$6:$A$25,0))))</f>
        <v>1600</v>
      </c>
      <c r="E23" s="24">
        <f>IF(COUNT(测算结果!H23)&lt;&gt;1,"",测算结果!H23)</f>
        <v>1800</v>
      </c>
      <c r="F23" s="17" t="str">
        <f>IF(AND(测算结果!L23="纳入",C23&lt;&gt;"设备附表",COUNT(D23:E23)=2,D23&gt;0),"可比","不纳入可比")</f>
        <v>不纳入可比</v>
      </c>
      <c r="G23" s="28">
        <f t="shared" si="0"/>
        <v>0</v>
      </c>
      <c r="H23" s="28">
        <f t="shared" si="1"/>
        <v>0</v>
      </c>
    </row>
    <row r="24" spans="1:8" ht="25.05" customHeight="1">
      <c r="A24" s="17" t="str">
        <f>测算结果!A24</f>
        <v>RP-019</v>
      </c>
      <c r="B24" s="17" t="str">
        <f>测算结果!B24</f>
        <v>库房重复记录</v>
      </c>
      <c r="C24" s="17" t="str">
        <f>测算结果!D24</f>
        <v>不重复计租</v>
      </c>
      <c r="D24" s="24" t="str">
        <f>IF(COUNTIFS(计租与历史!$A$6:$A$25,A24)&lt;&gt;1,"",IF(COUNT(INDEX(计租与历史!$E$6:$E$25,MATCH(A24,计租与历史!$A$6:$A$25,0)))&lt;&gt;1,"",INDEX(计租与历史!$E$6:$E$25,MATCH(A24,计租与历史!$A$6:$A$25,0))))</f>
        <v/>
      </c>
      <c r="E24" s="24">
        <f>IF(COUNT(测算结果!H24)&lt;&gt;1,"",测算结果!H24)</f>
        <v>0</v>
      </c>
      <c r="F24" s="17" t="str">
        <f>IF(AND(测算结果!L24="纳入",C24&lt;&gt;"设备附表",COUNT(D24:E24)=2,D24&gt;0),"可比","不纳入可比")</f>
        <v>不纳入可比</v>
      </c>
      <c r="G24" s="28">
        <f t="shared" si="0"/>
        <v>0</v>
      </c>
      <c r="H24" s="28">
        <f t="shared" si="1"/>
        <v>0</v>
      </c>
    </row>
    <row r="25" spans="1:8" ht="25.05" customHeight="1">
      <c r="A25" s="17" t="str">
        <f>测算结果!A25</f>
        <v>RP-020</v>
      </c>
      <c r="B25" s="17" t="str">
        <f>测算结果!B25</f>
        <v>范围外房屋</v>
      </c>
      <c r="C25" s="17" t="str">
        <f>测算结果!D25</f>
        <v>不纳入</v>
      </c>
      <c r="D25" s="24" t="str">
        <f>IF(COUNTIFS(计租与历史!$A$6:$A$25,A25)&lt;&gt;1,"",IF(COUNT(INDEX(计租与历史!$E$6:$E$25,MATCH(A25,计租与历史!$A$6:$A$25,0)))&lt;&gt;1,"",INDEX(计租与历史!$E$6:$E$25,MATCH(A25,计租与历史!$A$6:$A$25,0))))</f>
        <v/>
      </c>
      <c r="E25" s="24">
        <f>IF(COUNT(测算结果!H25)&lt;&gt;1,"",测算结果!H25)</f>
        <v>0</v>
      </c>
      <c r="F25" s="17" t="str">
        <f>IF(AND(测算结果!L25="纳入",C25&lt;&gt;"设备附表",COUNT(D25:E25)=2,D25&gt;0),"可比","不纳入可比")</f>
        <v>不纳入可比</v>
      </c>
      <c r="G25" s="28">
        <f t="shared" si="0"/>
        <v>0</v>
      </c>
      <c r="H25" s="28">
        <f t="shared" si="1"/>
        <v>0</v>
      </c>
    </row>
    <row r="26" spans="1:8" ht="25.05" customHeight="1">
      <c r="A26" s="1"/>
      <c r="B26" s="1"/>
      <c r="C26" s="1"/>
      <c r="D26" s="1"/>
      <c r="E26" s="1"/>
      <c r="F26" s="1"/>
      <c r="G26" s="27"/>
      <c r="H26" s="27"/>
    </row>
    <row r="27" spans="1:8" ht="25.05" customHeight="1">
      <c r="A27" s="1" t="s">
        <v>121</v>
      </c>
      <c r="B27" s="1"/>
      <c r="C27" s="1"/>
      <c r="D27" s="1"/>
      <c r="E27" s="1"/>
      <c r="F27" s="1"/>
      <c r="G27" s="27">
        <f>SUM(G6:G25)</f>
        <v>689280</v>
      </c>
      <c r="H27" s="27">
        <f>SUM(H6:H25)</f>
        <v>759685.20000000007</v>
      </c>
    </row>
    <row r="28" spans="1:8" ht="25.05" customHeight="1">
      <c r="A28" s="1" t="s">
        <v>122</v>
      </c>
      <c r="B28" s="1"/>
      <c r="C28" s="1"/>
      <c r="D28" s="23">
        <f>IF(G27&lt;=0,"",H27/G27-1)</f>
        <v>0.10214310584958231</v>
      </c>
      <c r="E28" s="1"/>
      <c r="F28" s="1" t="s">
        <v>123</v>
      </c>
      <c r="G28" s="1"/>
      <c r="H28" s="1">
        <f>COUNTIFS(F6:F25,"可比")</f>
        <v>16</v>
      </c>
    </row>
    <row r="29" spans="1:8" ht="25.05" customHeight="1">
      <c r="A29" s="1"/>
      <c r="B29" s="1"/>
      <c r="C29" s="1"/>
      <c r="D29" s="1"/>
      <c r="E29" s="1"/>
      <c r="F29" s="1"/>
      <c r="G29" s="1"/>
      <c r="H29" s="1"/>
    </row>
    <row r="30" spans="1:8" ht="25.05" customHeight="1">
      <c r="A30" s="3" t="s">
        <v>124</v>
      </c>
      <c r="B30" s="1"/>
      <c r="C30" s="1"/>
      <c r="D30" s="1"/>
      <c r="E30" s="1"/>
      <c r="F30" s="1"/>
      <c r="G30" s="1"/>
      <c r="H30" s="1"/>
    </row>
    <row r="31" spans="1:8" ht="25.05" customHeight="1">
      <c r="A31" s="1"/>
      <c r="B31" s="1"/>
      <c r="C31" s="1"/>
      <c r="D31" s="1"/>
      <c r="E31" s="1"/>
      <c r="F31" s="1"/>
      <c r="G31" s="1"/>
      <c r="H31" s="1"/>
    </row>
  </sheetData>
  <phoneticPr fontId="8" type="noConversion"/>
  <pageMargins left="0.39370078740157477" right="0.39370078740157477" top="0.75" bottom="0.75" header="0.3" footer="0.3"/>
  <pageSetup paperSize="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9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2" customWidth="1"/>
    <col min="3" max="3" width="17" customWidth="1"/>
    <col min="4" max="4" width="18" customWidth="1"/>
    <col min="5" max="5" width="23" customWidth="1"/>
    <col min="6" max="6" width="17" customWidth="1"/>
    <col min="7" max="7" width="18" customWidth="1"/>
    <col min="8" max="9" width="65" customWidth="1"/>
    <col min="10" max="10" width="35" customWidth="1"/>
  </cols>
  <sheetData>
    <row r="1" spans="1:10" ht="25.0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4.049999999999997" customHeight="1">
      <c r="A2" s="2" t="s">
        <v>125</v>
      </c>
      <c r="B2" s="2"/>
      <c r="C2" s="2"/>
      <c r="D2" s="2"/>
      <c r="E2" s="2"/>
      <c r="F2" s="2"/>
      <c r="G2" s="2"/>
      <c r="H2" s="2"/>
      <c r="I2" s="2"/>
      <c r="J2" s="2"/>
    </row>
    <row r="3" spans="1:10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</row>
    <row r="4" spans="1:10" ht="25.0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4" customHeight="1">
      <c r="A5" s="4" t="s">
        <v>58</v>
      </c>
      <c r="B5" s="4" t="s">
        <v>59</v>
      </c>
      <c r="C5" s="4" t="s">
        <v>126</v>
      </c>
      <c r="D5" s="4" t="s">
        <v>127</v>
      </c>
      <c r="E5" s="4" t="s">
        <v>128</v>
      </c>
      <c r="F5" s="4" t="s">
        <v>129</v>
      </c>
      <c r="G5" s="4" t="s">
        <v>130</v>
      </c>
      <c r="H5" s="4" t="s">
        <v>131</v>
      </c>
      <c r="I5" s="4" t="s">
        <v>132</v>
      </c>
      <c r="J5" s="4" t="s">
        <v>133</v>
      </c>
    </row>
    <row r="6" spans="1:10" ht="58.05" customHeight="1">
      <c r="A6" s="16" t="s">
        <v>72</v>
      </c>
      <c r="B6" s="17" t="str">
        <f>IF(COUNTIFS(资产清单!$A$6:$A$25,A6)&lt;&gt;1,"",IF(INDEX(资产清单!$D$6:$D$25,MATCH(A6,资产清单!$A$6:$A$25,0))="","",INDEX(资产清单!$D$6:$D$25,MATCH(A6,资产清单!$A$6:$A$25,0))))</f>
        <v>沿街商铺一</v>
      </c>
      <c r="C6" s="17" t="str">
        <f>IF(COUNTIFS(资产清单!$A$6:$A$25,A6)&lt;&gt;1,"",IF(INDEX(资产清单!$F$6:$F$25,MATCH(A6,资产清单!$A$6:$A$25,0))="","",INDEX(资产清单!$F$6:$F$25,MATCH(A6,资产清单!$A$6:$A$25,0))))</f>
        <v>商业</v>
      </c>
      <c r="D6" s="17" t="str">
        <f>IF(ISNUMBER(SEARCH("通信基站",IF(COUNTIFS(资产清单!$A$6:$A$25,A6)&lt;&gt;1,"",IF(INDEX(资产清单!$G$6:$G$25,MATCH(A6,资产清单!$A$6:$A$25,0))="","",INDEX(资产清单!$G$6:$G$25,MATCH(A6,资产清单!$A$6:$A$25,0)))))),"通信基站",IF(ISNUMBER(SEARCH("广告",IF(COUNTIFS(资产清单!$A$6:$A$25,A6)&lt;&gt;1,"",IF(INDEX(资产清单!$G$6:$G$25,MATCH(A6,资产清单!$A$6:$A$25,0))="","",INDEX(资产清单!$G$6:$G$25,MATCH(A6,资产清单!$A$6:$A$25,0)))))),"广告位",IF(ISNUMBER(SEARCH("设备",IF(COUNTIFS(资产清单!$A$6:$A$25,A6)&lt;&gt;1,"",IF(INDEX(资产清单!$G$6:$G$25,MATCH(A6,资产清单!$A$6:$A$25,0))="","",INDEX(资产清单!$G$6:$G$25,MATCH(A6,资产清单!$A$6:$A$25,0)))))),"设备",IF(ISNUMBER(SEARCH("停车位",IF(COUNTIFS(资产清单!$A$6:$A$25,A6)&lt;&gt;1,"",IF(INDEX(资产清单!$G$6:$G$25,MATCH(A6,资产清单!$A$6:$A$25,0))="","",INDEX(资产清单!$G$6:$G$25,MATCH(A6,资产清单!$A$6:$A$25,0)))))),"车位",IF(ISNUMBER(SEARCH("内部通道商铺",IF(COUNTIFS(资产清单!$A$6:$A$25,A6)&lt;&gt;1,"",IF(INDEX(资产清单!$G$6:$G$25,MATCH(A6,资产清单!$A$6:$A$25,0))="","",INDEX(资产清单!$G$6:$G$25,MATCH(A6,资产清单!$A$6:$A$25,0)))))),"商业",IF(ISNUMBER(SEARCH("活动场馆",IF(COUNTIFS(资产清单!$A$6:$A$25,A6)&lt;&gt;1,"",IF(INDEX(资产清单!$G$6:$G$25,MATCH(A6,资产清单!$A$6:$A$25,0))="","",INDEX(资产清单!$G$6:$G$25,MATCH(A6,资产清单!$A$6:$A$25,0)))))),"场馆",IF(ISNUMBER(SEARCH("场地",IF(COUNTIFS(资产清单!$A$6:$A$25,A6)&lt;&gt;1,"",IF(INDEX(资产清单!$G$6:$G$25,MATCH(A6,资产清单!$A$6:$A$25,0))="","",INDEX(资产清单!$G$6:$G$25,MATCH(A6,资产清单!$A$6:$A$25,0)))))),"场地",C6)))))))</f>
        <v>商业</v>
      </c>
      <c r="E6" s="17" t="str">
        <f>IF(COUNTIFS(资产清单!$A$6:$A$25,A6)&lt;&gt;1,"",IF(INDEX(资产清单!$H$6:$H$25,MATCH(A6,资产清单!$A$6:$A$25,0))="","",INDEX(资产清单!$H$6:$H$25,MATCH(A6,资产清单!$A$6:$A$25,0))))</f>
        <v>商业</v>
      </c>
      <c r="F6" s="16" t="str">
        <f t="shared" ref="F6:F25" si="0">IF(E6="","待确认用途",IF(D6=E6,"候选与确认一致","已人工确认差异"))</f>
        <v>候选与确认一致</v>
      </c>
      <c r="G6" s="17" t="str">
        <f>E6&amp;"|"&amp;IF(COUNTIFS(资产清单!$A$6:$A$25,A6)&lt;&gt;1,"",IF(INDEX(资产清单!$J$6:$J$25,MATCH(A6,资产清单!$A$6:$A$25,0))="","",INDEX(资产清单!$J$6:$J$25,MATCH(A6,资产清单!$A$6:$A$25,0))))</f>
        <v>商业|元/㎡/月</v>
      </c>
      <c r="H6" s="17" t="str">
        <f>IF(COUNTIFS(资产清单!$A$6:$A$25,A6)&lt;&gt;1,"",IF(INDEX(资产清单!$E$6:$E$25,MATCH(A6,资产清单!$A$6:$A$25,0))="","",INDEX(资产清单!$E$6:$E$25,MATCH(A6,资产清单!$A$6:$A$25,0))))&amp;"|"&amp;E6&amp;"|"&amp;IF(COUNTIFS(资产清单!$A$6:$A$25,A6)&lt;&gt;1,"",IF(INDEX(资产清单!$I$6:$I$25,MATCH(A6,资产清单!$A$6:$A$25,0))="","",INDEX(资产清单!$I$6:$I$25,MATCH(A6,资产清单!$A$6:$A$25,0))))&amp;"|"&amp;IF(COUNTIFS(资产清单!$A$6:$A$25,A6)&lt;&gt;1,"",IF(INDEX(资产清单!$J$6:$J$25,MATCH(A6,资产清单!$A$6:$A$25,0))="","",INDEX(资产清单!$J$6:$J$25,MATCH(A6,资产清单!$A$6:$A$25,0))))&amp;"|"&amp;IF(IF(COUNTIFS(资产清单!$A$6:$A$25,A6)&lt;&gt;1,"",IF(COUNT(INDEX(资产清单!$M$6:$M$25,MATCH(A6,资产清单!$A$6:$A$25,0)))&lt;&gt;1,"",INDEX(资产清单!$M$6:$M$25,MATCH(A6,资产清单!$A$6:$A$25,0))))="","不适用",IF(COUNTIFS(资产清单!$A$6:$A$25,A6)&lt;&gt;1,"",IF(COUNT(INDEX(资产清单!$M$6:$M$25,MATCH(A6,资产清单!$A$6:$A$25,0)))&lt;&gt;1,"",INDEX(资产清单!$M$6:$M$25,MATCH(A6,资产清单!$A$6:$A$25,0)))))</f>
        <v>模拟商业楼A|商业|临街商铺|元/㎡/月|1</v>
      </c>
      <c r="I6" s="16" t="str">
        <f t="shared" ref="I6:I25" si="1">H6</f>
        <v>模拟商业楼A|商业|临街商铺|元/㎡/月|1</v>
      </c>
      <c r="J6" s="16" t="s">
        <v>134</v>
      </c>
    </row>
    <row r="7" spans="1:10" ht="58.05" customHeight="1">
      <c r="A7" s="16" t="s">
        <v>74</v>
      </c>
      <c r="B7" s="17" t="str">
        <f>IF(COUNTIFS(资产清单!$A$6:$A$25,A7)&lt;&gt;1,"",IF(INDEX(资产清单!$D$6:$D$25,MATCH(A7,资产清单!$A$6:$A$25,0))="","",INDEX(资产清单!$D$6:$D$25,MATCH(A7,资产清单!$A$6:$A$25,0))))</f>
        <v>沿街商铺二</v>
      </c>
      <c r="C7" s="17" t="str">
        <f>IF(COUNTIFS(资产清单!$A$6:$A$25,A7)&lt;&gt;1,"",IF(INDEX(资产清单!$F$6:$F$25,MATCH(A7,资产清单!$A$6:$A$25,0))="","",INDEX(资产清单!$F$6:$F$25,MATCH(A7,资产清单!$A$6:$A$25,0))))</f>
        <v>商业</v>
      </c>
      <c r="D7" s="17" t="str">
        <f>IF(ISNUMBER(SEARCH("通信基站",IF(COUNTIFS(资产清单!$A$6:$A$25,A7)&lt;&gt;1,"",IF(INDEX(资产清单!$G$6:$G$25,MATCH(A7,资产清单!$A$6:$A$25,0))="","",INDEX(资产清单!$G$6:$G$25,MATCH(A7,资产清单!$A$6:$A$25,0)))))),"通信基站",IF(ISNUMBER(SEARCH("广告",IF(COUNTIFS(资产清单!$A$6:$A$25,A7)&lt;&gt;1,"",IF(INDEX(资产清单!$G$6:$G$25,MATCH(A7,资产清单!$A$6:$A$25,0))="","",INDEX(资产清单!$G$6:$G$25,MATCH(A7,资产清单!$A$6:$A$25,0)))))),"广告位",IF(ISNUMBER(SEARCH("设备",IF(COUNTIFS(资产清单!$A$6:$A$25,A7)&lt;&gt;1,"",IF(INDEX(资产清单!$G$6:$G$25,MATCH(A7,资产清单!$A$6:$A$25,0))="","",INDEX(资产清单!$G$6:$G$25,MATCH(A7,资产清单!$A$6:$A$25,0)))))),"设备",IF(ISNUMBER(SEARCH("停车位",IF(COUNTIFS(资产清单!$A$6:$A$25,A7)&lt;&gt;1,"",IF(INDEX(资产清单!$G$6:$G$25,MATCH(A7,资产清单!$A$6:$A$25,0))="","",INDEX(资产清单!$G$6:$G$25,MATCH(A7,资产清单!$A$6:$A$25,0)))))),"车位",IF(ISNUMBER(SEARCH("内部通道商铺",IF(COUNTIFS(资产清单!$A$6:$A$25,A7)&lt;&gt;1,"",IF(INDEX(资产清单!$G$6:$G$25,MATCH(A7,资产清单!$A$6:$A$25,0))="","",INDEX(资产清单!$G$6:$G$25,MATCH(A7,资产清单!$A$6:$A$25,0)))))),"商业",IF(ISNUMBER(SEARCH("活动场馆",IF(COUNTIFS(资产清单!$A$6:$A$25,A7)&lt;&gt;1,"",IF(INDEX(资产清单!$G$6:$G$25,MATCH(A7,资产清单!$A$6:$A$25,0))="","",INDEX(资产清单!$G$6:$G$25,MATCH(A7,资产清单!$A$6:$A$25,0)))))),"场馆",IF(ISNUMBER(SEARCH("场地",IF(COUNTIFS(资产清单!$A$6:$A$25,A7)&lt;&gt;1,"",IF(INDEX(资产清单!$G$6:$G$25,MATCH(A7,资产清单!$A$6:$A$25,0))="","",INDEX(资产清单!$G$6:$G$25,MATCH(A7,资产清单!$A$6:$A$25,0)))))),"场地",C7)))))))</f>
        <v>商业</v>
      </c>
      <c r="E7" s="17" t="str">
        <f>IF(COUNTIFS(资产清单!$A$6:$A$25,A7)&lt;&gt;1,"",IF(INDEX(资产清单!$H$6:$H$25,MATCH(A7,资产清单!$A$6:$A$25,0))="","",INDEX(资产清单!$H$6:$H$25,MATCH(A7,资产清单!$A$6:$A$25,0))))</f>
        <v>商业</v>
      </c>
      <c r="F7" s="16" t="str">
        <f t="shared" si="0"/>
        <v>候选与确认一致</v>
      </c>
      <c r="G7" s="17" t="str">
        <f>E7&amp;"|"&amp;IF(COUNTIFS(资产清单!$A$6:$A$25,A7)&lt;&gt;1,"",IF(INDEX(资产清单!$J$6:$J$25,MATCH(A7,资产清单!$A$6:$A$25,0))="","",INDEX(资产清单!$J$6:$J$25,MATCH(A7,资产清单!$A$6:$A$25,0))))</f>
        <v>商业|元/㎡/月</v>
      </c>
      <c r="H7" s="17" t="str">
        <f>IF(COUNTIFS(资产清单!$A$6:$A$25,A7)&lt;&gt;1,"",IF(INDEX(资产清单!$E$6:$E$25,MATCH(A7,资产清单!$A$6:$A$25,0))="","",INDEX(资产清单!$E$6:$E$25,MATCH(A7,资产清单!$A$6:$A$25,0))))&amp;"|"&amp;E7&amp;"|"&amp;IF(COUNTIFS(资产清单!$A$6:$A$25,A7)&lt;&gt;1,"",IF(INDEX(资产清单!$I$6:$I$25,MATCH(A7,资产清单!$A$6:$A$25,0))="","",INDEX(资产清单!$I$6:$I$25,MATCH(A7,资产清单!$A$6:$A$25,0))))&amp;"|"&amp;IF(COUNTIFS(资产清单!$A$6:$A$25,A7)&lt;&gt;1,"",IF(INDEX(资产清单!$J$6:$J$25,MATCH(A7,资产清单!$A$6:$A$25,0))="","",INDEX(资产清单!$J$6:$J$25,MATCH(A7,资产清单!$A$6:$A$25,0))))&amp;"|"&amp;IF(IF(COUNTIFS(资产清单!$A$6:$A$25,A7)&lt;&gt;1,"",IF(COUNT(INDEX(资产清单!$M$6:$M$25,MATCH(A7,资产清单!$A$6:$A$25,0)))&lt;&gt;1,"",INDEX(资产清单!$M$6:$M$25,MATCH(A7,资产清单!$A$6:$A$25,0))))="","不适用",IF(COUNTIFS(资产清单!$A$6:$A$25,A7)&lt;&gt;1,"",IF(COUNT(INDEX(资产清单!$M$6:$M$25,MATCH(A7,资产清单!$A$6:$A$25,0)))&lt;&gt;1,"",INDEX(资产清单!$M$6:$M$25,MATCH(A7,资产清单!$A$6:$A$25,0)))))</f>
        <v>模拟商业楼A|商业|临街商铺|元/㎡/月|1</v>
      </c>
      <c r="I7" s="16" t="str">
        <f t="shared" si="1"/>
        <v>模拟商业楼A|商业|临街商铺|元/㎡/月|1</v>
      </c>
      <c r="J7" s="16" t="s">
        <v>134</v>
      </c>
    </row>
    <row r="8" spans="1:10" ht="58.05" customHeight="1">
      <c r="A8" s="16" t="s">
        <v>75</v>
      </c>
      <c r="B8" s="17" t="str">
        <f>IF(COUNTIFS(资产清单!$A$6:$A$25,A8)&lt;&gt;1,"",IF(INDEX(资产清单!$D$6:$D$25,MATCH(A8,资产清单!$A$6:$A$25,0))="","",INDEX(资产清单!$D$6:$D$25,MATCH(A8,资产清单!$A$6:$A$25,0))))</f>
        <v>二层商铺</v>
      </c>
      <c r="C8" s="17" t="str">
        <f>IF(COUNTIFS(资产清单!$A$6:$A$25,A8)&lt;&gt;1,"",IF(INDEX(资产清单!$F$6:$F$25,MATCH(A8,资产清单!$A$6:$A$25,0))="","",INDEX(资产清单!$F$6:$F$25,MATCH(A8,资产清单!$A$6:$A$25,0))))</f>
        <v>商业</v>
      </c>
      <c r="D8" s="17" t="str">
        <f>IF(ISNUMBER(SEARCH("通信基站",IF(COUNTIFS(资产清单!$A$6:$A$25,A8)&lt;&gt;1,"",IF(INDEX(资产清单!$G$6:$G$25,MATCH(A8,资产清单!$A$6:$A$25,0))="","",INDEX(资产清单!$G$6:$G$25,MATCH(A8,资产清单!$A$6:$A$25,0)))))),"通信基站",IF(ISNUMBER(SEARCH("广告",IF(COUNTIFS(资产清单!$A$6:$A$25,A8)&lt;&gt;1,"",IF(INDEX(资产清单!$G$6:$G$25,MATCH(A8,资产清单!$A$6:$A$25,0))="","",INDEX(资产清单!$G$6:$G$25,MATCH(A8,资产清单!$A$6:$A$25,0)))))),"广告位",IF(ISNUMBER(SEARCH("设备",IF(COUNTIFS(资产清单!$A$6:$A$25,A8)&lt;&gt;1,"",IF(INDEX(资产清单!$G$6:$G$25,MATCH(A8,资产清单!$A$6:$A$25,0))="","",INDEX(资产清单!$G$6:$G$25,MATCH(A8,资产清单!$A$6:$A$25,0)))))),"设备",IF(ISNUMBER(SEARCH("停车位",IF(COUNTIFS(资产清单!$A$6:$A$25,A8)&lt;&gt;1,"",IF(INDEX(资产清单!$G$6:$G$25,MATCH(A8,资产清单!$A$6:$A$25,0))="","",INDEX(资产清单!$G$6:$G$25,MATCH(A8,资产清单!$A$6:$A$25,0)))))),"车位",IF(ISNUMBER(SEARCH("内部通道商铺",IF(COUNTIFS(资产清单!$A$6:$A$25,A8)&lt;&gt;1,"",IF(INDEX(资产清单!$G$6:$G$25,MATCH(A8,资产清单!$A$6:$A$25,0))="","",INDEX(资产清单!$G$6:$G$25,MATCH(A8,资产清单!$A$6:$A$25,0)))))),"商业",IF(ISNUMBER(SEARCH("活动场馆",IF(COUNTIFS(资产清单!$A$6:$A$25,A8)&lt;&gt;1,"",IF(INDEX(资产清单!$G$6:$G$25,MATCH(A8,资产清单!$A$6:$A$25,0))="","",INDEX(资产清单!$G$6:$G$25,MATCH(A8,资产清单!$A$6:$A$25,0)))))),"场馆",IF(ISNUMBER(SEARCH("场地",IF(COUNTIFS(资产清单!$A$6:$A$25,A8)&lt;&gt;1,"",IF(INDEX(资产清单!$G$6:$G$25,MATCH(A8,资产清单!$A$6:$A$25,0))="","",INDEX(资产清单!$G$6:$G$25,MATCH(A8,资产清单!$A$6:$A$25,0)))))),"场地",C8)))))))</f>
        <v>商业</v>
      </c>
      <c r="E8" s="17" t="str">
        <f>IF(COUNTIFS(资产清单!$A$6:$A$25,A8)&lt;&gt;1,"",IF(INDEX(资产清单!$H$6:$H$25,MATCH(A8,资产清单!$A$6:$A$25,0))="","",INDEX(资产清单!$H$6:$H$25,MATCH(A8,资产清单!$A$6:$A$25,0))))</f>
        <v>商业</v>
      </c>
      <c r="F8" s="16" t="str">
        <f t="shared" si="0"/>
        <v>候选与确认一致</v>
      </c>
      <c r="G8" s="17" t="str">
        <f>E8&amp;"|"&amp;IF(COUNTIFS(资产清单!$A$6:$A$25,A8)&lt;&gt;1,"",IF(INDEX(资产清单!$J$6:$J$25,MATCH(A8,资产清单!$A$6:$A$25,0))="","",INDEX(资产清单!$J$6:$J$25,MATCH(A8,资产清单!$A$6:$A$25,0))))</f>
        <v>商业|元/㎡/月</v>
      </c>
      <c r="H8" s="17" t="str">
        <f>IF(COUNTIFS(资产清单!$A$6:$A$25,A8)&lt;&gt;1,"",IF(INDEX(资产清单!$E$6:$E$25,MATCH(A8,资产清单!$A$6:$A$25,0))="","",INDEX(资产清单!$E$6:$E$25,MATCH(A8,资产清单!$A$6:$A$25,0))))&amp;"|"&amp;E8&amp;"|"&amp;IF(COUNTIFS(资产清单!$A$6:$A$25,A8)&lt;&gt;1,"",IF(INDEX(资产清单!$I$6:$I$25,MATCH(A8,资产清单!$A$6:$A$25,0))="","",INDEX(资产清单!$I$6:$I$25,MATCH(A8,资产清单!$A$6:$A$25,0))))&amp;"|"&amp;IF(COUNTIFS(资产清单!$A$6:$A$25,A8)&lt;&gt;1,"",IF(INDEX(资产清单!$J$6:$J$25,MATCH(A8,资产清单!$A$6:$A$25,0))="","",INDEX(资产清单!$J$6:$J$25,MATCH(A8,资产清单!$A$6:$A$25,0))))&amp;"|"&amp;IF(IF(COUNTIFS(资产清单!$A$6:$A$25,A8)&lt;&gt;1,"",IF(COUNT(INDEX(资产清单!$M$6:$M$25,MATCH(A8,资产清单!$A$6:$A$25,0)))&lt;&gt;1,"",INDEX(资产清单!$M$6:$M$25,MATCH(A8,资产清单!$A$6:$A$25,0))))="","不适用",IF(COUNTIFS(资产清单!$A$6:$A$25,A8)&lt;&gt;1,"",IF(COUNT(INDEX(资产清单!$M$6:$M$25,MATCH(A8,资产清单!$A$6:$A$25,0)))&lt;&gt;1,"",INDEX(资产清单!$M$6:$M$25,MATCH(A8,资产清单!$A$6:$A$25,0)))))</f>
        <v>模拟商业楼A|商业|临街商铺|元/㎡/月|2</v>
      </c>
      <c r="I8" s="16" t="str">
        <f t="shared" si="1"/>
        <v>模拟商业楼A|商业|临街商铺|元/㎡/月|2</v>
      </c>
      <c r="J8" s="16" t="s">
        <v>135</v>
      </c>
    </row>
    <row r="9" spans="1:10" ht="58.05" customHeight="1">
      <c r="A9" s="16" t="s">
        <v>76</v>
      </c>
      <c r="B9" s="17" t="str">
        <f>IF(COUNTIFS(资产清单!$A$6:$A$25,A9)&lt;&gt;1,"",IF(INDEX(资产清单!$D$6:$D$25,MATCH(A9,资产清单!$A$6:$A$25,0))="","",INDEX(资产清单!$D$6:$D$25,MATCH(A9,资产清单!$A$6:$A$25,0))))</f>
        <v>内部通道商铺</v>
      </c>
      <c r="C9" s="17" t="str">
        <f>IF(COUNTIFS(资产清单!$A$6:$A$25,A9)&lt;&gt;1,"",IF(INDEX(资产清单!$F$6:$F$25,MATCH(A9,资产清单!$A$6:$A$25,0))="","",INDEX(资产清单!$F$6:$F$25,MATCH(A9,资产清单!$A$6:$A$25,0))))</f>
        <v>办公</v>
      </c>
      <c r="D9" s="17" t="str">
        <f>IF(ISNUMBER(SEARCH("通信基站",IF(COUNTIFS(资产清单!$A$6:$A$25,A9)&lt;&gt;1,"",IF(INDEX(资产清单!$G$6:$G$25,MATCH(A9,资产清单!$A$6:$A$25,0))="","",INDEX(资产清单!$G$6:$G$25,MATCH(A9,资产清单!$A$6:$A$25,0)))))),"通信基站",IF(ISNUMBER(SEARCH("广告",IF(COUNTIFS(资产清单!$A$6:$A$25,A9)&lt;&gt;1,"",IF(INDEX(资产清单!$G$6:$G$25,MATCH(A9,资产清单!$A$6:$A$25,0))="","",INDEX(资产清单!$G$6:$G$25,MATCH(A9,资产清单!$A$6:$A$25,0)))))),"广告位",IF(ISNUMBER(SEARCH("设备",IF(COUNTIFS(资产清单!$A$6:$A$25,A9)&lt;&gt;1,"",IF(INDEX(资产清单!$G$6:$G$25,MATCH(A9,资产清单!$A$6:$A$25,0))="","",INDEX(资产清单!$G$6:$G$25,MATCH(A9,资产清单!$A$6:$A$25,0)))))),"设备",IF(ISNUMBER(SEARCH("停车位",IF(COUNTIFS(资产清单!$A$6:$A$25,A9)&lt;&gt;1,"",IF(INDEX(资产清单!$G$6:$G$25,MATCH(A9,资产清单!$A$6:$A$25,0))="","",INDEX(资产清单!$G$6:$G$25,MATCH(A9,资产清单!$A$6:$A$25,0)))))),"车位",IF(ISNUMBER(SEARCH("内部通道商铺",IF(COUNTIFS(资产清单!$A$6:$A$25,A9)&lt;&gt;1,"",IF(INDEX(资产清单!$G$6:$G$25,MATCH(A9,资产清单!$A$6:$A$25,0))="","",INDEX(资产清单!$G$6:$G$25,MATCH(A9,资产清单!$A$6:$A$25,0)))))),"商业",IF(ISNUMBER(SEARCH("活动场馆",IF(COUNTIFS(资产清单!$A$6:$A$25,A9)&lt;&gt;1,"",IF(INDEX(资产清单!$G$6:$G$25,MATCH(A9,资产清单!$A$6:$A$25,0))="","",INDEX(资产清单!$G$6:$G$25,MATCH(A9,资产清单!$A$6:$A$25,0)))))),"场馆",IF(ISNUMBER(SEARCH("场地",IF(COUNTIFS(资产清单!$A$6:$A$25,A9)&lt;&gt;1,"",IF(INDEX(资产清单!$G$6:$G$25,MATCH(A9,资产清单!$A$6:$A$25,0))="","",INDEX(资产清单!$G$6:$G$25,MATCH(A9,资产清单!$A$6:$A$25,0)))))),"场地",C9)))))))</f>
        <v>商业</v>
      </c>
      <c r="E9" s="17" t="str">
        <f>IF(COUNTIFS(资产清单!$A$6:$A$25,A9)&lt;&gt;1,"",IF(INDEX(资产清单!$H$6:$H$25,MATCH(A9,资产清单!$A$6:$A$25,0))="","",INDEX(资产清单!$H$6:$H$25,MATCH(A9,资产清单!$A$6:$A$25,0))))</f>
        <v>商业</v>
      </c>
      <c r="F9" s="16" t="str">
        <f t="shared" si="0"/>
        <v>候选与确认一致</v>
      </c>
      <c r="G9" s="17" t="str">
        <f>E9&amp;"|"&amp;IF(COUNTIFS(资产清单!$A$6:$A$25,A9)&lt;&gt;1,"",IF(INDEX(资产清单!$J$6:$J$25,MATCH(A9,资产清单!$A$6:$A$25,0))="","",INDEX(资产清单!$J$6:$J$25,MATCH(A9,资产清单!$A$6:$A$25,0))))</f>
        <v>商业|元/㎡/月</v>
      </c>
      <c r="H9" s="17" t="str">
        <f>IF(COUNTIFS(资产清单!$A$6:$A$25,A9)&lt;&gt;1,"",IF(INDEX(资产清单!$E$6:$E$25,MATCH(A9,资产清单!$A$6:$A$25,0))="","",INDEX(资产清单!$E$6:$E$25,MATCH(A9,资产清单!$A$6:$A$25,0))))&amp;"|"&amp;E9&amp;"|"&amp;IF(COUNTIFS(资产清单!$A$6:$A$25,A9)&lt;&gt;1,"",IF(INDEX(资产清单!$I$6:$I$25,MATCH(A9,资产清单!$A$6:$A$25,0))="","",INDEX(资产清单!$I$6:$I$25,MATCH(A9,资产清单!$A$6:$A$25,0))))&amp;"|"&amp;IF(COUNTIFS(资产清单!$A$6:$A$25,A9)&lt;&gt;1,"",IF(INDEX(资产清单!$J$6:$J$25,MATCH(A9,资产清单!$A$6:$A$25,0))="","",INDEX(资产清单!$J$6:$J$25,MATCH(A9,资产清单!$A$6:$A$25,0))))&amp;"|"&amp;IF(IF(COUNTIFS(资产清单!$A$6:$A$25,A9)&lt;&gt;1,"",IF(COUNT(INDEX(资产清单!$M$6:$M$25,MATCH(A9,资产清单!$A$6:$A$25,0)))&lt;&gt;1,"",INDEX(资产清单!$M$6:$M$25,MATCH(A9,资产清单!$A$6:$A$25,0))))="","不适用",IF(COUNTIFS(资产清单!$A$6:$A$25,A9)&lt;&gt;1,"",IF(COUNT(INDEX(资产清单!$M$6:$M$25,MATCH(A9,资产清单!$A$6:$A$25,0)))&lt;&gt;1,"",INDEX(资产清单!$M$6:$M$25,MATCH(A9,资产清单!$A$6:$A$25,0)))))</f>
        <v>模拟商业楼B|商业|内部通道商铺|元/㎡/月|1</v>
      </c>
      <c r="I9" s="16" t="str">
        <f t="shared" si="1"/>
        <v>模拟商业楼B|商业|内部通道商铺|元/㎡/月|1</v>
      </c>
      <c r="J9" s="16" t="s">
        <v>136</v>
      </c>
    </row>
    <row r="10" spans="1:10" ht="58.05" customHeight="1">
      <c r="A10" s="16" t="s">
        <v>77</v>
      </c>
      <c r="B10" s="17" t="str">
        <f>IF(COUNTIFS(资产清单!$A$6:$A$25,A10)&lt;&gt;1,"",IF(INDEX(资产清单!$D$6:$D$25,MATCH(A10,资产清单!$A$6:$A$25,0))="","",INDEX(资产清单!$D$6:$D$25,MATCH(A10,资产清单!$A$6:$A$25,0))))</f>
        <v>办公用房一</v>
      </c>
      <c r="C10" s="17" t="str">
        <f>IF(COUNTIFS(资产清单!$A$6:$A$25,A10)&lt;&gt;1,"",IF(INDEX(资产清单!$F$6:$F$25,MATCH(A10,资产清单!$A$6:$A$25,0))="","",INDEX(资产清单!$F$6:$F$25,MATCH(A10,资产清单!$A$6:$A$25,0))))</f>
        <v>办公</v>
      </c>
      <c r="D10" s="17" t="str">
        <f>IF(ISNUMBER(SEARCH("通信基站",IF(COUNTIFS(资产清单!$A$6:$A$25,A10)&lt;&gt;1,"",IF(INDEX(资产清单!$G$6:$G$25,MATCH(A10,资产清单!$A$6:$A$25,0))="","",INDEX(资产清单!$G$6:$G$25,MATCH(A10,资产清单!$A$6:$A$25,0)))))),"通信基站",IF(ISNUMBER(SEARCH("广告",IF(COUNTIFS(资产清单!$A$6:$A$25,A10)&lt;&gt;1,"",IF(INDEX(资产清单!$G$6:$G$25,MATCH(A10,资产清单!$A$6:$A$25,0))="","",INDEX(资产清单!$G$6:$G$25,MATCH(A10,资产清单!$A$6:$A$25,0)))))),"广告位",IF(ISNUMBER(SEARCH("设备",IF(COUNTIFS(资产清单!$A$6:$A$25,A10)&lt;&gt;1,"",IF(INDEX(资产清单!$G$6:$G$25,MATCH(A10,资产清单!$A$6:$A$25,0))="","",INDEX(资产清单!$G$6:$G$25,MATCH(A10,资产清单!$A$6:$A$25,0)))))),"设备",IF(ISNUMBER(SEARCH("停车位",IF(COUNTIFS(资产清单!$A$6:$A$25,A10)&lt;&gt;1,"",IF(INDEX(资产清单!$G$6:$G$25,MATCH(A10,资产清单!$A$6:$A$25,0))="","",INDEX(资产清单!$G$6:$G$25,MATCH(A10,资产清单!$A$6:$A$25,0)))))),"车位",IF(ISNUMBER(SEARCH("内部通道商铺",IF(COUNTIFS(资产清单!$A$6:$A$25,A10)&lt;&gt;1,"",IF(INDEX(资产清单!$G$6:$G$25,MATCH(A10,资产清单!$A$6:$A$25,0))="","",INDEX(资产清单!$G$6:$G$25,MATCH(A10,资产清单!$A$6:$A$25,0)))))),"商业",IF(ISNUMBER(SEARCH("活动场馆",IF(COUNTIFS(资产清单!$A$6:$A$25,A10)&lt;&gt;1,"",IF(INDEX(资产清单!$G$6:$G$25,MATCH(A10,资产清单!$A$6:$A$25,0))="","",INDEX(资产清单!$G$6:$G$25,MATCH(A10,资产清单!$A$6:$A$25,0)))))),"场馆",IF(ISNUMBER(SEARCH("场地",IF(COUNTIFS(资产清单!$A$6:$A$25,A10)&lt;&gt;1,"",IF(INDEX(资产清单!$G$6:$G$25,MATCH(A10,资产清单!$A$6:$A$25,0))="","",INDEX(资产清单!$G$6:$G$25,MATCH(A10,资产清单!$A$6:$A$25,0)))))),"场地",C10)))))))</f>
        <v>办公</v>
      </c>
      <c r="E10" s="17" t="str">
        <f>IF(COUNTIFS(资产清单!$A$6:$A$25,A10)&lt;&gt;1,"",IF(INDEX(资产清单!$H$6:$H$25,MATCH(A10,资产清单!$A$6:$A$25,0))="","",INDEX(资产清单!$H$6:$H$25,MATCH(A10,资产清单!$A$6:$A$25,0))))</f>
        <v>办公</v>
      </c>
      <c r="F10" s="16" t="str">
        <f t="shared" si="0"/>
        <v>候选与确认一致</v>
      </c>
      <c r="G10" s="17" t="str">
        <f>E10&amp;"|"&amp;IF(COUNTIFS(资产清单!$A$6:$A$25,A10)&lt;&gt;1,"",IF(INDEX(资产清单!$J$6:$J$25,MATCH(A10,资产清单!$A$6:$A$25,0))="","",INDEX(资产清单!$J$6:$J$25,MATCH(A10,资产清单!$A$6:$A$25,0))))</f>
        <v>办公|元/㎡/月</v>
      </c>
      <c r="H10" s="17" t="str">
        <f>IF(COUNTIFS(资产清单!$A$6:$A$25,A10)&lt;&gt;1,"",IF(INDEX(资产清单!$E$6:$E$25,MATCH(A10,资产清单!$A$6:$A$25,0))="","",INDEX(资产清单!$E$6:$E$25,MATCH(A10,资产清单!$A$6:$A$25,0))))&amp;"|"&amp;E10&amp;"|"&amp;IF(COUNTIFS(资产清单!$A$6:$A$25,A10)&lt;&gt;1,"",IF(INDEX(资产清单!$I$6:$I$25,MATCH(A10,资产清单!$A$6:$A$25,0))="","",INDEX(资产清单!$I$6:$I$25,MATCH(A10,资产清单!$A$6:$A$25,0))))&amp;"|"&amp;IF(COUNTIFS(资产清单!$A$6:$A$25,A10)&lt;&gt;1,"",IF(INDEX(资产清单!$J$6:$J$25,MATCH(A10,资产清单!$A$6:$A$25,0))="","",INDEX(资产清单!$J$6:$J$25,MATCH(A10,资产清单!$A$6:$A$25,0))))&amp;"|"&amp;IF(IF(COUNTIFS(资产清单!$A$6:$A$25,A10)&lt;&gt;1,"",IF(COUNT(INDEX(资产清单!$M$6:$M$25,MATCH(A10,资产清单!$A$6:$A$25,0)))&lt;&gt;1,"",INDEX(资产清单!$M$6:$M$25,MATCH(A10,资产清单!$A$6:$A$25,0))))="","不适用",IF(COUNTIFS(资产清单!$A$6:$A$25,A10)&lt;&gt;1,"",IF(COUNT(INDEX(资产清单!$M$6:$M$25,MATCH(A10,资产清单!$A$6:$A$25,0)))&lt;&gt;1,"",INDEX(资产清单!$M$6:$M$25,MATCH(A10,资产清单!$A$6:$A$25,0)))))</f>
        <v>模拟办公楼C|办公|办公用房|元/㎡/月|3</v>
      </c>
      <c r="I10" s="16" t="str">
        <f t="shared" si="1"/>
        <v>模拟办公楼C|办公|办公用房|元/㎡/月|3</v>
      </c>
      <c r="J10" s="16" t="s">
        <v>137</v>
      </c>
    </row>
    <row r="11" spans="1:10" ht="58.05" customHeight="1">
      <c r="A11" s="16" t="s">
        <v>78</v>
      </c>
      <c r="B11" s="17" t="str">
        <f>IF(COUNTIFS(资产清单!$A$6:$A$25,A11)&lt;&gt;1,"",IF(INDEX(资产清单!$D$6:$D$25,MATCH(A11,资产清单!$A$6:$A$25,0))="","",INDEX(资产清单!$D$6:$D$25,MATCH(A11,资产清单!$A$6:$A$25,0))))</f>
        <v>办公用房二</v>
      </c>
      <c r="C11" s="17" t="str">
        <f>IF(COUNTIFS(资产清单!$A$6:$A$25,A11)&lt;&gt;1,"",IF(INDEX(资产清单!$F$6:$F$25,MATCH(A11,资产清单!$A$6:$A$25,0))="","",INDEX(资产清单!$F$6:$F$25,MATCH(A11,资产清单!$A$6:$A$25,0))))</f>
        <v>办公</v>
      </c>
      <c r="D11" s="17" t="str">
        <f>IF(ISNUMBER(SEARCH("通信基站",IF(COUNTIFS(资产清单!$A$6:$A$25,A11)&lt;&gt;1,"",IF(INDEX(资产清单!$G$6:$G$25,MATCH(A11,资产清单!$A$6:$A$25,0))="","",INDEX(资产清单!$G$6:$G$25,MATCH(A11,资产清单!$A$6:$A$25,0)))))),"通信基站",IF(ISNUMBER(SEARCH("广告",IF(COUNTIFS(资产清单!$A$6:$A$25,A11)&lt;&gt;1,"",IF(INDEX(资产清单!$G$6:$G$25,MATCH(A11,资产清单!$A$6:$A$25,0))="","",INDEX(资产清单!$G$6:$G$25,MATCH(A11,资产清单!$A$6:$A$25,0)))))),"广告位",IF(ISNUMBER(SEARCH("设备",IF(COUNTIFS(资产清单!$A$6:$A$25,A11)&lt;&gt;1,"",IF(INDEX(资产清单!$G$6:$G$25,MATCH(A11,资产清单!$A$6:$A$25,0))="","",INDEX(资产清单!$G$6:$G$25,MATCH(A11,资产清单!$A$6:$A$25,0)))))),"设备",IF(ISNUMBER(SEARCH("停车位",IF(COUNTIFS(资产清单!$A$6:$A$25,A11)&lt;&gt;1,"",IF(INDEX(资产清单!$G$6:$G$25,MATCH(A11,资产清单!$A$6:$A$25,0))="","",INDEX(资产清单!$G$6:$G$25,MATCH(A11,资产清单!$A$6:$A$25,0)))))),"车位",IF(ISNUMBER(SEARCH("内部通道商铺",IF(COUNTIFS(资产清单!$A$6:$A$25,A11)&lt;&gt;1,"",IF(INDEX(资产清单!$G$6:$G$25,MATCH(A11,资产清单!$A$6:$A$25,0))="","",INDEX(资产清单!$G$6:$G$25,MATCH(A11,资产清单!$A$6:$A$25,0)))))),"商业",IF(ISNUMBER(SEARCH("活动场馆",IF(COUNTIFS(资产清单!$A$6:$A$25,A11)&lt;&gt;1,"",IF(INDEX(资产清单!$G$6:$G$25,MATCH(A11,资产清单!$A$6:$A$25,0))="","",INDEX(资产清单!$G$6:$G$25,MATCH(A11,资产清单!$A$6:$A$25,0)))))),"场馆",IF(ISNUMBER(SEARCH("场地",IF(COUNTIFS(资产清单!$A$6:$A$25,A11)&lt;&gt;1,"",IF(INDEX(资产清单!$G$6:$G$25,MATCH(A11,资产清单!$A$6:$A$25,0))="","",INDEX(资产清单!$G$6:$G$25,MATCH(A11,资产清单!$A$6:$A$25,0)))))),"场地",C11)))))))</f>
        <v>办公</v>
      </c>
      <c r="E11" s="17" t="str">
        <f>IF(COUNTIFS(资产清单!$A$6:$A$25,A11)&lt;&gt;1,"",IF(INDEX(资产清单!$H$6:$H$25,MATCH(A11,资产清单!$A$6:$A$25,0))="","",INDEX(资产清单!$H$6:$H$25,MATCH(A11,资产清单!$A$6:$A$25,0))))</f>
        <v>办公</v>
      </c>
      <c r="F11" s="16" t="str">
        <f t="shared" si="0"/>
        <v>候选与确认一致</v>
      </c>
      <c r="G11" s="17" t="str">
        <f>E11&amp;"|"&amp;IF(COUNTIFS(资产清单!$A$6:$A$25,A11)&lt;&gt;1,"",IF(INDEX(资产清单!$J$6:$J$25,MATCH(A11,资产清单!$A$6:$A$25,0))="","",INDEX(资产清单!$J$6:$J$25,MATCH(A11,资产清单!$A$6:$A$25,0))))</f>
        <v>办公|元/㎡/月</v>
      </c>
      <c r="H11" s="17" t="str">
        <f>IF(COUNTIFS(资产清单!$A$6:$A$25,A11)&lt;&gt;1,"",IF(INDEX(资产清单!$E$6:$E$25,MATCH(A11,资产清单!$A$6:$A$25,0))="","",INDEX(资产清单!$E$6:$E$25,MATCH(A11,资产清单!$A$6:$A$25,0))))&amp;"|"&amp;E11&amp;"|"&amp;IF(COUNTIFS(资产清单!$A$6:$A$25,A11)&lt;&gt;1,"",IF(INDEX(资产清单!$I$6:$I$25,MATCH(A11,资产清单!$A$6:$A$25,0))="","",INDEX(资产清单!$I$6:$I$25,MATCH(A11,资产清单!$A$6:$A$25,0))))&amp;"|"&amp;IF(COUNTIFS(资产清单!$A$6:$A$25,A11)&lt;&gt;1,"",IF(INDEX(资产清单!$J$6:$J$25,MATCH(A11,资产清单!$A$6:$A$25,0))="","",INDEX(资产清单!$J$6:$J$25,MATCH(A11,资产清单!$A$6:$A$25,0))))&amp;"|"&amp;IF(IF(COUNTIFS(资产清单!$A$6:$A$25,A11)&lt;&gt;1,"",IF(COUNT(INDEX(资产清单!$M$6:$M$25,MATCH(A11,资产清单!$A$6:$A$25,0)))&lt;&gt;1,"",INDEX(资产清单!$M$6:$M$25,MATCH(A11,资产清单!$A$6:$A$25,0))))="","不适用",IF(COUNTIFS(资产清单!$A$6:$A$25,A11)&lt;&gt;1,"",IF(COUNT(INDEX(资产清单!$M$6:$M$25,MATCH(A11,资产清单!$A$6:$A$25,0)))&lt;&gt;1,"",INDEX(资产清单!$M$6:$M$25,MATCH(A11,资产清单!$A$6:$A$25,0)))))</f>
        <v>模拟办公楼C|办公|办公用房|元/㎡/月|3</v>
      </c>
      <c r="I11" s="16" t="str">
        <f t="shared" si="1"/>
        <v>模拟办公楼C|办公|办公用房|元/㎡/月|3</v>
      </c>
      <c r="J11" s="16" t="s">
        <v>137</v>
      </c>
    </row>
    <row r="12" spans="1:10" ht="58.05" customHeight="1">
      <c r="A12" s="16" t="s">
        <v>79</v>
      </c>
      <c r="B12" s="17" t="str">
        <f>IF(COUNTIFS(资产清单!$A$6:$A$25,A12)&lt;&gt;1,"",IF(INDEX(资产清单!$D$6:$D$25,MATCH(A12,资产清单!$A$6:$A$25,0))="","",INDEX(资产清单!$D$6:$D$25,MATCH(A12,资产清单!$A$6:$A$25,0))))</f>
        <v>仓储库房</v>
      </c>
      <c r="C12" s="17" t="str">
        <f>IF(COUNTIFS(资产清单!$A$6:$A$25,A12)&lt;&gt;1,"",IF(INDEX(资产清单!$F$6:$F$25,MATCH(A12,资产清单!$A$6:$A$25,0))="","",INDEX(资产清单!$F$6:$F$25,MATCH(A12,资产清单!$A$6:$A$25,0))))</f>
        <v>仓储</v>
      </c>
      <c r="D12" s="17" t="str">
        <f>IF(ISNUMBER(SEARCH("通信基站",IF(COUNTIFS(资产清单!$A$6:$A$25,A12)&lt;&gt;1,"",IF(INDEX(资产清单!$G$6:$G$25,MATCH(A12,资产清单!$A$6:$A$25,0))="","",INDEX(资产清单!$G$6:$G$25,MATCH(A12,资产清单!$A$6:$A$25,0)))))),"通信基站",IF(ISNUMBER(SEARCH("广告",IF(COUNTIFS(资产清单!$A$6:$A$25,A12)&lt;&gt;1,"",IF(INDEX(资产清单!$G$6:$G$25,MATCH(A12,资产清单!$A$6:$A$25,0))="","",INDEX(资产清单!$G$6:$G$25,MATCH(A12,资产清单!$A$6:$A$25,0)))))),"广告位",IF(ISNUMBER(SEARCH("设备",IF(COUNTIFS(资产清单!$A$6:$A$25,A12)&lt;&gt;1,"",IF(INDEX(资产清单!$G$6:$G$25,MATCH(A12,资产清单!$A$6:$A$25,0))="","",INDEX(资产清单!$G$6:$G$25,MATCH(A12,资产清单!$A$6:$A$25,0)))))),"设备",IF(ISNUMBER(SEARCH("停车位",IF(COUNTIFS(资产清单!$A$6:$A$25,A12)&lt;&gt;1,"",IF(INDEX(资产清单!$G$6:$G$25,MATCH(A12,资产清单!$A$6:$A$25,0))="","",INDEX(资产清单!$G$6:$G$25,MATCH(A12,资产清单!$A$6:$A$25,0)))))),"车位",IF(ISNUMBER(SEARCH("内部通道商铺",IF(COUNTIFS(资产清单!$A$6:$A$25,A12)&lt;&gt;1,"",IF(INDEX(资产清单!$G$6:$G$25,MATCH(A12,资产清单!$A$6:$A$25,0))="","",INDEX(资产清单!$G$6:$G$25,MATCH(A12,资产清单!$A$6:$A$25,0)))))),"商业",IF(ISNUMBER(SEARCH("活动场馆",IF(COUNTIFS(资产清单!$A$6:$A$25,A12)&lt;&gt;1,"",IF(INDEX(资产清单!$G$6:$G$25,MATCH(A12,资产清单!$A$6:$A$25,0))="","",INDEX(资产清单!$G$6:$G$25,MATCH(A12,资产清单!$A$6:$A$25,0)))))),"场馆",IF(ISNUMBER(SEARCH("场地",IF(COUNTIFS(资产清单!$A$6:$A$25,A12)&lt;&gt;1,"",IF(INDEX(资产清单!$G$6:$G$25,MATCH(A12,资产清单!$A$6:$A$25,0))="","",INDEX(资产清单!$G$6:$G$25,MATCH(A12,资产清单!$A$6:$A$25,0)))))),"场地",C12)))))))</f>
        <v>仓储</v>
      </c>
      <c r="E12" s="17" t="str">
        <f>IF(COUNTIFS(资产清单!$A$6:$A$25,A12)&lt;&gt;1,"",IF(INDEX(资产清单!$H$6:$H$25,MATCH(A12,资产清单!$A$6:$A$25,0))="","",INDEX(资产清单!$H$6:$H$25,MATCH(A12,资产清单!$A$6:$A$25,0))))</f>
        <v>仓储</v>
      </c>
      <c r="F12" s="16" t="str">
        <f t="shared" si="0"/>
        <v>候选与确认一致</v>
      </c>
      <c r="G12" s="17" t="str">
        <f>E12&amp;"|"&amp;IF(COUNTIFS(资产清单!$A$6:$A$25,A12)&lt;&gt;1,"",IF(INDEX(资产清单!$J$6:$J$25,MATCH(A12,资产清单!$A$6:$A$25,0))="","",INDEX(资产清单!$J$6:$J$25,MATCH(A12,资产清单!$A$6:$A$25,0))))</f>
        <v>仓储|元/㎡/月</v>
      </c>
      <c r="H12" s="17" t="str">
        <f>IF(COUNTIFS(资产清单!$A$6:$A$25,A12)&lt;&gt;1,"",IF(INDEX(资产清单!$E$6:$E$25,MATCH(A12,资产清单!$A$6:$A$25,0))="","",INDEX(资产清单!$E$6:$E$25,MATCH(A12,资产清单!$A$6:$A$25,0))))&amp;"|"&amp;E12&amp;"|"&amp;IF(COUNTIFS(资产清单!$A$6:$A$25,A12)&lt;&gt;1,"",IF(INDEX(资产清单!$I$6:$I$25,MATCH(A12,资产清单!$A$6:$A$25,0))="","",INDEX(资产清单!$I$6:$I$25,MATCH(A12,资产清单!$A$6:$A$25,0))))&amp;"|"&amp;IF(COUNTIFS(资产清单!$A$6:$A$25,A12)&lt;&gt;1,"",IF(INDEX(资产清单!$J$6:$J$25,MATCH(A12,资产清单!$A$6:$A$25,0))="","",INDEX(资产清单!$J$6:$J$25,MATCH(A12,资产清单!$A$6:$A$25,0))))&amp;"|"&amp;IF(IF(COUNTIFS(资产清单!$A$6:$A$25,A12)&lt;&gt;1,"",IF(COUNT(INDEX(资产清单!$M$6:$M$25,MATCH(A12,资产清单!$A$6:$A$25,0)))&lt;&gt;1,"",INDEX(资产清单!$M$6:$M$25,MATCH(A12,资产清单!$A$6:$A$25,0))))="","不适用",IF(COUNTIFS(资产清单!$A$6:$A$25,A12)&lt;&gt;1,"",IF(COUNT(INDEX(资产清单!$M$6:$M$25,MATCH(A12,资产清单!$A$6:$A$25,0)))&lt;&gt;1,"",INDEX(资产清单!$M$6:$M$25,MATCH(A12,资产清单!$A$6:$A$25,0)))))</f>
        <v>模拟仓储楼D|仓储|仓储用房|元/㎡/月|1</v>
      </c>
      <c r="I12" s="16" t="str">
        <f t="shared" si="1"/>
        <v>模拟仓储楼D|仓储|仓储用房|元/㎡/月|1</v>
      </c>
      <c r="J12" s="16" t="s">
        <v>138</v>
      </c>
    </row>
    <row r="13" spans="1:10" ht="58.05" customHeight="1">
      <c r="A13" s="16" t="s">
        <v>80</v>
      </c>
      <c r="B13" s="17" t="str">
        <f>IF(COUNTIFS(资产清单!$A$6:$A$25,A13)&lt;&gt;1,"",IF(INDEX(资产清单!$D$6:$D$25,MATCH(A13,资产清单!$A$6:$A$25,0))="","",INDEX(资产清单!$D$6:$D$25,MATCH(A13,资产清单!$A$6:$A$25,0))))</f>
        <v>工业厂房</v>
      </c>
      <c r="C13" s="17" t="str">
        <f>IF(COUNTIFS(资产清单!$A$6:$A$25,A13)&lt;&gt;1,"",IF(INDEX(资产清单!$F$6:$F$25,MATCH(A13,资产清单!$A$6:$A$25,0))="","",INDEX(资产清单!$F$6:$F$25,MATCH(A13,资产清单!$A$6:$A$25,0))))</f>
        <v>厂房</v>
      </c>
      <c r="D13" s="17" t="str">
        <f>IF(ISNUMBER(SEARCH("通信基站",IF(COUNTIFS(资产清单!$A$6:$A$25,A13)&lt;&gt;1,"",IF(INDEX(资产清单!$G$6:$G$25,MATCH(A13,资产清单!$A$6:$A$25,0))="","",INDEX(资产清单!$G$6:$G$25,MATCH(A13,资产清单!$A$6:$A$25,0)))))),"通信基站",IF(ISNUMBER(SEARCH("广告",IF(COUNTIFS(资产清单!$A$6:$A$25,A13)&lt;&gt;1,"",IF(INDEX(资产清单!$G$6:$G$25,MATCH(A13,资产清单!$A$6:$A$25,0))="","",INDEX(资产清单!$G$6:$G$25,MATCH(A13,资产清单!$A$6:$A$25,0)))))),"广告位",IF(ISNUMBER(SEARCH("设备",IF(COUNTIFS(资产清单!$A$6:$A$25,A13)&lt;&gt;1,"",IF(INDEX(资产清单!$G$6:$G$25,MATCH(A13,资产清单!$A$6:$A$25,0))="","",INDEX(资产清单!$G$6:$G$25,MATCH(A13,资产清单!$A$6:$A$25,0)))))),"设备",IF(ISNUMBER(SEARCH("停车位",IF(COUNTIFS(资产清单!$A$6:$A$25,A13)&lt;&gt;1,"",IF(INDEX(资产清单!$G$6:$G$25,MATCH(A13,资产清单!$A$6:$A$25,0))="","",INDEX(资产清单!$G$6:$G$25,MATCH(A13,资产清单!$A$6:$A$25,0)))))),"车位",IF(ISNUMBER(SEARCH("内部通道商铺",IF(COUNTIFS(资产清单!$A$6:$A$25,A13)&lt;&gt;1,"",IF(INDEX(资产清单!$G$6:$G$25,MATCH(A13,资产清单!$A$6:$A$25,0))="","",INDEX(资产清单!$G$6:$G$25,MATCH(A13,资产清单!$A$6:$A$25,0)))))),"商业",IF(ISNUMBER(SEARCH("活动场馆",IF(COUNTIFS(资产清单!$A$6:$A$25,A13)&lt;&gt;1,"",IF(INDEX(资产清单!$G$6:$G$25,MATCH(A13,资产清单!$A$6:$A$25,0))="","",INDEX(资产清单!$G$6:$G$25,MATCH(A13,资产清单!$A$6:$A$25,0)))))),"场馆",IF(ISNUMBER(SEARCH("场地",IF(COUNTIFS(资产清单!$A$6:$A$25,A13)&lt;&gt;1,"",IF(INDEX(资产清单!$G$6:$G$25,MATCH(A13,资产清单!$A$6:$A$25,0))="","",INDEX(资产清单!$G$6:$G$25,MATCH(A13,资产清单!$A$6:$A$25,0)))))),"场地",C13)))))))</f>
        <v>厂房</v>
      </c>
      <c r="E13" s="17" t="str">
        <f>IF(COUNTIFS(资产清单!$A$6:$A$25,A13)&lt;&gt;1,"",IF(INDEX(资产清单!$H$6:$H$25,MATCH(A13,资产清单!$A$6:$A$25,0))="","",INDEX(资产清单!$H$6:$H$25,MATCH(A13,资产清单!$A$6:$A$25,0))))</f>
        <v>厂房</v>
      </c>
      <c r="F13" s="16" t="str">
        <f t="shared" si="0"/>
        <v>候选与确认一致</v>
      </c>
      <c r="G13" s="17" t="str">
        <f>E13&amp;"|"&amp;IF(COUNTIFS(资产清单!$A$6:$A$25,A13)&lt;&gt;1,"",IF(INDEX(资产清单!$J$6:$J$25,MATCH(A13,资产清单!$A$6:$A$25,0))="","",INDEX(资产清单!$J$6:$J$25,MATCH(A13,资产清单!$A$6:$A$25,0))))</f>
        <v>厂房|元/㎡/月</v>
      </c>
      <c r="H13" s="17" t="str">
        <f>IF(COUNTIFS(资产清单!$A$6:$A$25,A13)&lt;&gt;1,"",IF(INDEX(资产清单!$E$6:$E$25,MATCH(A13,资产清单!$A$6:$A$25,0))="","",INDEX(资产清单!$E$6:$E$25,MATCH(A13,资产清单!$A$6:$A$25,0))))&amp;"|"&amp;E13&amp;"|"&amp;IF(COUNTIFS(资产清单!$A$6:$A$25,A13)&lt;&gt;1,"",IF(INDEX(资产清单!$I$6:$I$25,MATCH(A13,资产清单!$A$6:$A$25,0))="","",INDEX(资产清单!$I$6:$I$25,MATCH(A13,资产清单!$A$6:$A$25,0))))&amp;"|"&amp;IF(COUNTIFS(资产清单!$A$6:$A$25,A13)&lt;&gt;1,"",IF(INDEX(资产清单!$J$6:$J$25,MATCH(A13,资产清单!$A$6:$A$25,0))="","",INDEX(资产清单!$J$6:$J$25,MATCH(A13,资产清单!$A$6:$A$25,0))))&amp;"|"&amp;IF(IF(COUNTIFS(资产清单!$A$6:$A$25,A13)&lt;&gt;1,"",IF(COUNT(INDEX(资产清单!$M$6:$M$25,MATCH(A13,资产清单!$A$6:$A$25,0)))&lt;&gt;1,"",INDEX(资产清单!$M$6:$M$25,MATCH(A13,资产清单!$A$6:$A$25,0))))="","不适用",IF(COUNTIFS(资产清单!$A$6:$A$25,A13)&lt;&gt;1,"",IF(COUNT(INDEX(资产清单!$M$6:$M$25,MATCH(A13,资产清单!$A$6:$A$25,0)))&lt;&gt;1,"",INDEX(资产清单!$M$6:$M$25,MATCH(A13,资产清单!$A$6:$A$25,0)))))</f>
        <v>模拟工业园E|厂房|工业厂房|元/㎡/月|1</v>
      </c>
      <c r="I13" s="16" t="str">
        <f t="shared" si="1"/>
        <v>模拟工业园E|厂房|工业厂房|元/㎡/月|1</v>
      </c>
      <c r="J13" s="16" t="s">
        <v>138</v>
      </c>
    </row>
    <row r="14" spans="1:10" ht="58.05" customHeight="1">
      <c r="A14" s="16" t="s">
        <v>81</v>
      </c>
      <c r="B14" s="17" t="str">
        <f>IF(COUNTIFS(资产清单!$A$6:$A$25,A14)&lt;&gt;1,"",IF(INDEX(资产清单!$D$6:$D$25,MATCH(A14,资产清单!$A$6:$A$25,0))="","",INDEX(资产清单!$D$6:$D$25,MATCH(A14,资产清单!$A$6:$A$25,0))))</f>
        <v>露天场地</v>
      </c>
      <c r="C14" s="17" t="str">
        <f>IF(COUNTIFS(资产清单!$A$6:$A$25,A14)&lt;&gt;1,"",IF(INDEX(资产清单!$F$6:$F$25,MATCH(A14,资产清单!$A$6:$A$25,0))="","",INDEX(资产清单!$F$6:$F$25,MATCH(A14,资产清单!$A$6:$A$25,0))))</f>
        <v>场地</v>
      </c>
      <c r="D14" s="17" t="str">
        <f>IF(ISNUMBER(SEARCH("通信基站",IF(COUNTIFS(资产清单!$A$6:$A$25,A14)&lt;&gt;1,"",IF(INDEX(资产清单!$G$6:$G$25,MATCH(A14,资产清单!$A$6:$A$25,0))="","",INDEX(资产清单!$G$6:$G$25,MATCH(A14,资产清单!$A$6:$A$25,0)))))),"通信基站",IF(ISNUMBER(SEARCH("广告",IF(COUNTIFS(资产清单!$A$6:$A$25,A14)&lt;&gt;1,"",IF(INDEX(资产清单!$G$6:$G$25,MATCH(A14,资产清单!$A$6:$A$25,0))="","",INDEX(资产清单!$G$6:$G$25,MATCH(A14,资产清单!$A$6:$A$25,0)))))),"广告位",IF(ISNUMBER(SEARCH("设备",IF(COUNTIFS(资产清单!$A$6:$A$25,A14)&lt;&gt;1,"",IF(INDEX(资产清单!$G$6:$G$25,MATCH(A14,资产清单!$A$6:$A$25,0))="","",INDEX(资产清单!$G$6:$G$25,MATCH(A14,资产清单!$A$6:$A$25,0)))))),"设备",IF(ISNUMBER(SEARCH("停车位",IF(COUNTIFS(资产清单!$A$6:$A$25,A14)&lt;&gt;1,"",IF(INDEX(资产清单!$G$6:$G$25,MATCH(A14,资产清单!$A$6:$A$25,0))="","",INDEX(资产清单!$G$6:$G$25,MATCH(A14,资产清单!$A$6:$A$25,0)))))),"车位",IF(ISNUMBER(SEARCH("内部通道商铺",IF(COUNTIFS(资产清单!$A$6:$A$25,A14)&lt;&gt;1,"",IF(INDEX(资产清单!$G$6:$G$25,MATCH(A14,资产清单!$A$6:$A$25,0))="","",INDEX(资产清单!$G$6:$G$25,MATCH(A14,资产清单!$A$6:$A$25,0)))))),"商业",IF(ISNUMBER(SEARCH("活动场馆",IF(COUNTIFS(资产清单!$A$6:$A$25,A14)&lt;&gt;1,"",IF(INDEX(资产清单!$G$6:$G$25,MATCH(A14,资产清单!$A$6:$A$25,0))="","",INDEX(资产清单!$G$6:$G$25,MATCH(A14,资产清单!$A$6:$A$25,0)))))),"场馆",IF(ISNUMBER(SEARCH("场地",IF(COUNTIFS(资产清单!$A$6:$A$25,A14)&lt;&gt;1,"",IF(INDEX(资产清单!$G$6:$G$25,MATCH(A14,资产清单!$A$6:$A$25,0))="","",INDEX(资产清单!$G$6:$G$25,MATCH(A14,资产清单!$A$6:$A$25,0)))))),"场地",C14)))))))</f>
        <v>场地</v>
      </c>
      <c r="E14" s="17" t="str">
        <f>IF(COUNTIFS(资产清单!$A$6:$A$25,A14)&lt;&gt;1,"",IF(INDEX(资产清单!$H$6:$H$25,MATCH(A14,资产清单!$A$6:$A$25,0))="","",INDEX(资产清单!$H$6:$H$25,MATCH(A14,资产清单!$A$6:$A$25,0))))</f>
        <v>场地</v>
      </c>
      <c r="F14" s="16" t="str">
        <f t="shared" si="0"/>
        <v>候选与确认一致</v>
      </c>
      <c r="G14" s="17" t="str">
        <f>E14&amp;"|"&amp;IF(COUNTIFS(资产清单!$A$6:$A$25,A14)&lt;&gt;1,"",IF(INDEX(资产清单!$J$6:$J$25,MATCH(A14,资产清单!$A$6:$A$25,0))="","",INDEX(资产清单!$J$6:$J$25,MATCH(A14,资产清单!$A$6:$A$25,0))))</f>
        <v>场地|元/㎡/月</v>
      </c>
      <c r="H14" s="17" t="str">
        <f>IF(COUNTIFS(资产清单!$A$6:$A$25,A14)&lt;&gt;1,"",IF(INDEX(资产清单!$E$6:$E$25,MATCH(A14,资产清单!$A$6:$A$25,0))="","",INDEX(资产清单!$E$6:$E$25,MATCH(A14,资产清单!$A$6:$A$25,0))))&amp;"|"&amp;E14&amp;"|"&amp;IF(COUNTIFS(资产清单!$A$6:$A$25,A14)&lt;&gt;1,"",IF(INDEX(资产清单!$I$6:$I$25,MATCH(A14,资产清单!$A$6:$A$25,0))="","",INDEX(资产清单!$I$6:$I$25,MATCH(A14,资产清单!$A$6:$A$25,0))))&amp;"|"&amp;IF(COUNTIFS(资产清单!$A$6:$A$25,A14)&lt;&gt;1,"",IF(INDEX(资产清单!$J$6:$J$25,MATCH(A14,资产清单!$A$6:$A$25,0))="","",INDEX(资产清单!$J$6:$J$25,MATCH(A14,资产清单!$A$6:$A$25,0))))&amp;"|"&amp;IF(IF(COUNTIFS(资产清单!$A$6:$A$25,A14)&lt;&gt;1,"",IF(COUNT(INDEX(资产清单!$M$6:$M$25,MATCH(A14,资产清单!$A$6:$A$25,0)))&lt;&gt;1,"",INDEX(资产清单!$M$6:$M$25,MATCH(A14,资产清单!$A$6:$A$25,0))))="","不适用",IF(COUNTIFS(资产清单!$A$6:$A$25,A14)&lt;&gt;1,"",IF(COUNT(INDEX(资产清单!$M$6:$M$25,MATCH(A14,资产清单!$A$6:$A$25,0)))&lt;&gt;1,"",INDEX(资产清单!$M$6:$M$25,MATCH(A14,资产清单!$A$6:$A$25,0)))))</f>
        <v>模拟场地F|场地|露天场地|元/㎡/月|不适用</v>
      </c>
      <c r="I14" s="16" t="str">
        <f t="shared" si="1"/>
        <v>模拟场地F|场地|露天场地|元/㎡/月|不适用</v>
      </c>
      <c r="J14" s="16" t="s">
        <v>138</v>
      </c>
    </row>
    <row r="15" spans="1:10" ht="58.05" customHeight="1">
      <c r="A15" s="16" t="s">
        <v>82</v>
      </c>
      <c r="B15" s="17" t="str">
        <f>IF(COUNTIFS(资产清单!$A$6:$A$25,A15)&lt;&gt;1,"",IF(INDEX(资产清单!$D$6:$D$25,MATCH(A15,资产清单!$A$6:$A$25,0))="","",INDEX(资产清单!$D$6:$D$25,MATCH(A15,资产清单!$A$6:$A$25,0))))</f>
        <v>地面停车位组</v>
      </c>
      <c r="C15" s="17" t="str">
        <f>IF(COUNTIFS(资产清单!$A$6:$A$25,A15)&lt;&gt;1,"",IF(INDEX(资产清单!$F$6:$F$25,MATCH(A15,资产清单!$A$6:$A$25,0))="","",INDEX(资产清单!$F$6:$F$25,MATCH(A15,资产清单!$A$6:$A$25,0))))</f>
        <v>停车设施</v>
      </c>
      <c r="D15" s="17" t="str">
        <f>IF(ISNUMBER(SEARCH("通信基站",IF(COUNTIFS(资产清单!$A$6:$A$25,A15)&lt;&gt;1,"",IF(INDEX(资产清单!$G$6:$G$25,MATCH(A15,资产清单!$A$6:$A$25,0))="","",INDEX(资产清单!$G$6:$G$25,MATCH(A15,资产清单!$A$6:$A$25,0)))))),"通信基站",IF(ISNUMBER(SEARCH("广告",IF(COUNTIFS(资产清单!$A$6:$A$25,A15)&lt;&gt;1,"",IF(INDEX(资产清单!$G$6:$G$25,MATCH(A15,资产清单!$A$6:$A$25,0))="","",INDEX(资产清单!$G$6:$G$25,MATCH(A15,资产清单!$A$6:$A$25,0)))))),"广告位",IF(ISNUMBER(SEARCH("设备",IF(COUNTIFS(资产清单!$A$6:$A$25,A15)&lt;&gt;1,"",IF(INDEX(资产清单!$G$6:$G$25,MATCH(A15,资产清单!$A$6:$A$25,0))="","",INDEX(资产清单!$G$6:$G$25,MATCH(A15,资产清单!$A$6:$A$25,0)))))),"设备",IF(ISNUMBER(SEARCH("停车位",IF(COUNTIFS(资产清单!$A$6:$A$25,A15)&lt;&gt;1,"",IF(INDEX(资产清单!$G$6:$G$25,MATCH(A15,资产清单!$A$6:$A$25,0))="","",INDEX(资产清单!$G$6:$G$25,MATCH(A15,资产清单!$A$6:$A$25,0)))))),"车位",IF(ISNUMBER(SEARCH("内部通道商铺",IF(COUNTIFS(资产清单!$A$6:$A$25,A15)&lt;&gt;1,"",IF(INDEX(资产清单!$G$6:$G$25,MATCH(A15,资产清单!$A$6:$A$25,0))="","",INDEX(资产清单!$G$6:$G$25,MATCH(A15,资产清单!$A$6:$A$25,0)))))),"商业",IF(ISNUMBER(SEARCH("活动场馆",IF(COUNTIFS(资产清单!$A$6:$A$25,A15)&lt;&gt;1,"",IF(INDEX(资产清单!$G$6:$G$25,MATCH(A15,资产清单!$A$6:$A$25,0))="","",INDEX(资产清单!$G$6:$G$25,MATCH(A15,资产清单!$A$6:$A$25,0)))))),"场馆",IF(ISNUMBER(SEARCH("场地",IF(COUNTIFS(资产清单!$A$6:$A$25,A15)&lt;&gt;1,"",IF(INDEX(资产清单!$G$6:$G$25,MATCH(A15,资产清单!$A$6:$A$25,0))="","",INDEX(资产清单!$G$6:$G$25,MATCH(A15,资产清单!$A$6:$A$25,0)))))),"场地",C15)))))))</f>
        <v>车位</v>
      </c>
      <c r="E15" s="17" t="str">
        <f>IF(COUNTIFS(资产清单!$A$6:$A$25,A15)&lt;&gt;1,"",IF(INDEX(资产清单!$H$6:$H$25,MATCH(A15,资产清单!$A$6:$A$25,0))="","",INDEX(资产清单!$H$6:$H$25,MATCH(A15,资产清单!$A$6:$A$25,0))))</f>
        <v>车位</v>
      </c>
      <c r="F15" s="16" t="str">
        <f t="shared" si="0"/>
        <v>候选与确认一致</v>
      </c>
      <c r="G15" s="17" t="str">
        <f>E15&amp;"|"&amp;IF(COUNTIFS(资产清单!$A$6:$A$25,A15)&lt;&gt;1,"",IF(INDEX(资产清单!$J$6:$J$25,MATCH(A15,资产清单!$A$6:$A$25,0))="","",INDEX(资产清单!$J$6:$J$25,MATCH(A15,资产清单!$A$6:$A$25,0))))</f>
        <v>车位|元/个/月</v>
      </c>
      <c r="H15" s="17" t="str">
        <f>IF(COUNTIFS(资产清单!$A$6:$A$25,A15)&lt;&gt;1,"",IF(INDEX(资产清单!$E$6:$E$25,MATCH(A15,资产清单!$A$6:$A$25,0))="","",INDEX(资产清单!$E$6:$E$25,MATCH(A15,资产清单!$A$6:$A$25,0))))&amp;"|"&amp;E15&amp;"|"&amp;IF(COUNTIFS(资产清单!$A$6:$A$25,A15)&lt;&gt;1,"",IF(INDEX(资产清单!$I$6:$I$25,MATCH(A15,资产清单!$A$6:$A$25,0))="","",INDEX(资产清单!$I$6:$I$25,MATCH(A15,资产清单!$A$6:$A$25,0))))&amp;"|"&amp;IF(COUNTIFS(资产清单!$A$6:$A$25,A15)&lt;&gt;1,"",IF(INDEX(资产清单!$J$6:$J$25,MATCH(A15,资产清单!$A$6:$A$25,0))="","",INDEX(资产清单!$J$6:$J$25,MATCH(A15,资产清单!$A$6:$A$25,0))))&amp;"|"&amp;IF(IF(COUNTIFS(资产清单!$A$6:$A$25,A15)&lt;&gt;1,"",IF(COUNT(INDEX(资产清单!$M$6:$M$25,MATCH(A15,资产清单!$A$6:$A$25,0)))&lt;&gt;1,"",INDEX(资产清单!$M$6:$M$25,MATCH(A15,资产清单!$A$6:$A$25,0))))="","不适用",IF(COUNTIFS(资产清单!$A$6:$A$25,A15)&lt;&gt;1,"",IF(COUNT(INDEX(资产清单!$M$6:$M$25,MATCH(A15,资产清单!$A$6:$A$25,0)))&lt;&gt;1,"",INDEX(资产清单!$M$6:$M$25,MATCH(A15,资产清单!$A$6:$A$25,0)))))</f>
        <v>模拟停车区G|车位|停车位|元/个/月|不适用</v>
      </c>
      <c r="I15" s="16" t="str">
        <f t="shared" si="1"/>
        <v>模拟停车区G|车位|停车位|元/个/月|不适用</v>
      </c>
      <c r="J15" s="16" t="s">
        <v>138</v>
      </c>
    </row>
    <row r="16" spans="1:10" ht="58.05" customHeight="1">
      <c r="A16" s="16" t="s">
        <v>83</v>
      </c>
      <c r="B16" s="17" t="str">
        <f>IF(COUNTIFS(资产清单!$A$6:$A$25,A16)&lt;&gt;1,"",IF(INDEX(资产清单!$D$6:$D$25,MATCH(A16,资产清单!$A$6:$A$25,0))="","",INDEX(资产清单!$D$6:$D$25,MATCH(A16,资产清单!$A$6:$A$25,0))))</f>
        <v>按间计租宿舍</v>
      </c>
      <c r="C16" s="17" t="str">
        <f>IF(COUNTIFS(资产清单!$A$6:$A$25,A16)&lt;&gt;1,"",IF(INDEX(资产清单!$F$6:$F$25,MATCH(A16,资产清单!$A$6:$A$25,0))="","",INDEX(资产清单!$F$6:$F$25,MATCH(A16,资产清单!$A$6:$A$25,0))))</f>
        <v>住宅</v>
      </c>
      <c r="D16" s="17" t="str">
        <f>IF(ISNUMBER(SEARCH("通信基站",IF(COUNTIFS(资产清单!$A$6:$A$25,A16)&lt;&gt;1,"",IF(INDEX(资产清单!$G$6:$G$25,MATCH(A16,资产清单!$A$6:$A$25,0))="","",INDEX(资产清单!$G$6:$G$25,MATCH(A16,资产清单!$A$6:$A$25,0)))))),"通信基站",IF(ISNUMBER(SEARCH("广告",IF(COUNTIFS(资产清单!$A$6:$A$25,A16)&lt;&gt;1,"",IF(INDEX(资产清单!$G$6:$G$25,MATCH(A16,资产清单!$A$6:$A$25,0))="","",INDEX(资产清单!$G$6:$G$25,MATCH(A16,资产清单!$A$6:$A$25,0)))))),"广告位",IF(ISNUMBER(SEARCH("设备",IF(COUNTIFS(资产清单!$A$6:$A$25,A16)&lt;&gt;1,"",IF(INDEX(资产清单!$G$6:$G$25,MATCH(A16,资产清单!$A$6:$A$25,0))="","",INDEX(资产清单!$G$6:$G$25,MATCH(A16,资产清单!$A$6:$A$25,0)))))),"设备",IF(ISNUMBER(SEARCH("停车位",IF(COUNTIFS(资产清单!$A$6:$A$25,A16)&lt;&gt;1,"",IF(INDEX(资产清单!$G$6:$G$25,MATCH(A16,资产清单!$A$6:$A$25,0))="","",INDEX(资产清单!$G$6:$G$25,MATCH(A16,资产清单!$A$6:$A$25,0)))))),"车位",IF(ISNUMBER(SEARCH("内部通道商铺",IF(COUNTIFS(资产清单!$A$6:$A$25,A16)&lt;&gt;1,"",IF(INDEX(资产清单!$G$6:$G$25,MATCH(A16,资产清单!$A$6:$A$25,0))="","",INDEX(资产清单!$G$6:$G$25,MATCH(A16,资产清单!$A$6:$A$25,0)))))),"商业",IF(ISNUMBER(SEARCH("活动场馆",IF(COUNTIFS(资产清单!$A$6:$A$25,A16)&lt;&gt;1,"",IF(INDEX(资产清单!$G$6:$G$25,MATCH(A16,资产清单!$A$6:$A$25,0))="","",INDEX(资产清单!$G$6:$G$25,MATCH(A16,资产清单!$A$6:$A$25,0)))))),"场馆",IF(ISNUMBER(SEARCH("场地",IF(COUNTIFS(资产清单!$A$6:$A$25,A16)&lt;&gt;1,"",IF(INDEX(资产清单!$G$6:$G$25,MATCH(A16,资产清单!$A$6:$A$25,0))="","",INDEX(资产清单!$G$6:$G$25,MATCH(A16,资产清单!$A$6:$A$25,0)))))),"场地",C16)))))))</f>
        <v>住宅</v>
      </c>
      <c r="E16" s="17" t="str">
        <f>IF(COUNTIFS(资产清单!$A$6:$A$25,A16)&lt;&gt;1,"",IF(INDEX(资产清单!$H$6:$H$25,MATCH(A16,资产清单!$A$6:$A$25,0))="","",INDEX(资产清单!$H$6:$H$25,MATCH(A16,资产清单!$A$6:$A$25,0))))</f>
        <v>住宅</v>
      </c>
      <c r="F16" s="16" t="str">
        <f t="shared" si="0"/>
        <v>候选与确认一致</v>
      </c>
      <c r="G16" s="17" t="str">
        <f>E16&amp;"|"&amp;IF(COUNTIFS(资产清单!$A$6:$A$25,A16)&lt;&gt;1,"",IF(INDEX(资产清单!$J$6:$J$25,MATCH(A16,资产清单!$A$6:$A$25,0))="","",INDEX(资产清单!$J$6:$J$25,MATCH(A16,资产清单!$A$6:$A$25,0))))</f>
        <v>住宅|元/间/月</v>
      </c>
      <c r="H16" s="17" t="str">
        <f>IF(COUNTIFS(资产清单!$A$6:$A$25,A16)&lt;&gt;1,"",IF(INDEX(资产清单!$E$6:$E$25,MATCH(A16,资产清单!$A$6:$A$25,0))="","",INDEX(资产清单!$E$6:$E$25,MATCH(A16,资产清单!$A$6:$A$25,0))))&amp;"|"&amp;E16&amp;"|"&amp;IF(COUNTIFS(资产清单!$A$6:$A$25,A16)&lt;&gt;1,"",IF(INDEX(资产清单!$I$6:$I$25,MATCH(A16,资产清单!$A$6:$A$25,0))="","",INDEX(资产清单!$I$6:$I$25,MATCH(A16,资产清单!$A$6:$A$25,0))))&amp;"|"&amp;IF(COUNTIFS(资产清单!$A$6:$A$25,A16)&lt;&gt;1,"",IF(INDEX(资产清单!$J$6:$J$25,MATCH(A16,资产清单!$A$6:$A$25,0))="","",INDEX(资产清单!$J$6:$J$25,MATCH(A16,资产清单!$A$6:$A$25,0))))&amp;"|"&amp;IF(IF(COUNTIFS(资产清单!$A$6:$A$25,A16)&lt;&gt;1,"",IF(COUNT(INDEX(资产清单!$M$6:$M$25,MATCH(A16,资产清单!$A$6:$A$25,0)))&lt;&gt;1,"",INDEX(资产清单!$M$6:$M$25,MATCH(A16,资产清单!$A$6:$A$25,0))))="","不适用",IF(COUNTIFS(资产清单!$A$6:$A$25,A16)&lt;&gt;1,"",IF(COUNT(INDEX(资产清单!$M$6:$M$25,MATCH(A16,资产清单!$A$6:$A$25,0)))&lt;&gt;1,"",INDEX(资产清单!$M$6:$M$25,MATCH(A16,资产清单!$A$6:$A$25,0)))))</f>
        <v>模拟宿舍楼H|住宅|宿舍|元/间/月|2</v>
      </c>
      <c r="I16" s="16" t="str">
        <f t="shared" si="1"/>
        <v>模拟宿舍楼H|住宅|宿舍|元/间/月|2</v>
      </c>
      <c r="J16" s="16" t="s">
        <v>138</v>
      </c>
    </row>
    <row r="17" spans="1:10" ht="58.05" customHeight="1">
      <c r="A17" s="16" t="s">
        <v>84</v>
      </c>
      <c r="B17" s="17" t="str">
        <f>IF(COUNTIFS(资产清单!$A$6:$A$25,A17)&lt;&gt;1,"",IF(INDEX(资产清单!$D$6:$D$25,MATCH(A17,资产清单!$A$6:$A$25,0))="","",INDEX(资产清单!$D$6:$D$25,MATCH(A17,资产清单!$A$6:$A$25,0))))</f>
        <v>通信基站点位</v>
      </c>
      <c r="C17" s="17" t="str">
        <f>IF(COUNTIFS(资产清单!$A$6:$A$25,A17)&lt;&gt;1,"",IF(INDEX(资产清单!$F$6:$F$25,MATCH(A17,资产清单!$A$6:$A$25,0))="","",INDEX(资产清单!$F$6:$F$25,MATCH(A17,资产清单!$A$6:$A$25,0))))</f>
        <v>办公</v>
      </c>
      <c r="D17" s="17" t="str">
        <f>IF(ISNUMBER(SEARCH("通信基站",IF(COUNTIFS(资产清单!$A$6:$A$25,A17)&lt;&gt;1,"",IF(INDEX(资产清单!$G$6:$G$25,MATCH(A17,资产清单!$A$6:$A$25,0))="","",INDEX(资产清单!$G$6:$G$25,MATCH(A17,资产清单!$A$6:$A$25,0)))))),"通信基站",IF(ISNUMBER(SEARCH("广告",IF(COUNTIFS(资产清单!$A$6:$A$25,A17)&lt;&gt;1,"",IF(INDEX(资产清单!$G$6:$G$25,MATCH(A17,资产清单!$A$6:$A$25,0))="","",INDEX(资产清单!$G$6:$G$25,MATCH(A17,资产清单!$A$6:$A$25,0)))))),"广告位",IF(ISNUMBER(SEARCH("设备",IF(COUNTIFS(资产清单!$A$6:$A$25,A17)&lt;&gt;1,"",IF(INDEX(资产清单!$G$6:$G$25,MATCH(A17,资产清单!$A$6:$A$25,0))="","",INDEX(资产清单!$G$6:$G$25,MATCH(A17,资产清单!$A$6:$A$25,0)))))),"设备",IF(ISNUMBER(SEARCH("停车位",IF(COUNTIFS(资产清单!$A$6:$A$25,A17)&lt;&gt;1,"",IF(INDEX(资产清单!$G$6:$G$25,MATCH(A17,资产清单!$A$6:$A$25,0))="","",INDEX(资产清单!$G$6:$G$25,MATCH(A17,资产清单!$A$6:$A$25,0)))))),"车位",IF(ISNUMBER(SEARCH("内部通道商铺",IF(COUNTIFS(资产清单!$A$6:$A$25,A17)&lt;&gt;1,"",IF(INDEX(资产清单!$G$6:$G$25,MATCH(A17,资产清单!$A$6:$A$25,0))="","",INDEX(资产清单!$G$6:$G$25,MATCH(A17,资产清单!$A$6:$A$25,0)))))),"商业",IF(ISNUMBER(SEARCH("活动场馆",IF(COUNTIFS(资产清单!$A$6:$A$25,A17)&lt;&gt;1,"",IF(INDEX(资产清单!$G$6:$G$25,MATCH(A17,资产清单!$A$6:$A$25,0))="","",INDEX(资产清单!$G$6:$G$25,MATCH(A17,资产清单!$A$6:$A$25,0)))))),"场馆",IF(ISNUMBER(SEARCH("场地",IF(COUNTIFS(资产清单!$A$6:$A$25,A17)&lt;&gt;1,"",IF(INDEX(资产清单!$G$6:$G$25,MATCH(A17,资产清单!$A$6:$A$25,0))="","",INDEX(资产清单!$G$6:$G$25,MATCH(A17,资产清单!$A$6:$A$25,0)))))),"场地",C17)))))))</f>
        <v>通信基站</v>
      </c>
      <c r="E17" s="17" t="str">
        <f>IF(COUNTIFS(资产清单!$A$6:$A$25,A17)&lt;&gt;1,"",IF(INDEX(资产清单!$H$6:$H$25,MATCH(A17,资产清单!$A$6:$A$25,0))="","",INDEX(资产清单!$H$6:$H$25,MATCH(A17,资产清单!$A$6:$A$25,0))))</f>
        <v>通信基站</v>
      </c>
      <c r="F17" s="16" t="str">
        <f t="shared" si="0"/>
        <v>候选与确认一致</v>
      </c>
      <c r="G17" s="17" t="str">
        <f>E17&amp;"|"&amp;IF(COUNTIFS(资产清单!$A$6:$A$25,A17)&lt;&gt;1,"",IF(INDEX(资产清单!$J$6:$J$25,MATCH(A17,资产清单!$A$6:$A$25,0))="","",INDEX(资产清单!$J$6:$J$25,MATCH(A17,资产清单!$A$6:$A$25,0))))</f>
        <v>通信基站|元/处/月</v>
      </c>
      <c r="H17" s="17" t="str">
        <f>IF(COUNTIFS(资产清单!$A$6:$A$25,A17)&lt;&gt;1,"",IF(INDEX(资产清单!$E$6:$E$25,MATCH(A17,资产清单!$A$6:$A$25,0))="","",INDEX(资产清单!$E$6:$E$25,MATCH(A17,资产清单!$A$6:$A$25,0))))&amp;"|"&amp;E17&amp;"|"&amp;IF(COUNTIFS(资产清单!$A$6:$A$25,A17)&lt;&gt;1,"",IF(INDEX(资产清单!$I$6:$I$25,MATCH(A17,资产清单!$A$6:$A$25,0))="","",INDEX(资产清单!$I$6:$I$25,MATCH(A17,资产清单!$A$6:$A$25,0))))&amp;"|"&amp;IF(COUNTIFS(资产清单!$A$6:$A$25,A17)&lt;&gt;1,"",IF(INDEX(资产清单!$J$6:$J$25,MATCH(A17,资产清单!$A$6:$A$25,0))="","",INDEX(资产清单!$J$6:$J$25,MATCH(A17,资产清单!$A$6:$A$25,0))))&amp;"|"&amp;IF(IF(COUNTIFS(资产清单!$A$6:$A$25,A17)&lt;&gt;1,"",IF(COUNT(INDEX(资产清单!$M$6:$M$25,MATCH(A17,资产清单!$A$6:$A$25,0)))&lt;&gt;1,"",INDEX(资产清单!$M$6:$M$25,MATCH(A17,资产清单!$A$6:$A$25,0))))="","不适用",IF(COUNTIFS(资产清单!$A$6:$A$25,A17)&lt;&gt;1,"",IF(COUNT(INDEX(资产清单!$M$6:$M$25,MATCH(A17,资产清单!$A$6:$A$25,0)))&lt;&gt;1,"",INDEX(资产清单!$M$6:$M$25,MATCH(A17,资产清单!$A$6:$A$25,0)))))</f>
        <v>模拟屋顶I|通信基站|屋顶点位|元/处/月|不适用</v>
      </c>
      <c r="I17" s="16" t="str">
        <f t="shared" si="1"/>
        <v>模拟屋顶I|通信基站|屋顶点位|元/处/月|不适用</v>
      </c>
      <c r="J17" s="16" t="s">
        <v>138</v>
      </c>
    </row>
    <row r="18" spans="1:10" ht="58.05" customHeight="1">
      <c r="A18" s="16" t="s">
        <v>85</v>
      </c>
      <c r="B18" s="17" t="str">
        <f>IF(COUNTIFS(资产清单!$A$6:$A$25,A18)&lt;&gt;1,"",IF(INDEX(资产清单!$D$6:$D$25,MATCH(A18,资产清单!$A$6:$A$25,0))="","",INDEX(资产清单!$D$6:$D$25,MATCH(A18,资产清单!$A$6:$A$25,0))))</f>
        <v>小型附属库房</v>
      </c>
      <c r="C18" s="17" t="str">
        <f>IF(COUNTIFS(资产清单!$A$6:$A$25,A18)&lt;&gt;1,"",IF(INDEX(资产清单!$F$6:$F$25,MATCH(A18,资产清单!$A$6:$A$25,0))="","",INDEX(资产清单!$F$6:$F$25,MATCH(A18,资产清单!$A$6:$A$25,0))))</f>
        <v>仓储</v>
      </c>
      <c r="D18" s="17" t="str">
        <f>IF(ISNUMBER(SEARCH("通信基站",IF(COUNTIFS(资产清单!$A$6:$A$25,A18)&lt;&gt;1,"",IF(INDEX(资产清单!$G$6:$G$25,MATCH(A18,资产清单!$A$6:$A$25,0))="","",INDEX(资产清单!$G$6:$G$25,MATCH(A18,资产清单!$A$6:$A$25,0)))))),"通信基站",IF(ISNUMBER(SEARCH("广告",IF(COUNTIFS(资产清单!$A$6:$A$25,A18)&lt;&gt;1,"",IF(INDEX(资产清单!$G$6:$G$25,MATCH(A18,资产清单!$A$6:$A$25,0))="","",INDEX(资产清单!$G$6:$G$25,MATCH(A18,资产清单!$A$6:$A$25,0)))))),"广告位",IF(ISNUMBER(SEARCH("设备",IF(COUNTIFS(资产清单!$A$6:$A$25,A18)&lt;&gt;1,"",IF(INDEX(资产清单!$G$6:$G$25,MATCH(A18,资产清单!$A$6:$A$25,0))="","",INDEX(资产清单!$G$6:$G$25,MATCH(A18,资产清单!$A$6:$A$25,0)))))),"设备",IF(ISNUMBER(SEARCH("停车位",IF(COUNTIFS(资产清单!$A$6:$A$25,A18)&lt;&gt;1,"",IF(INDEX(资产清单!$G$6:$G$25,MATCH(A18,资产清单!$A$6:$A$25,0))="","",INDEX(资产清单!$G$6:$G$25,MATCH(A18,资产清单!$A$6:$A$25,0)))))),"车位",IF(ISNUMBER(SEARCH("内部通道商铺",IF(COUNTIFS(资产清单!$A$6:$A$25,A18)&lt;&gt;1,"",IF(INDEX(资产清单!$G$6:$G$25,MATCH(A18,资产清单!$A$6:$A$25,0))="","",INDEX(资产清单!$G$6:$G$25,MATCH(A18,资产清单!$A$6:$A$25,0)))))),"商业",IF(ISNUMBER(SEARCH("活动场馆",IF(COUNTIFS(资产清单!$A$6:$A$25,A18)&lt;&gt;1,"",IF(INDEX(资产清单!$G$6:$G$25,MATCH(A18,资产清单!$A$6:$A$25,0))="","",INDEX(资产清单!$G$6:$G$25,MATCH(A18,资产清单!$A$6:$A$25,0)))))),"场馆",IF(ISNUMBER(SEARCH("场地",IF(COUNTIFS(资产清单!$A$6:$A$25,A18)&lt;&gt;1,"",IF(INDEX(资产清单!$G$6:$G$25,MATCH(A18,资产清单!$A$6:$A$25,0))="","",INDEX(资产清单!$G$6:$G$25,MATCH(A18,资产清单!$A$6:$A$25,0)))))),"场地",C18)))))))</f>
        <v>仓储</v>
      </c>
      <c r="E18" s="17" t="str">
        <f>IF(COUNTIFS(资产清单!$A$6:$A$25,A18)&lt;&gt;1,"",IF(INDEX(资产清单!$H$6:$H$25,MATCH(A18,资产清单!$A$6:$A$25,0))="","",INDEX(资产清单!$H$6:$H$25,MATCH(A18,资产清单!$A$6:$A$25,0))))</f>
        <v>仓储</v>
      </c>
      <c r="F18" s="16" t="str">
        <f t="shared" si="0"/>
        <v>候选与确认一致</v>
      </c>
      <c r="G18" s="17" t="str">
        <f>E18&amp;"|"&amp;IF(COUNTIFS(资产清单!$A$6:$A$25,A18)&lt;&gt;1,"",IF(INDEX(资产清单!$J$6:$J$25,MATCH(A18,资产清单!$A$6:$A$25,0))="","",INDEX(资产清单!$J$6:$J$25,MATCH(A18,资产清单!$A$6:$A$25,0))))</f>
        <v>仓储|元/㎡/月</v>
      </c>
      <c r="H18" s="17" t="str">
        <f>IF(COUNTIFS(资产清单!$A$6:$A$25,A18)&lt;&gt;1,"",IF(INDEX(资产清单!$E$6:$E$25,MATCH(A18,资产清单!$A$6:$A$25,0))="","",INDEX(资产清单!$E$6:$E$25,MATCH(A18,资产清单!$A$6:$A$25,0))))&amp;"|"&amp;E18&amp;"|"&amp;IF(COUNTIFS(资产清单!$A$6:$A$25,A18)&lt;&gt;1,"",IF(INDEX(资产清单!$I$6:$I$25,MATCH(A18,资产清单!$A$6:$A$25,0))="","",INDEX(资产清单!$I$6:$I$25,MATCH(A18,资产清单!$A$6:$A$25,0))))&amp;"|"&amp;IF(COUNTIFS(资产清单!$A$6:$A$25,A18)&lt;&gt;1,"",IF(INDEX(资产清单!$J$6:$J$25,MATCH(A18,资产清单!$A$6:$A$25,0))="","",INDEX(资产清单!$J$6:$J$25,MATCH(A18,资产清单!$A$6:$A$25,0))))&amp;"|"&amp;IF(IF(COUNTIFS(资产清单!$A$6:$A$25,A18)&lt;&gt;1,"",IF(COUNT(INDEX(资产清单!$M$6:$M$25,MATCH(A18,资产清单!$A$6:$A$25,0)))&lt;&gt;1,"",INDEX(资产清单!$M$6:$M$25,MATCH(A18,资产清单!$A$6:$A$25,0))))="","不适用",IF(COUNTIFS(资产清单!$A$6:$A$25,A18)&lt;&gt;1,"",IF(COUNT(INDEX(资产清单!$M$6:$M$25,MATCH(A18,资产清单!$A$6:$A$25,0)))&lt;&gt;1,"",INDEX(资产清单!$M$6:$M$25,MATCH(A18,资产清单!$A$6:$A$25,0)))))</f>
        <v>模拟附属楼J|仓储|仓储用房|元/㎡/月|1</v>
      </c>
      <c r="I18" s="16" t="str">
        <f t="shared" si="1"/>
        <v>模拟附属楼J|仓储|仓储用房|元/㎡/月|1</v>
      </c>
      <c r="J18" s="16" t="s">
        <v>138</v>
      </c>
    </row>
    <row r="19" spans="1:10" ht="58.05" customHeight="1">
      <c r="A19" s="16" t="s">
        <v>86</v>
      </c>
      <c r="B19" s="17" t="str">
        <f>IF(COUNTIFS(资产清单!$A$6:$A$25,A19)&lt;&gt;1,"",IF(INDEX(资产清单!$D$6:$D$25,MATCH(A19,资产清单!$A$6:$A$25,0))="","",INDEX(资产清单!$D$6:$D$25,MATCH(A19,资产清单!$A$6:$A$25,0))))</f>
        <v>屋顶使用点位</v>
      </c>
      <c r="C19" s="17" t="str">
        <f>IF(COUNTIFS(资产清单!$A$6:$A$25,A19)&lt;&gt;1,"",IF(INDEX(资产清单!$F$6:$F$25,MATCH(A19,资产清单!$A$6:$A$25,0))="","",INDEX(资产清单!$F$6:$F$25,MATCH(A19,资产清单!$A$6:$A$25,0))))</f>
        <v>场地</v>
      </c>
      <c r="D19" s="17" t="str">
        <f>IF(ISNUMBER(SEARCH("通信基站",IF(COUNTIFS(资产清单!$A$6:$A$25,A19)&lt;&gt;1,"",IF(INDEX(资产清单!$G$6:$G$25,MATCH(A19,资产清单!$A$6:$A$25,0))="","",INDEX(资产清单!$G$6:$G$25,MATCH(A19,资产清单!$A$6:$A$25,0)))))),"通信基站",IF(ISNUMBER(SEARCH("广告",IF(COUNTIFS(资产清单!$A$6:$A$25,A19)&lt;&gt;1,"",IF(INDEX(资产清单!$G$6:$G$25,MATCH(A19,资产清单!$A$6:$A$25,0))="","",INDEX(资产清单!$G$6:$G$25,MATCH(A19,资产清单!$A$6:$A$25,0)))))),"广告位",IF(ISNUMBER(SEARCH("设备",IF(COUNTIFS(资产清单!$A$6:$A$25,A19)&lt;&gt;1,"",IF(INDEX(资产清单!$G$6:$G$25,MATCH(A19,资产清单!$A$6:$A$25,0))="","",INDEX(资产清单!$G$6:$G$25,MATCH(A19,资产清单!$A$6:$A$25,0)))))),"设备",IF(ISNUMBER(SEARCH("停车位",IF(COUNTIFS(资产清单!$A$6:$A$25,A19)&lt;&gt;1,"",IF(INDEX(资产清单!$G$6:$G$25,MATCH(A19,资产清单!$A$6:$A$25,0))="","",INDEX(资产清单!$G$6:$G$25,MATCH(A19,资产清单!$A$6:$A$25,0)))))),"车位",IF(ISNUMBER(SEARCH("内部通道商铺",IF(COUNTIFS(资产清单!$A$6:$A$25,A19)&lt;&gt;1,"",IF(INDEX(资产清单!$G$6:$G$25,MATCH(A19,资产清单!$A$6:$A$25,0))="","",INDEX(资产清单!$G$6:$G$25,MATCH(A19,资产清单!$A$6:$A$25,0)))))),"商业",IF(ISNUMBER(SEARCH("活动场馆",IF(COUNTIFS(资产清单!$A$6:$A$25,A19)&lt;&gt;1,"",IF(INDEX(资产清单!$G$6:$G$25,MATCH(A19,资产清单!$A$6:$A$25,0))="","",INDEX(资产清单!$G$6:$G$25,MATCH(A19,资产清单!$A$6:$A$25,0)))))),"场馆",IF(ISNUMBER(SEARCH("场地",IF(COUNTIFS(资产清单!$A$6:$A$25,A19)&lt;&gt;1,"",IF(INDEX(资产清单!$G$6:$G$25,MATCH(A19,资产清单!$A$6:$A$25,0))="","",INDEX(资产清单!$G$6:$G$25,MATCH(A19,资产清单!$A$6:$A$25,0)))))),"场地",C19)))))))</f>
        <v>场地</v>
      </c>
      <c r="E19" s="17" t="str">
        <f>IF(COUNTIFS(资产清单!$A$6:$A$25,A19)&lt;&gt;1,"",IF(INDEX(资产清单!$H$6:$H$25,MATCH(A19,资产清单!$A$6:$A$25,0))="","",INDEX(资产清单!$H$6:$H$25,MATCH(A19,资产清单!$A$6:$A$25,0))))</f>
        <v>场地</v>
      </c>
      <c r="F19" s="16" t="str">
        <f t="shared" si="0"/>
        <v>候选与确认一致</v>
      </c>
      <c r="G19" s="17" t="str">
        <f>E19&amp;"|"&amp;IF(COUNTIFS(资产清单!$A$6:$A$25,A19)&lt;&gt;1,"",IF(INDEX(资产清单!$J$6:$J$25,MATCH(A19,资产清单!$A$6:$A$25,0))="","",INDEX(资产清单!$J$6:$J$25,MATCH(A19,资产清单!$A$6:$A$25,0))))</f>
        <v>场地|元/处/月</v>
      </c>
      <c r="H19" s="17" t="str">
        <f>IF(COUNTIFS(资产清单!$A$6:$A$25,A19)&lt;&gt;1,"",IF(INDEX(资产清单!$E$6:$E$25,MATCH(A19,资产清单!$A$6:$A$25,0))="","",INDEX(资产清单!$E$6:$E$25,MATCH(A19,资产清单!$A$6:$A$25,0))))&amp;"|"&amp;E19&amp;"|"&amp;IF(COUNTIFS(资产清单!$A$6:$A$25,A19)&lt;&gt;1,"",IF(INDEX(资产清单!$I$6:$I$25,MATCH(A19,资产清单!$A$6:$A$25,0))="","",INDEX(资产清单!$I$6:$I$25,MATCH(A19,资产清单!$A$6:$A$25,0))))&amp;"|"&amp;IF(COUNTIFS(资产清单!$A$6:$A$25,A19)&lt;&gt;1,"",IF(INDEX(资产清单!$J$6:$J$25,MATCH(A19,资产清单!$A$6:$A$25,0))="","",INDEX(资产清单!$J$6:$J$25,MATCH(A19,资产清单!$A$6:$A$25,0))))&amp;"|"&amp;IF(IF(COUNTIFS(资产清单!$A$6:$A$25,A19)&lt;&gt;1,"",IF(COUNT(INDEX(资产清单!$M$6:$M$25,MATCH(A19,资产清单!$A$6:$A$25,0)))&lt;&gt;1,"",INDEX(资产清单!$M$6:$M$25,MATCH(A19,资产清单!$A$6:$A$25,0))))="","不适用",IF(COUNTIFS(资产清单!$A$6:$A$25,A19)&lt;&gt;1,"",IF(COUNT(INDEX(资产清单!$M$6:$M$25,MATCH(A19,资产清单!$A$6:$A$25,0)))&lt;&gt;1,"",INDEX(资产清单!$M$6:$M$25,MATCH(A19,资产清单!$A$6:$A$25,0)))))</f>
        <v>模拟屋顶K|场地|屋顶点位|元/处/月|不适用</v>
      </c>
      <c r="I19" s="16" t="str">
        <f t="shared" si="1"/>
        <v>模拟屋顶K|场地|屋顶点位|元/处/月|不适用</v>
      </c>
      <c r="J19" s="16" t="s">
        <v>138</v>
      </c>
    </row>
    <row r="20" spans="1:10" ht="58.05" customHeight="1">
      <c r="A20" s="16" t="s">
        <v>87</v>
      </c>
      <c r="B20" s="17" t="str">
        <f>IF(COUNTIFS(资产清单!$A$6:$A$25,A20)&lt;&gt;1,"",IF(INDEX(资产清单!$D$6:$D$25,MATCH(A20,资产清单!$A$6:$A$25,0))="","",INDEX(资产清单!$D$6:$D$25,MATCH(A20,资产清单!$A$6:$A$25,0))))</f>
        <v>活动场馆</v>
      </c>
      <c r="C20" s="17" t="str">
        <f>IF(COUNTIFS(资产清单!$A$6:$A$25,A20)&lt;&gt;1,"",IF(INDEX(资产清单!$F$6:$F$25,MATCH(A20,资产清单!$A$6:$A$25,0))="","",INDEX(资产清单!$F$6:$F$25,MATCH(A20,资产清单!$A$6:$A$25,0))))</f>
        <v>办公</v>
      </c>
      <c r="D20" s="17" t="str">
        <f>IF(ISNUMBER(SEARCH("通信基站",IF(COUNTIFS(资产清单!$A$6:$A$25,A20)&lt;&gt;1,"",IF(INDEX(资产清单!$G$6:$G$25,MATCH(A20,资产清单!$A$6:$A$25,0))="","",INDEX(资产清单!$G$6:$G$25,MATCH(A20,资产清单!$A$6:$A$25,0)))))),"通信基站",IF(ISNUMBER(SEARCH("广告",IF(COUNTIFS(资产清单!$A$6:$A$25,A20)&lt;&gt;1,"",IF(INDEX(资产清单!$G$6:$G$25,MATCH(A20,资产清单!$A$6:$A$25,0))="","",INDEX(资产清单!$G$6:$G$25,MATCH(A20,资产清单!$A$6:$A$25,0)))))),"广告位",IF(ISNUMBER(SEARCH("设备",IF(COUNTIFS(资产清单!$A$6:$A$25,A20)&lt;&gt;1,"",IF(INDEX(资产清单!$G$6:$G$25,MATCH(A20,资产清单!$A$6:$A$25,0))="","",INDEX(资产清单!$G$6:$G$25,MATCH(A20,资产清单!$A$6:$A$25,0)))))),"设备",IF(ISNUMBER(SEARCH("停车位",IF(COUNTIFS(资产清单!$A$6:$A$25,A20)&lt;&gt;1,"",IF(INDEX(资产清单!$G$6:$G$25,MATCH(A20,资产清单!$A$6:$A$25,0))="","",INDEX(资产清单!$G$6:$G$25,MATCH(A20,资产清单!$A$6:$A$25,0)))))),"车位",IF(ISNUMBER(SEARCH("内部通道商铺",IF(COUNTIFS(资产清单!$A$6:$A$25,A20)&lt;&gt;1,"",IF(INDEX(资产清单!$G$6:$G$25,MATCH(A20,资产清单!$A$6:$A$25,0))="","",INDEX(资产清单!$G$6:$G$25,MATCH(A20,资产清单!$A$6:$A$25,0)))))),"商业",IF(ISNUMBER(SEARCH("活动场馆",IF(COUNTIFS(资产清单!$A$6:$A$25,A20)&lt;&gt;1,"",IF(INDEX(资产清单!$G$6:$G$25,MATCH(A20,资产清单!$A$6:$A$25,0))="","",INDEX(资产清单!$G$6:$G$25,MATCH(A20,资产清单!$A$6:$A$25,0)))))),"场馆",IF(ISNUMBER(SEARCH("场地",IF(COUNTIFS(资产清单!$A$6:$A$25,A20)&lt;&gt;1,"",IF(INDEX(资产清单!$G$6:$G$25,MATCH(A20,资产清单!$A$6:$A$25,0))="","",INDEX(资产清单!$G$6:$G$25,MATCH(A20,资产清单!$A$6:$A$25,0)))))),"场地",C20)))))))</f>
        <v>场馆</v>
      </c>
      <c r="E20" s="17" t="str">
        <f>IF(COUNTIFS(资产清单!$A$6:$A$25,A20)&lt;&gt;1,"",IF(INDEX(资产清单!$H$6:$H$25,MATCH(A20,资产清单!$A$6:$A$25,0))="","",INDEX(资产清单!$H$6:$H$25,MATCH(A20,资产清单!$A$6:$A$25,0))))</f>
        <v>场馆</v>
      </c>
      <c r="F20" s="16" t="str">
        <f t="shared" si="0"/>
        <v>候选与确认一致</v>
      </c>
      <c r="G20" s="17" t="str">
        <f>E20&amp;"|"&amp;IF(COUNTIFS(资产清单!$A$6:$A$25,A20)&lt;&gt;1,"",IF(INDEX(资产清单!$J$6:$J$25,MATCH(A20,资产清单!$A$6:$A$25,0))="","",INDEX(资产清单!$J$6:$J$25,MATCH(A20,资产清单!$A$6:$A$25,0))))</f>
        <v>场馆|元/场·天</v>
      </c>
      <c r="H20" s="17" t="str">
        <f>IF(COUNTIFS(资产清单!$A$6:$A$25,A20)&lt;&gt;1,"",IF(INDEX(资产清单!$E$6:$E$25,MATCH(A20,资产清单!$A$6:$A$25,0))="","",INDEX(资产清单!$E$6:$E$25,MATCH(A20,资产清单!$A$6:$A$25,0))))&amp;"|"&amp;E20&amp;"|"&amp;IF(COUNTIFS(资产清单!$A$6:$A$25,A20)&lt;&gt;1,"",IF(INDEX(资产清单!$I$6:$I$25,MATCH(A20,资产清单!$A$6:$A$25,0))="","",INDEX(资产清单!$I$6:$I$25,MATCH(A20,资产清单!$A$6:$A$25,0))))&amp;"|"&amp;IF(COUNTIFS(资产清单!$A$6:$A$25,A20)&lt;&gt;1,"",IF(INDEX(资产清单!$J$6:$J$25,MATCH(A20,资产清单!$A$6:$A$25,0))="","",INDEX(资产清单!$J$6:$J$25,MATCH(A20,资产清单!$A$6:$A$25,0))))&amp;"|"&amp;IF(IF(COUNTIFS(资产清单!$A$6:$A$25,A20)&lt;&gt;1,"",IF(COUNT(INDEX(资产清单!$M$6:$M$25,MATCH(A20,资产清单!$A$6:$A$25,0)))&lt;&gt;1,"",INDEX(资产清单!$M$6:$M$25,MATCH(A20,资产清单!$A$6:$A$25,0))))="","不适用",IF(COUNTIFS(资产清单!$A$6:$A$25,A20)&lt;&gt;1,"",IF(COUNT(INDEX(资产清单!$M$6:$M$25,MATCH(A20,资产清单!$A$6:$A$25,0)))&lt;&gt;1,"",INDEX(资产清单!$M$6:$M$25,MATCH(A20,资产清单!$A$6:$A$25,0)))))</f>
        <v>模拟场馆L|场馆|活动场馆|元/场·天|不适用</v>
      </c>
      <c r="I20" s="16" t="str">
        <f t="shared" si="1"/>
        <v>模拟场馆L|场馆|活动场馆|元/场·天|不适用</v>
      </c>
      <c r="J20" s="16" t="s">
        <v>138</v>
      </c>
    </row>
    <row r="21" spans="1:10" ht="58.05" customHeight="1">
      <c r="A21" s="16" t="s">
        <v>88</v>
      </c>
      <c r="B21" s="17" t="str">
        <f>IF(COUNTIFS(资产清单!$A$6:$A$25,A21)&lt;&gt;1,"",IF(INDEX(资产清单!$D$6:$D$25,MATCH(A21,资产清单!$A$6:$A$25,0))="","",INDEX(资产清单!$D$6:$D$25,MATCH(A21,资产清单!$A$6:$A$25,0))))</f>
        <v>广告设置点位</v>
      </c>
      <c r="C21" s="17" t="str">
        <f>IF(COUNTIFS(资产清单!$A$6:$A$25,A21)&lt;&gt;1,"",IF(INDEX(资产清单!$F$6:$F$25,MATCH(A21,资产清单!$A$6:$A$25,0))="","",INDEX(资产清单!$F$6:$F$25,MATCH(A21,资产清单!$A$6:$A$25,0))))</f>
        <v>其他</v>
      </c>
      <c r="D21" s="17" t="str">
        <f>IF(ISNUMBER(SEARCH("通信基站",IF(COUNTIFS(资产清单!$A$6:$A$25,A21)&lt;&gt;1,"",IF(INDEX(资产清单!$G$6:$G$25,MATCH(A21,资产清单!$A$6:$A$25,0))="","",INDEX(资产清单!$G$6:$G$25,MATCH(A21,资产清单!$A$6:$A$25,0)))))),"通信基站",IF(ISNUMBER(SEARCH("广告",IF(COUNTIFS(资产清单!$A$6:$A$25,A21)&lt;&gt;1,"",IF(INDEX(资产清单!$G$6:$G$25,MATCH(A21,资产清单!$A$6:$A$25,0))="","",INDEX(资产清单!$G$6:$G$25,MATCH(A21,资产清单!$A$6:$A$25,0)))))),"广告位",IF(ISNUMBER(SEARCH("设备",IF(COUNTIFS(资产清单!$A$6:$A$25,A21)&lt;&gt;1,"",IF(INDEX(资产清单!$G$6:$G$25,MATCH(A21,资产清单!$A$6:$A$25,0))="","",INDEX(资产清单!$G$6:$G$25,MATCH(A21,资产清单!$A$6:$A$25,0)))))),"设备",IF(ISNUMBER(SEARCH("停车位",IF(COUNTIFS(资产清单!$A$6:$A$25,A21)&lt;&gt;1,"",IF(INDEX(资产清单!$G$6:$G$25,MATCH(A21,资产清单!$A$6:$A$25,0))="","",INDEX(资产清单!$G$6:$G$25,MATCH(A21,资产清单!$A$6:$A$25,0)))))),"车位",IF(ISNUMBER(SEARCH("内部通道商铺",IF(COUNTIFS(资产清单!$A$6:$A$25,A21)&lt;&gt;1,"",IF(INDEX(资产清单!$G$6:$G$25,MATCH(A21,资产清单!$A$6:$A$25,0))="","",INDEX(资产清单!$G$6:$G$25,MATCH(A21,资产清单!$A$6:$A$25,0)))))),"商业",IF(ISNUMBER(SEARCH("活动场馆",IF(COUNTIFS(资产清单!$A$6:$A$25,A21)&lt;&gt;1,"",IF(INDEX(资产清单!$G$6:$G$25,MATCH(A21,资产清单!$A$6:$A$25,0))="","",INDEX(资产清单!$G$6:$G$25,MATCH(A21,资产清单!$A$6:$A$25,0)))))),"场馆",IF(ISNUMBER(SEARCH("场地",IF(COUNTIFS(资产清单!$A$6:$A$25,A21)&lt;&gt;1,"",IF(INDEX(资产清单!$G$6:$G$25,MATCH(A21,资产清单!$A$6:$A$25,0))="","",INDEX(资产清单!$G$6:$G$25,MATCH(A21,资产清单!$A$6:$A$25,0)))))),"场地",C21)))))))</f>
        <v>广告位</v>
      </c>
      <c r="E21" s="17" t="str">
        <f>IF(COUNTIFS(资产清单!$A$6:$A$25,A21)&lt;&gt;1,"",IF(INDEX(资产清单!$H$6:$H$25,MATCH(A21,资产清单!$A$6:$A$25,0))="","",INDEX(资产清单!$H$6:$H$25,MATCH(A21,资产清单!$A$6:$A$25,0))))</f>
        <v>广告位</v>
      </c>
      <c r="F21" s="16" t="str">
        <f t="shared" si="0"/>
        <v>候选与确认一致</v>
      </c>
      <c r="G21" s="17" t="str">
        <f>E21&amp;"|"&amp;IF(COUNTIFS(资产清单!$A$6:$A$25,A21)&lt;&gt;1,"",IF(INDEX(资产清单!$J$6:$J$25,MATCH(A21,资产清单!$A$6:$A$25,0))="","",INDEX(资产清单!$J$6:$J$25,MATCH(A21,资产清单!$A$6:$A$25,0))))</f>
        <v>广告位|元/处/月</v>
      </c>
      <c r="H21" s="17" t="str">
        <f>IF(COUNTIFS(资产清单!$A$6:$A$25,A21)&lt;&gt;1,"",IF(INDEX(资产清单!$E$6:$E$25,MATCH(A21,资产清单!$A$6:$A$25,0))="","",INDEX(资产清单!$E$6:$E$25,MATCH(A21,资产清单!$A$6:$A$25,0))))&amp;"|"&amp;E21&amp;"|"&amp;IF(COUNTIFS(资产清单!$A$6:$A$25,A21)&lt;&gt;1,"",IF(INDEX(资产清单!$I$6:$I$25,MATCH(A21,资产清单!$A$6:$A$25,0))="","",INDEX(资产清单!$I$6:$I$25,MATCH(A21,资产清单!$A$6:$A$25,0))))&amp;"|"&amp;IF(COUNTIFS(资产清单!$A$6:$A$25,A21)&lt;&gt;1,"",IF(INDEX(资产清单!$J$6:$J$25,MATCH(A21,资产清单!$A$6:$A$25,0))="","",INDEX(资产清单!$J$6:$J$25,MATCH(A21,资产清单!$A$6:$A$25,0))))&amp;"|"&amp;IF(IF(COUNTIFS(资产清单!$A$6:$A$25,A21)&lt;&gt;1,"",IF(COUNT(INDEX(资产清单!$M$6:$M$25,MATCH(A21,资产清单!$A$6:$A$25,0)))&lt;&gt;1,"",INDEX(资产清单!$M$6:$M$25,MATCH(A21,资产清单!$A$6:$A$25,0))))="","不适用",IF(COUNTIFS(资产清单!$A$6:$A$25,A21)&lt;&gt;1,"",IF(COUNT(INDEX(资产清单!$M$6:$M$25,MATCH(A21,资产清单!$A$6:$A$25,0)))&lt;&gt;1,"",INDEX(资产清单!$M$6:$M$25,MATCH(A21,资产清单!$A$6:$A$25,0)))))</f>
        <v>模拟广告点位M|广告位|广告点位|元/处/月|不适用</v>
      </c>
      <c r="I21" s="16" t="str">
        <f t="shared" si="1"/>
        <v>模拟广告点位M|广告位|广告点位|元/处/月|不适用</v>
      </c>
      <c r="J21" s="16" t="s">
        <v>138</v>
      </c>
    </row>
    <row r="22" spans="1:10" ht="58.05" customHeight="1">
      <c r="A22" s="16" t="s">
        <v>89</v>
      </c>
      <c r="B22" s="17" t="str">
        <f>IF(COUNTIFS(资产清单!$A$6:$A$25,A22)&lt;&gt;1,"",IF(INDEX(资产清单!$D$6:$D$25,MATCH(A22,资产清单!$A$6:$A$25,0))="","",INDEX(资产清单!$D$6:$D$25,MATCH(A22,资产清单!$A$6:$A$25,0))))</f>
        <v>起重设备甲</v>
      </c>
      <c r="C22" s="17" t="str">
        <f>IF(COUNTIFS(资产清单!$A$6:$A$25,A22)&lt;&gt;1,"",IF(INDEX(资产清单!$F$6:$F$25,MATCH(A22,资产清单!$A$6:$A$25,0))="","",INDEX(资产清单!$F$6:$F$25,MATCH(A22,资产清单!$A$6:$A$25,0))))</f>
        <v>设备</v>
      </c>
      <c r="D22" s="17" t="str">
        <f>IF(ISNUMBER(SEARCH("通信基站",IF(COUNTIFS(资产清单!$A$6:$A$25,A22)&lt;&gt;1,"",IF(INDEX(资产清单!$G$6:$G$25,MATCH(A22,资产清单!$A$6:$A$25,0))="","",INDEX(资产清单!$G$6:$G$25,MATCH(A22,资产清单!$A$6:$A$25,0)))))),"通信基站",IF(ISNUMBER(SEARCH("广告",IF(COUNTIFS(资产清单!$A$6:$A$25,A22)&lt;&gt;1,"",IF(INDEX(资产清单!$G$6:$G$25,MATCH(A22,资产清单!$A$6:$A$25,0))="","",INDEX(资产清单!$G$6:$G$25,MATCH(A22,资产清单!$A$6:$A$25,0)))))),"广告位",IF(ISNUMBER(SEARCH("设备",IF(COUNTIFS(资产清单!$A$6:$A$25,A22)&lt;&gt;1,"",IF(INDEX(资产清单!$G$6:$G$25,MATCH(A22,资产清单!$A$6:$A$25,0))="","",INDEX(资产清单!$G$6:$G$25,MATCH(A22,资产清单!$A$6:$A$25,0)))))),"设备",IF(ISNUMBER(SEARCH("停车位",IF(COUNTIFS(资产清单!$A$6:$A$25,A22)&lt;&gt;1,"",IF(INDEX(资产清单!$G$6:$G$25,MATCH(A22,资产清单!$A$6:$A$25,0))="","",INDEX(资产清单!$G$6:$G$25,MATCH(A22,资产清单!$A$6:$A$25,0)))))),"车位",IF(ISNUMBER(SEARCH("内部通道商铺",IF(COUNTIFS(资产清单!$A$6:$A$25,A22)&lt;&gt;1,"",IF(INDEX(资产清单!$G$6:$G$25,MATCH(A22,资产清单!$A$6:$A$25,0))="","",INDEX(资产清单!$G$6:$G$25,MATCH(A22,资产清单!$A$6:$A$25,0)))))),"商业",IF(ISNUMBER(SEARCH("活动场馆",IF(COUNTIFS(资产清单!$A$6:$A$25,A22)&lt;&gt;1,"",IF(INDEX(资产清单!$G$6:$G$25,MATCH(A22,资产清单!$A$6:$A$25,0))="","",INDEX(资产清单!$G$6:$G$25,MATCH(A22,资产清单!$A$6:$A$25,0)))))),"场馆",IF(ISNUMBER(SEARCH("场地",IF(COUNTIFS(资产清单!$A$6:$A$25,A22)&lt;&gt;1,"",IF(INDEX(资产清单!$G$6:$G$25,MATCH(A22,资产清单!$A$6:$A$25,0))="","",INDEX(资产清单!$G$6:$G$25,MATCH(A22,资产清单!$A$6:$A$25,0)))))),"场地",C22)))))))</f>
        <v>设备</v>
      </c>
      <c r="E22" s="17" t="str">
        <f>IF(COUNTIFS(资产清单!$A$6:$A$25,A22)&lt;&gt;1,"",IF(INDEX(资产清单!$H$6:$H$25,MATCH(A22,资产清单!$A$6:$A$25,0))="","",INDEX(资产清单!$H$6:$H$25,MATCH(A22,资产清单!$A$6:$A$25,0))))</f>
        <v>设备</v>
      </c>
      <c r="F22" s="16" t="str">
        <f t="shared" si="0"/>
        <v>候选与确认一致</v>
      </c>
      <c r="G22" s="17" t="str">
        <f>E22&amp;"|"&amp;IF(COUNTIFS(资产清单!$A$6:$A$25,A22)&lt;&gt;1,"",IF(INDEX(资产清单!$J$6:$J$25,MATCH(A22,资产清单!$A$6:$A$25,0))="","",INDEX(资产清单!$J$6:$J$25,MATCH(A22,资产清单!$A$6:$A$25,0))))</f>
        <v>设备|元/台/月</v>
      </c>
      <c r="H22" s="17" t="str">
        <f>IF(COUNTIFS(资产清单!$A$6:$A$25,A22)&lt;&gt;1,"",IF(INDEX(资产清单!$E$6:$E$25,MATCH(A22,资产清单!$A$6:$A$25,0))="","",INDEX(资产清单!$E$6:$E$25,MATCH(A22,资产清单!$A$6:$A$25,0))))&amp;"|"&amp;E22&amp;"|"&amp;IF(COUNTIFS(资产清单!$A$6:$A$25,A22)&lt;&gt;1,"",IF(INDEX(资产清单!$I$6:$I$25,MATCH(A22,资产清单!$A$6:$A$25,0))="","",INDEX(资产清单!$I$6:$I$25,MATCH(A22,资产清单!$A$6:$A$25,0))))&amp;"|"&amp;IF(COUNTIFS(资产清单!$A$6:$A$25,A22)&lt;&gt;1,"",IF(INDEX(资产清单!$J$6:$J$25,MATCH(A22,资产清单!$A$6:$A$25,0))="","",INDEX(资产清单!$J$6:$J$25,MATCH(A22,资产清单!$A$6:$A$25,0))))&amp;"|"&amp;IF(IF(COUNTIFS(资产清单!$A$6:$A$25,A22)&lt;&gt;1,"",IF(COUNT(INDEX(资产清单!$M$6:$M$25,MATCH(A22,资产清单!$A$6:$A$25,0)))&lt;&gt;1,"",INDEX(资产清单!$M$6:$M$25,MATCH(A22,资产清单!$A$6:$A$25,0))))="","不适用",IF(COUNTIFS(资产清单!$A$6:$A$25,A22)&lt;&gt;1,"",IF(COUNT(INDEX(资产清单!$M$6:$M$25,MATCH(A22,资产清单!$A$6:$A$25,0)))&lt;&gt;1,"",INDEX(资产清单!$M$6:$M$25,MATCH(A22,资产清单!$A$6:$A$25,0)))))</f>
        <v>模拟工业园E|设备|起重设备|元/台/月|不适用</v>
      </c>
      <c r="I22" s="16" t="str">
        <f t="shared" si="1"/>
        <v>模拟工业园E|设备|起重设备|元/台/月|不适用</v>
      </c>
      <c r="J22" s="16" t="s">
        <v>138</v>
      </c>
    </row>
    <row r="23" spans="1:10" ht="58.05" customHeight="1">
      <c r="A23" s="16" t="s">
        <v>90</v>
      </c>
      <c r="B23" s="17" t="str">
        <f>IF(COUNTIFS(资产清单!$A$6:$A$25,A23)&lt;&gt;1,"",IF(INDEX(资产清单!$D$6:$D$25,MATCH(A23,资产清单!$A$6:$A$25,0))="","",INDEX(资产清单!$D$6:$D$25,MATCH(A23,资产清单!$A$6:$A$25,0))))</f>
        <v>加工设备乙</v>
      </c>
      <c r="C23" s="17" t="str">
        <f>IF(COUNTIFS(资产清单!$A$6:$A$25,A23)&lt;&gt;1,"",IF(INDEX(资产清单!$F$6:$F$25,MATCH(A23,资产清单!$A$6:$A$25,0))="","",INDEX(资产清单!$F$6:$F$25,MATCH(A23,资产清单!$A$6:$A$25,0))))</f>
        <v>设备</v>
      </c>
      <c r="D23" s="17" t="str">
        <f>IF(ISNUMBER(SEARCH("通信基站",IF(COUNTIFS(资产清单!$A$6:$A$25,A23)&lt;&gt;1,"",IF(INDEX(资产清单!$G$6:$G$25,MATCH(A23,资产清单!$A$6:$A$25,0))="","",INDEX(资产清单!$G$6:$G$25,MATCH(A23,资产清单!$A$6:$A$25,0)))))),"通信基站",IF(ISNUMBER(SEARCH("广告",IF(COUNTIFS(资产清单!$A$6:$A$25,A23)&lt;&gt;1,"",IF(INDEX(资产清单!$G$6:$G$25,MATCH(A23,资产清单!$A$6:$A$25,0))="","",INDEX(资产清单!$G$6:$G$25,MATCH(A23,资产清单!$A$6:$A$25,0)))))),"广告位",IF(ISNUMBER(SEARCH("设备",IF(COUNTIFS(资产清单!$A$6:$A$25,A23)&lt;&gt;1,"",IF(INDEX(资产清单!$G$6:$G$25,MATCH(A23,资产清单!$A$6:$A$25,0))="","",INDEX(资产清单!$G$6:$G$25,MATCH(A23,资产清单!$A$6:$A$25,0)))))),"设备",IF(ISNUMBER(SEARCH("停车位",IF(COUNTIFS(资产清单!$A$6:$A$25,A23)&lt;&gt;1,"",IF(INDEX(资产清单!$G$6:$G$25,MATCH(A23,资产清单!$A$6:$A$25,0))="","",INDEX(资产清单!$G$6:$G$25,MATCH(A23,资产清单!$A$6:$A$25,0)))))),"车位",IF(ISNUMBER(SEARCH("内部通道商铺",IF(COUNTIFS(资产清单!$A$6:$A$25,A23)&lt;&gt;1,"",IF(INDEX(资产清单!$G$6:$G$25,MATCH(A23,资产清单!$A$6:$A$25,0))="","",INDEX(资产清单!$G$6:$G$25,MATCH(A23,资产清单!$A$6:$A$25,0)))))),"商业",IF(ISNUMBER(SEARCH("活动场馆",IF(COUNTIFS(资产清单!$A$6:$A$25,A23)&lt;&gt;1,"",IF(INDEX(资产清单!$G$6:$G$25,MATCH(A23,资产清单!$A$6:$A$25,0))="","",INDEX(资产清单!$G$6:$G$25,MATCH(A23,资产清单!$A$6:$A$25,0)))))),"场馆",IF(ISNUMBER(SEARCH("场地",IF(COUNTIFS(资产清单!$A$6:$A$25,A23)&lt;&gt;1,"",IF(INDEX(资产清单!$G$6:$G$25,MATCH(A23,资产清单!$A$6:$A$25,0))="","",INDEX(资产清单!$G$6:$G$25,MATCH(A23,资产清单!$A$6:$A$25,0)))))),"场地",C23)))))))</f>
        <v>设备</v>
      </c>
      <c r="E23" s="17" t="str">
        <f>IF(COUNTIFS(资产清单!$A$6:$A$25,A23)&lt;&gt;1,"",IF(INDEX(资产清单!$H$6:$H$25,MATCH(A23,资产清单!$A$6:$A$25,0))="","",INDEX(资产清单!$H$6:$H$25,MATCH(A23,资产清单!$A$6:$A$25,0))))</f>
        <v>设备</v>
      </c>
      <c r="F23" s="16" t="str">
        <f t="shared" si="0"/>
        <v>候选与确认一致</v>
      </c>
      <c r="G23" s="17" t="str">
        <f>E23&amp;"|"&amp;IF(COUNTIFS(资产清单!$A$6:$A$25,A23)&lt;&gt;1,"",IF(INDEX(资产清单!$J$6:$J$25,MATCH(A23,资产清单!$A$6:$A$25,0))="","",INDEX(资产清单!$J$6:$J$25,MATCH(A23,资产清单!$A$6:$A$25,0))))</f>
        <v>设备|元/台/月</v>
      </c>
      <c r="H23" s="17" t="str">
        <f>IF(COUNTIFS(资产清单!$A$6:$A$25,A23)&lt;&gt;1,"",IF(INDEX(资产清单!$E$6:$E$25,MATCH(A23,资产清单!$A$6:$A$25,0))="","",INDEX(资产清单!$E$6:$E$25,MATCH(A23,资产清单!$A$6:$A$25,0))))&amp;"|"&amp;E23&amp;"|"&amp;IF(COUNTIFS(资产清单!$A$6:$A$25,A23)&lt;&gt;1,"",IF(INDEX(资产清单!$I$6:$I$25,MATCH(A23,资产清单!$A$6:$A$25,0))="","",INDEX(资产清单!$I$6:$I$25,MATCH(A23,资产清单!$A$6:$A$25,0))))&amp;"|"&amp;IF(COUNTIFS(资产清单!$A$6:$A$25,A23)&lt;&gt;1,"",IF(INDEX(资产清单!$J$6:$J$25,MATCH(A23,资产清单!$A$6:$A$25,0))="","",INDEX(资产清单!$J$6:$J$25,MATCH(A23,资产清单!$A$6:$A$25,0))))&amp;"|"&amp;IF(IF(COUNTIFS(资产清单!$A$6:$A$25,A23)&lt;&gt;1,"",IF(COUNT(INDEX(资产清单!$M$6:$M$25,MATCH(A23,资产清单!$A$6:$A$25,0)))&lt;&gt;1,"",INDEX(资产清单!$M$6:$M$25,MATCH(A23,资产清单!$A$6:$A$25,0))))="","不适用",IF(COUNTIFS(资产清单!$A$6:$A$25,A23)&lt;&gt;1,"",IF(COUNT(INDEX(资产清单!$M$6:$M$25,MATCH(A23,资产清单!$A$6:$A$25,0)))&lt;&gt;1,"",INDEX(资产清单!$M$6:$M$25,MATCH(A23,资产清单!$A$6:$A$25,0)))))</f>
        <v>模拟工业园E|设备|加工设备|元/台/月|不适用</v>
      </c>
      <c r="I23" s="16" t="str">
        <f t="shared" si="1"/>
        <v>模拟工业园E|设备|加工设备|元/台/月|不适用</v>
      </c>
      <c r="J23" s="16" t="s">
        <v>138</v>
      </c>
    </row>
    <row r="24" spans="1:10" ht="58.05" customHeight="1">
      <c r="A24" s="16" t="s">
        <v>91</v>
      </c>
      <c r="B24" s="17" t="str">
        <f>IF(COUNTIFS(资产清单!$A$6:$A$25,A24)&lt;&gt;1,"",IF(INDEX(资产清单!$D$6:$D$25,MATCH(A24,资产清单!$A$6:$A$25,0))="","",INDEX(资产清单!$D$6:$D$25,MATCH(A24,资产清单!$A$6:$A$25,0))))</f>
        <v>库房重复记录</v>
      </c>
      <c r="C24" s="17" t="str">
        <f>IF(COUNTIFS(资产清单!$A$6:$A$25,A24)&lt;&gt;1,"",IF(INDEX(资产清单!$F$6:$F$25,MATCH(A24,资产清单!$A$6:$A$25,0))="","",INDEX(资产清单!$F$6:$F$25,MATCH(A24,资产清单!$A$6:$A$25,0))))</f>
        <v>仓储</v>
      </c>
      <c r="D24" s="17" t="str">
        <f>IF(ISNUMBER(SEARCH("通信基站",IF(COUNTIFS(资产清单!$A$6:$A$25,A24)&lt;&gt;1,"",IF(INDEX(资产清单!$G$6:$G$25,MATCH(A24,资产清单!$A$6:$A$25,0))="","",INDEX(资产清单!$G$6:$G$25,MATCH(A24,资产清单!$A$6:$A$25,0)))))),"通信基站",IF(ISNUMBER(SEARCH("广告",IF(COUNTIFS(资产清单!$A$6:$A$25,A24)&lt;&gt;1,"",IF(INDEX(资产清单!$G$6:$G$25,MATCH(A24,资产清单!$A$6:$A$25,0))="","",INDEX(资产清单!$G$6:$G$25,MATCH(A24,资产清单!$A$6:$A$25,0)))))),"广告位",IF(ISNUMBER(SEARCH("设备",IF(COUNTIFS(资产清单!$A$6:$A$25,A24)&lt;&gt;1,"",IF(INDEX(资产清单!$G$6:$G$25,MATCH(A24,资产清单!$A$6:$A$25,0))="","",INDEX(资产清单!$G$6:$G$25,MATCH(A24,资产清单!$A$6:$A$25,0)))))),"设备",IF(ISNUMBER(SEARCH("停车位",IF(COUNTIFS(资产清单!$A$6:$A$25,A24)&lt;&gt;1,"",IF(INDEX(资产清单!$G$6:$G$25,MATCH(A24,资产清单!$A$6:$A$25,0))="","",INDEX(资产清单!$G$6:$G$25,MATCH(A24,资产清单!$A$6:$A$25,0)))))),"车位",IF(ISNUMBER(SEARCH("内部通道商铺",IF(COUNTIFS(资产清单!$A$6:$A$25,A24)&lt;&gt;1,"",IF(INDEX(资产清单!$G$6:$G$25,MATCH(A24,资产清单!$A$6:$A$25,0))="","",INDEX(资产清单!$G$6:$G$25,MATCH(A24,资产清单!$A$6:$A$25,0)))))),"商业",IF(ISNUMBER(SEARCH("活动场馆",IF(COUNTIFS(资产清单!$A$6:$A$25,A24)&lt;&gt;1,"",IF(INDEX(资产清单!$G$6:$G$25,MATCH(A24,资产清单!$A$6:$A$25,0))="","",INDEX(资产清单!$G$6:$G$25,MATCH(A24,资产清单!$A$6:$A$25,0)))))),"场馆",IF(ISNUMBER(SEARCH("场地",IF(COUNTIFS(资产清单!$A$6:$A$25,A24)&lt;&gt;1,"",IF(INDEX(资产清单!$G$6:$G$25,MATCH(A24,资产清单!$A$6:$A$25,0))="","",INDEX(资产清单!$G$6:$G$25,MATCH(A24,资产清单!$A$6:$A$25,0)))))),"场地",C24)))))))</f>
        <v>仓储</v>
      </c>
      <c r="E24" s="17" t="str">
        <f>IF(COUNTIFS(资产清单!$A$6:$A$25,A24)&lt;&gt;1,"",IF(INDEX(资产清单!$H$6:$H$25,MATCH(A24,资产清单!$A$6:$A$25,0))="","",INDEX(资产清单!$H$6:$H$25,MATCH(A24,资产清单!$A$6:$A$25,0))))</f>
        <v>仓储</v>
      </c>
      <c r="F24" s="16" t="str">
        <f t="shared" si="0"/>
        <v>候选与确认一致</v>
      </c>
      <c r="G24" s="17" t="str">
        <f>E24&amp;"|"&amp;IF(COUNTIFS(资产清单!$A$6:$A$25,A24)&lt;&gt;1,"",IF(INDEX(资产清单!$J$6:$J$25,MATCH(A24,资产清单!$A$6:$A$25,0))="","",INDEX(资产清单!$J$6:$J$25,MATCH(A24,资产清单!$A$6:$A$25,0))))</f>
        <v>仓储|元/㎡/月</v>
      </c>
      <c r="H24" s="17" t="str">
        <f>IF(COUNTIFS(资产清单!$A$6:$A$25,A24)&lt;&gt;1,"",IF(INDEX(资产清单!$E$6:$E$25,MATCH(A24,资产清单!$A$6:$A$25,0))="","",INDEX(资产清单!$E$6:$E$25,MATCH(A24,资产清单!$A$6:$A$25,0))))&amp;"|"&amp;E24&amp;"|"&amp;IF(COUNTIFS(资产清单!$A$6:$A$25,A24)&lt;&gt;1,"",IF(INDEX(资产清单!$I$6:$I$25,MATCH(A24,资产清单!$A$6:$A$25,0))="","",INDEX(资产清单!$I$6:$I$25,MATCH(A24,资产清单!$A$6:$A$25,0))))&amp;"|"&amp;IF(COUNTIFS(资产清单!$A$6:$A$25,A24)&lt;&gt;1,"",IF(INDEX(资产清单!$J$6:$J$25,MATCH(A24,资产清单!$A$6:$A$25,0))="","",INDEX(资产清单!$J$6:$J$25,MATCH(A24,资产清单!$A$6:$A$25,0))))&amp;"|"&amp;IF(IF(COUNTIFS(资产清单!$A$6:$A$25,A24)&lt;&gt;1,"",IF(COUNT(INDEX(资产清单!$M$6:$M$25,MATCH(A24,资产清单!$A$6:$A$25,0)))&lt;&gt;1,"",INDEX(资产清单!$M$6:$M$25,MATCH(A24,资产清单!$A$6:$A$25,0))))="","不适用",IF(COUNTIFS(资产清单!$A$6:$A$25,A24)&lt;&gt;1,"",IF(COUNT(INDEX(资产清单!$M$6:$M$25,MATCH(A24,资产清单!$A$6:$A$25,0)))&lt;&gt;1,"",INDEX(资产清单!$M$6:$M$25,MATCH(A24,资产清单!$A$6:$A$25,0)))))</f>
        <v>模拟仓储楼D|仓储|仓储用房|元/㎡/月|1</v>
      </c>
      <c r="I24" s="16" t="str">
        <f t="shared" si="1"/>
        <v>模拟仓储楼D|仓储|仓储用房|元/㎡/月|1</v>
      </c>
      <c r="J24" s="16" t="s">
        <v>138</v>
      </c>
    </row>
    <row r="25" spans="1:10" ht="58.05" customHeight="1">
      <c r="A25" s="16" t="s">
        <v>92</v>
      </c>
      <c r="B25" s="17" t="str">
        <f>IF(COUNTIFS(资产清单!$A$6:$A$25,A25)&lt;&gt;1,"",IF(INDEX(资产清单!$D$6:$D$25,MATCH(A25,资产清单!$A$6:$A$25,0))="","",INDEX(资产清单!$D$6:$D$25,MATCH(A25,资产清单!$A$6:$A$25,0))))</f>
        <v>范围外房屋</v>
      </c>
      <c r="C25" s="17" t="str">
        <f>IF(COUNTIFS(资产清单!$A$6:$A$25,A25)&lt;&gt;1,"",IF(INDEX(资产清单!$F$6:$F$25,MATCH(A25,资产清单!$A$6:$A$25,0))="","",INDEX(资产清单!$F$6:$F$25,MATCH(A25,资产清单!$A$6:$A$25,0))))</f>
        <v>办公</v>
      </c>
      <c r="D25" s="17" t="str">
        <f>IF(ISNUMBER(SEARCH("通信基站",IF(COUNTIFS(资产清单!$A$6:$A$25,A25)&lt;&gt;1,"",IF(INDEX(资产清单!$G$6:$G$25,MATCH(A25,资产清单!$A$6:$A$25,0))="","",INDEX(资产清单!$G$6:$G$25,MATCH(A25,资产清单!$A$6:$A$25,0)))))),"通信基站",IF(ISNUMBER(SEARCH("广告",IF(COUNTIFS(资产清单!$A$6:$A$25,A25)&lt;&gt;1,"",IF(INDEX(资产清单!$G$6:$G$25,MATCH(A25,资产清单!$A$6:$A$25,0))="","",INDEX(资产清单!$G$6:$G$25,MATCH(A25,资产清单!$A$6:$A$25,0)))))),"广告位",IF(ISNUMBER(SEARCH("设备",IF(COUNTIFS(资产清单!$A$6:$A$25,A25)&lt;&gt;1,"",IF(INDEX(资产清单!$G$6:$G$25,MATCH(A25,资产清单!$A$6:$A$25,0))="","",INDEX(资产清单!$G$6:$G$25,MATCH(A25,资产清单!$A$6:$A$25,0)))))),"设备",IF(ISNUMBER(SEARCH("停车位",IF(COUNTIFS(资产清单!$A$6:$A$25,A25)&lt;&gt;1,"",IF(INDEX(资产清单!$G$6:$G$25,MATCH(A25,资产清单!$A$6:$A$25,0))="","",INDEX(资产清单!$G$6:$G$25,MATCH(A25,资产清单!$A$6:$A$25,0)))))),"车位",IF(ISNUMBER(SEARCH("内部通道商铺",IF(COUNTIFS(资产清单!$A$6:$A$25,A25)&lt;&gt;1,"",IF(INDEX(资产清单!$G$6:$G$25,MATCH(A25,资产清单!$A$6:$A$25,0))="","",INDEX(资产清单!$G$6:$G$25,MATCH(A25,资产清单!$A$6:$A$25,0)))))),"商业",IF(ISNUMBER(SEARCH("活动场馆",IF(COUNTIFS(资产清单!$A$6:$A$25,A25)&lt;&gt;1,"",IF(INDEX(资产清单!$G$6:$G$25,MATCH(A25,资产清单!$A$6:$A$25,0))="","",INDEX(资产清单!$G$6:$G$25,MATCH(A25,资产清单!$A$6:$A$25,0)))))),"场馆",IF(ISNUMBER(SEARCH("场地",IF(COUNTIFS(资产清单!$A$6:$A$25,A25)&lt;&gt;1,"",IF(INDEX(资产清单!$G$6:$G$25,MATCH(A25,资产清单!$A$6:$A$25,0))="","",INDEX(资产清单!$G$6:$G$25,MATCH(A25,资产清单!$A$6:$A$25,0)))))),"场地",C25)))))))</f>
        <v>办公</v>
      </c>
      <c r="E25" s="17" t="str">
        <f>IF(COUNTIFS(资产清单!$A$6:$A$25,A25)&lt;&gt;1,"",IF(INDEX(资产清单!$H$6:$H$25,MATCH(A25,资产清单!$A$6:$A$25,0))="","",INDEX(资产清单!$H$6:$H$25,MATCH(A25,资产清单!$A$6:$A$25,0))))</f>
        <v>办公</v>
      </c>
      <c r="F25" s="16" t="str">
        <f t="shared" si="0"/>
        <v>候选与确认一致</v>
      </c>
      <c r="G25" s="17" t="str">
        <f>E25&amp;"|"&amp;IF(COUNTIFS(资产清单!$A$6:$A$25,A25)&lt;&gt;1,"",IF(INDEX(资产清单!$J$6:$J$25,MATCH(A25,资产清单!$A$6:$A$25,0))="","",INDEX(资产清单!$J$6:$J$25,MATCH(A25,资产清单!$A$6:$A$25,0))))</f>
        <v>办公|元/㎡/月</v>
      </c>
      <c r="H25" s="17" t="str">
        <f>IF(COUNTIFS(资产清单!$A$6:$A$25,A25)&lt;&gt;1,"",IF(INDEX(资产清单!$E$6:$E$25,MATCH(A25,资产清单!$A$6:$A$25,0))="","",INDEX(资产清单!$E$6:$E$25,MATCH(A25,资产清单!$A$6:$A$25,0))))&amp;"|"&amp;E25&amp;"|"&amp;IF(COUNTIFS(资产清单!$A$6:$A$25,A25)&lt;&gt;1,"",IF(INDEX(资产清单!$I$6:$I$25,MATCH(A25,资产清单!$A$6:$A$25,0))="","",INDEX(资产清单!$I$6:$I$25,MATCH(A25,资产清单!$A$6:$A$25,0))))&amp;"|"&amp;IF(COUNTIFS(资产清单!$A$6:$A$25,A25)&lt;&gt;1,"",IF(INDEX(资产清单!$J$6:$J$25,MATCH(A25,资产清单!$A$6:$A$25,0))="","",INDEX(资产清单!$J$6:$J$25,MATCH(A25,资产清单!$A$6:$A$25,0))))&amp;"|"&amp;IF(IF(COUNTIFS(资产清单!$A$6:$A$25,A25)&lt;&gt;1,"",IF(COUNT(INDEX(资产清单!$M$6:$M$25,MATCH(A25,资产清单!$A$6:$A$25,0)))&lt;&gt;1,"",INDEX(资产清单!$M$6:$M$25,MATCH(A25,资产清单!$A$6:$A$25,0))))="","不适用",IF(COUNTIFS(资产清单!$A$6:$A$25,A25)&lt;&gt;1,"",IF(COUNT(INDEX(资产清单!$M$6:$M$25,MATCH(A25,资产清单!$A$6:$A$25,0)))&lt;&gt;1,"",INDEX(资产清单!$M$6:$M$25,MATCH(A25,资产清单!$A$6:$A$25,0)))))</f>
        <v>模拟范围外楼N|办公|办公用房|元/㎡/月|2</v>
      </c>
      <c r="I25" s="16" t="str">
        <f t="shared" si="1"/>
        <v>模拟范围外楼N|办公|办公用房|元/㎡/月|2</v>
      </c>
      <c r="J25" s="16" t="s">
        <v>138</v>
      </c>
    </row>
    <row r="26" spans="1:10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5.05" customHeight="1">
      <c r="A27" s="3" t="s">
        <v>139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</sheetData>
  <phoneticPr fontId="8" type="noConversion"/>
  <conditionalFormatting sqref="F6:F25">
    <cfRule type="containsText" dxfId="6" priority="1" operator="containsText" text="待"/>
  </conditionalFormatting>
  <pageMargins left="0.39370078740157477" right="0.39370078740157477" top="0.75" bottom="0.75" header="0.3" footer="0.3"/>
  <pageSetup paperSize="8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0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4" width="16" customWidth="1"/>
    <col min="5" max="5" width="55" customWidth="1"/>
    <col min="6" max="6" width="23" customWidth="1"/>
    <col min="7" max="7" width="24" customWidth="1"/>
    <col min="8" max="9" width="25" customWidth="1"/>
  </cols>
  <sheetData>
    <row r="1" spans="1:9" ht="25.05" customHeight="1">
      <c r="A1" s="1"/>
      <c r="B1" s="1"/>
      <c r="C1" s="1"/>
      <c r="D1" s="1"/>
      <c r="E1" s="1"/>
      <c r="F1" s="1"/>
      <c r="G1" s="1"/>
      <c r="H1" s="1"/>
      <c r="I1" s="1"/>
    </row>
    <row r="2" spans="1:9" ht="34.049999999999997" customHeight="1">
      <c r="A2" s="2" t="s">
        <v>140</v>
      </c>
      <c r="B2" s="2"/>
      <c r="C2" s="2"/>
      <c r="D2" s="2"/>
      <c r="E2" s="2"/>
      <c r="F2" s="2"/>
      <c r="G2" s="2"/>
      <c r="H2" s="2"/>
      <c r="I2" s="2"/>
    </row>
    <row r="3" spans="1:9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</row>
    <row r="4" spans="1:9" ht="25.05" customHeight="1">
      <c r="A4" s="1"/>
      <c r="B4" s="1"/>
      <c r="C4" s="1"/>
      <c r="D4" s="1"/>
      <c r="E4" s="1"/>
      <c r="F4" s="1"/>
      <c r="G4" s="1"/>
      <c r="H4" s="1"/>
      <c r="I4" s="1"/>
    </row>
    <row r="5" spans="1:9" ht="44" customHeight="1">
      <c r="A5" s="4" t="s">
        <v>58</v>
      </c>
      <c r="B5" s="4" t="s">
        <v>141</v>
      </c>
      <c r="C5" s="4" t="s">
        <v>142</v>
      </c>
      <c r="D5" s="4" t="s">
        <v>143</v>
      </c>
      <c r="E5" s="4" t="s">
        <v>144</v>
      </c>
      <c r="F5" s="4" t="s">
        <v>145</v>
      </c>
      <c r="G5" s="4" t="s">
        <v>146</v>
      </c>
      <c r="H5" s="4" t="s">
        <v>147</v>
      </c>
      <c r="I5" s="4" t="s">
        <v>148</v>
      </c>
    </row>
    <row r="6" spans="1:9" ht="46.05" customHeight="1">
      <c r="A6" s="16" t="s">
        <v>72</v>
      </c>
      <c r="B6" s="8" t="s">
        <v>149</v>
      </c>
      <c r="C6" s="8" t="s">
        <v>150</v>
      </c>
      <c r="D6" s="8" t="s">
        <v>151</v>
      </c>
      <c r="E6" s="8" t="s">
        <v>152</v>
      </c>
      <c r="F6" s="17" t="str">
        <f>IF(NOT(AND(COUNTIFS(市场案例库!$A$6:$A$35,B6)=1,COUNTIFS(市场案例库!$A$6:$A$35,C6)=1,COUNTIFS(市场案例库!$A$6:$A$35,D6)=1)),"待补有效案例",IF(OR(B6=C6,B6=D6,C6=D6,IF(COUNTIFS(市场案例库!$A$6:$A$35,B6)&lt;&gt;1,"",IF(INDEX(市场案例库!$C$6:$C$35,MATCH(B6,市场案例库!$A$6:$A$35,0))="","",INDEX(市场案例库!$C$6:$C$35,MATCH(B6,市场案例库!$A$6:$A$35,0))))=IF(COUNTIFS(市场案例库!$A$6:$A$35,C6)&lt;&gt;1,"",IF(INDEX(市场案例库!$C$6:$C$35,MATCH(C6,市场案例库!$A$6:$A$35,0))="","",INDEX(市场案例库!$C$6:$C$35,MATCH(C6,市场案例库!$A$6:$A$35,0)))),IF(COUNTIFS(市场案例库!$A$6:$A$35,B6)&lt;&gt;1,"",IF(INDEX(市场案例库!$C$6:$C$35,MATCH(B6,市场案例库!$A$6:$A$35,0))="","",INDEX(市场案例库!$C$6:$C$35,MATCH(B6,市场案例库!$A$6:$A$35,0))))=IF(COUNTIFS(市场案例库!$A$6:$A$35,D6)&lt;&gt;1,"",IF(INDEX(市场案例库!$C$6:$C$35,MATCH(D6,市场案例库!$A$6:$A$35,0))="","",INDEX(市场案例库!$C$6:$C$35,MATCH(D6,市场案例库!$A$6:$A$35,0)))),IF(COUNTIFS(市场案例库!$A$6:$A$35,C6)&lt;&gt;1,"",IF(INDEX(市场案例库!$C$6:$C$35,MATCH(C6,市场案例库!$A$6:$A$35,0))="","",INDEX(市场案例库!$C$6:$C$35,MATCH(C6,市场案例库!$A$6:$A$35,0))))=IF(COUNTIFS(市场案例库!$A$6:$A$35,D6)&lt;&gt;1,"",IF(INDEX(市场案例库!$C$6:$C$35,MATCH(D6,市场案例库!$A$6:$A$35,0))="","",INDEX(市场案例库!$C$6:$C$35,MATCH(D6,市场案例库!$A$6:$A$35,0)))),IF(COUNTIFS(市场案例库!$A$6:$A$35,B6)&lt;&gt;1,"",IF(INDEX(市场案例库!$D$6:$D$35,MATCH(B6,市场案例库!$A$6:$A$35,0))="","",INDEX(市场案例库!$D$6:$D$35,MATCH(B6,市场案例库!$A$6:$A$35,0))))=IF(COUNTIFS(市场案例库!$A$6:$A$35,C6)&lt;&gt;1,"",IF(INDEX(市场案例库!$D$6:$D$35,MATCH(C6,市场案例库!$A$6:$A$35,0))="","",INDEX(市场案例库!$D$6:$D$35,MATCH(C6,市场案例库!$A$6:$A$35,0)))),IF(COUNTIFS(市场案例库!$A$6:$A$35,B6)&lt;&gt;1,"",IF(INDEX(市场案例库!$D$6:$D$35,MATCH(B6,市场案例库!$A$6:$A$35,0))="","",INDEX(市场案例库!$D$6:$D$35,MATCH(B6,市场案例库!$A$6:$A$35,0))))=IF(COUNTIFS(市场案例库!$A$6:$A$35,D6)&lt;&gt;1,"",IF(INDEX(市场案例库!$D$6:$D$35,MATCH(D6,市场案例库!$A$6:$A$35,0))="","",INDEX(市场案例库!$D$6:$D$35,MATCH(D6,市场案例库!$A$6:$A$35,0)))),IF(COUNTIFS(市场案例库!$A$6:$A$35,C6)&lt;&gt;1,"",IF(INDEX(市场案例库!$D$6:$D$35,MATCH(C6,市场案例库!$A$6:$A$35,0))="","",INDEX(市场案例库!$D$6:$D$35,MATCH(C6,市场案例库!$A$6:$A$35,0))))=IF(COUNTIFS(市场案例库!$A$6:$A$35,D6)&lt;&gt;1,"",IF(INDEX(市场案例库!$D$6:$D$35,MATCH(D6,市场案例库!$A$6:$A$35,0))="","",INDEX(市场案例库!$D$6:$D$35,MATCH(D6,市场案例库!$A$6:$A$35,0))))),"重复待复核","三案例齐全"))</f>
        <v>三案例齐全</v>
      </c>
      <c r="G6" s="17" t="str">
        <f>IF(F6&lt;&gt;"三案例齐全","待补组合",IF(AND(IF(COUNTIFS(市场案例库!$A$6:$A$35,B6)&lt;&gt;1,"",IF(INDEX(市场案例库!$F$6:$F$35,MATCH(B6,市场案例库!$A$6:$A$35,0))="","",INDEX(市场案例库!$F$6:$F$35,MATCH(B6,市场案例库!$A$6:$A$35,0))))=IF(COUNTIFS(资产清单!$A$6:$A$25,A6)&lt;&gt;1,"",IF(INDEX(资产清单!$J$6:$J$25,MATCH(A6,资产清单!$A$6:$A$25,0))="","",INDEX(资产清单!$J$6:$J$25,MATCH(A6,资产清单!$A$6:$A$25,0)))),IF(COUNTIFS(市场案例库!$A$6:$A$35,B6)&lt;&gt;1,"",IF(INDEX(市场案例库!$E$6:$E$35,MATCH(B6,市场案例库!$A$6:$A$35,0))="","",INDEX(市场案例库!$E$6:$E$35,MATCH(B6,市场案例库!$A$6:$A$35,0))))=IF(COUNTIFS(资产清单!$A$6:$A$25,A6)&lt;&gt;1,"",IF(INDEX(资产清单!$H$6:$H$25,MATCH(A6,资产清单!$A$6:$A$25,0))="","",INDEX(资产清单!$H$6:$H$25,MATCH(A6,资产清单!$A$6:$A$25,0)))),IF(COUNTIFS(市场案例库!$A$6:$A$35,C6)&lt;&gt;1,"",IF(INDEX(市场案例库!$F$6:$F$35,MATCH(C6,市场案例库!$A$6:$A$35,0))="","",INDEX(市场案例库!$F$6:$F$35,MATCH(C6,市场案例库!$A$6:$A$35,0))))=IF(COUNTIFS(资产清单!$A$6:$A$25,A6)&lt;&gt;1,"",IF(INDEX(资产清单!$J$6:$J$25,MATCH(A6,资产清单!$A$6:$A$25,0))="","",INDEX(资产清单!$J$6:$J$25,MATCH(A6,资产清单!$A$6:$A$25,0)))),IF(COUNTIFS(市场案例库!$A$6:$A$35,C6)&lt;&gt;1,"",IF(INDEX(市场案例库!$E$6:$E$35,MATCH(C6,市场案例库!$A$6:$A$35,0))="","",INDEX(市场案例库!$E$6:$E$35,MATCH(C6,市场案例库!$A$6:$A$35,0))))=IF(COUNTIFS(资产清单!$A$6:$A$25,A6)&lt;&gt;1,"",IF(INDEX(资产清单!$H$6:$H$25,MATCH(A6,资产清单!$A$6:$A$25,0))="","",INDEX(资产清单!$H$6:$H$25,MATCH(A6,资产清单!$A$6:$A$25,0)))),IF(COUNTIFS(市场案例库!$A$6:$A$35,D6)&lt;&gt;1,"",IF(INDEX(市场案例库!$F$6:$F$35,MATCH(D6,市场案例库!$A$6:$A$35,0))="","",INDEX(市场案例库!$F$6:$F$35,MATCH(D6,市场案例库!$A$6:$A$35,0))))=IF(COUNTIFS(资产清单!$A$6:$A$25,A6)&lt;&gt;1,"",IF(INDEX(资产清单!$J$6:$J$25,MATCH(A6,资产清单!$A$6:$A$25,0))="","",INDEX(资产清单!$J$6:$J$25,MATCH(A6,资产清单!$A$6:$A$25,0)))),IF(COUNTIFS(市场案例库!$A$6:$A$35,D6)&lt;&gt;1,"",IF(INDEX(市场案例库!$E$6:$E$35,MATCH(D6,市场案例库!$A$6:$A$35,0))="","",INDEX(市场案例库!$E$6:$E$35,MATCH(D6,市场案例库!$A$6:$A$35,0))))=IF(COUNTIFS(资产清单!$A$6:$A$25,A6)&lt;&gt;1,"",IF(INDEX(资产清单!$H$6:$H$25,MATCH(A6,资产清单!$A$6:$A$25,0))="","",INDEX(资产清单!$H$6:$H$25,MATCH(A6,资产清单!$A$6:$A$25,0))))),"用途口径一致","用途口径不一致"))</f>
        <v>用途口径一致</v>
      </c>
      <c r="H6" s="17" t="str">
        <f>IF(AND(COUNTIFS(修正明细!$N$6:$N$21,B6)=16,COUNTIFS(修正明细!$N$22:$N$37,C6)=16,COUNTIFS(修正明细!$N$38:$N$53,D6)=16),"绑定有效","待重判评分")</f>
        <v>绑定有效</v>
      </c>
      <c r="I6" s="16" t="s">
        <v>153</v>
      </c>
    </row>
    <row r="7" spans="1:9" ht="46.05" customHeight="1">
      <c r="A7" s="16" t="s">
        <v>74</v>
      </c>
      <c r="B7" s="8" t="s">
        <v>149</v>
      </c>
      <c r="C7" s="8" t="s">
        <v>150</v>
      </c>
      <c r="D7" s="8" t="s">
        <v>151</v>
      </c>
      <c r="E7" s="8" t="s">
        <v>152</v>
      </c>
      <c r="F7" s="17" t="str">
        <f>IF(NOT(AND(COUNTIFS(市场案例库!$A$6:$A$35,B7)=1,COUNTIFS(市场案例库!$A$6:$A$35,C7)=1,COUNTIFS(市场案例库!$A$6:$A$35,D7)=1)),"待补有效案例",IF(OR(B7=C7,B7=D7,C7=D7,IF(COUNTIFS(市场案例库!$A$6:$A$35,B7)&lt;&gt;1,"",IF(INDEX(市场案例库!$C$6:$C$35,MATCH(B7,市场案例库!$A$6:$A$35,0))="","",INDEX(市场案例库!$C$6:$C$35,MATCH(B7,市场案例库!$A$6:$A$35,0))))=IF(COUNTIFS(市场案例库!$A$6:$A$35,C7)&lt;&gt;1,"",IF(INDEX(市场案例库!$C$6:$C$35,MATCH(C7,市场案例库!$A$6:$A$35,0))="","",INDEX(市场案例库!$C$6:$C$35,MATCH(C7,市场案例库!$A$6:$A$35,0)))),IF(COUNTIFS(市场案例库!$A$6:$A$35,B7)&lt;&gt;1,"",IF(INDEX(市场案例库!$C$6:$C$35,MATCH(B7,市场案例库!$A$6:$A$35,0))="","",INDEX(市场案例库!$C$6:$C$35,MATCH(B7,市场案例库!$A$6:$A$35,0))))=IF(COUNTIFS(市场案例库!$A$6:$A$35,D7)&lt;&gt;1,"",IF(INDEX(市场案例库!$C$6:$C$35,MATCH(D7,市场案例库!$A$6:$A$35,0))="","",INDEX(市场案例库!$C$6:$C$35,MATCH(D7,市场案例库!$A$6:$A$35,0)))),IF(COUNTIFS(市场案例库!$A$6:$A$35,C7)&lt;&gt;1,"",IF(INDEX(市场案例库!$C$6:$C$35,MATCH(C7,市场案例库!$A$6:$A$35,0))="","",INDEX(市场案例库!$C$6:$C$35,MATCH(C7,市场案例库!$A$6:$A$35,0))))=IF(COUNTIFS(市场案例库!$A$6:$A$35,D7)&lt;&gt;1,"",IF(INDEX(市场案例库!$C$6:$C$35,MATCH(D7,市场案例库!$A$6:$A$35,0))="","",INDEX(市场案例库!$C$6:$C$35,MATCH(D7,市场案例库!$A$6:$A$35,0)))),IF(COUNTIFS(市场案例库!$A$6:$A$35,B7)&lt;&gt;1,"",IF(INDEX(市场案例库!$D$6:$D$35,MATCH(B7,市场案例库!$A$6:$A$35,0))="","",INDEX(市场案例库!$D$6:$D$35,MATCH(B7,市场案例库!$A$6:$A$35,0))))=IF(COUNTIFS(市场案例库!$A$6:$A$35,C7)&lt;&gt;1,"",IF(INDEX(市场案例库!$D$6:$D$35,MATCH(C7,市场案例库!$A$6:$A$35,0))="","",INDEX(市场案例库!$D$6:$D$35,MATCH(C7,市场案例库!$A$6:$A$35,0)))),IF(COUNTIFS(市场案例库!$A$6:$A$35,B7)&lt;&gt;1,"",IF(INDEX(市场案例库!$D$6:$D$35,MATCH(B7,市场案例库!$A$6:$A$35,0))="","",INDEX(市场案例库!$D$6:$D$35,MATCH(B7,市场案例库!$A$6:$A$35,0))))=IF(COUNTIFS(市场案例库!$A$6:$A$35,D7)&lt;&gt;1,"",IF(INDEX(市场案例库!$D$6:$D$35,MATCH(D7,市场案例库!$A$6:$A$35,0))="","",INDEX(市场案例库!$D$6:$D$35,MATCH(D7,市场案例库!$A$6:$A$35,0)))),IF(COUNTIFS(市场案例库!$A$6:$A$35,C7)&lt;&gt;1,"",IF(INDEX(市场案例库!$D$6:$D$35,MATCH(C7,市场案例库!$A$6:$A$35,0))="","",INDEX(市场案例库!$D$6:$D$35,MATCH(C7,市场案例库!$A$6:$A$35,0))))=IF(COUNTIFS(市场案例库!$A$6:$A$35,D7)&lt;&gt;1,"",IF(INDEX(市场案例库!$D$6:$D$35,MATCH(D7,市场案例库!$A$6:$A$35,0))="","",INDEX(市场案例库!$D$6:$D$35,MATCH(D7,市场案例库!$A$6:$A$35,0))))),"重复待复核","三案例齐全"))</f>
        <v>三案例齐全</v>
      </c>
      <c r="G7" s="17" t="str">
        <f>IF(F7&lt;&gt;"三案例齐全","待补组合",IF(AND(IF(COUNTIFS(市场案例库!$A$6:$A$35,B7)&lt;&gt;1,"",IF(INDEX(市场案例库!$F$6:$F$35,MATCH(B7,市场案例库!$A$6:$A$35,0))="","",INDEX(市场案例库!$F$6:$F$35,MATCH(B7,市场案例库!$A$6:$A$35,0))))=IF(COUNTIFS(资产清单!$A$6:$A$25,A7)&lt;&gt;1,"",IF(INDEX(资产清单!$J$6:$J$25,MATCH(A7,资产清单!$A$6:$A$25,0))="","",INDEX(资产清单!$J$6:$J$25,MATCH(A7,资产清单!$A$6:$A$25,0)))),IF(COUNTIFS(市场案例库!$A$6:$A$35,B7)&lt;&gt;1,"",IF(INDEX(市场案例库!$E$6:$E$35,MATCH(B7,市场案例库!$A$6:$A$35,0))="","",INDEX(市场案例库!$E$6:$E$35,MATCH(B7,市场案例库!$A$6:$A$35,0))))=IF(COUNTIFS(资产清单!$A$6:$A$25,A7)&lt;&gt;1,"",IF(INDEX(资产清单!$H$6:$H$25,MATCH(A7,资产清单!$A$6:$A$25,0))="","",INDEX(资产清单!$H$6:$H$25,MATCH(A7,资产清单!$A$6:$A$25,0)))),IF(COUNTIFS(市场案例库!$A$6:$A$35,C7)&lt;&gt;1,"",IF(INDEX(市场案例库!$F$6:$F$35,MATCH(C7,市场案例库!$A$6:$A$35,0))="","",INDEX(市场案例库!$F$6:$F$35,MATCH(C7,市场案例库!$A$6:$A$35,0))))=IF(COUNTIFS(资产清单!$A$6:$A$25,A7)&lt;&gt;1,"",IF(INDEX(资产清单!$J$6:$J$25,MATCH(A7,资产清单!$A$6:$A$25,0))="","",INDEX(资产清单!$J$6:$J$25,MATCH(A7,资产清单!$A$6:$A$25,0)))),IF(COUNTIFS(市场案例库!$A$6:$A$35,C7)&lt;&gt;1,"",IF(INDEX(市场案例库!$E$6:$E$35,MATCH(C7,市场案例库!$A$6:$A$35,0))="","",INDEX(市场案例库!$E$6:$E$35,MATCH(C7,市场案例库!$A$6:$A$35,0))))=IF(COUNTIFS(资产清单!$A$6:$A$25,A7)&lt;&gt;1,"",IF(INDEX(资产清单!$H$6:$H$25,MATCH(A7,资产清单!$A$6:$A$25,0))="","",INDEX(资产清单!$H$6:$H$25,MATCH(A7,资产清单!$A$6:$A$25,0)))),IF(COUNTIFS(市场案例库!$A$6:$A$35,D7)&lt;&gt;1,"",IF(INDEX(市场案例库!$F$6:$F$35,MATCH(D7,市场案例库!$A$6:$A$35,0))="","",INDEX(市场案例库!$F$6:$F$35,MATCH(D7,市场案例库!$A$6:$A$35,0))))=IF(COUNTIFS(资产清单!$A$6:$A$25,A7)&lt;&gt;1,"",IF(INDEX(资产清单!$J$6:$J$25,MATCH(A7,资产清单!$A$6:$A$25,0))="","",INDEX(资产清单!$J$6:$J$25,MATCH(A7,资产清单!$A$6:$A$25,0)))),IF(COUNTIFS(市场案例库!$A$6:$A$35,D7)&lt;&gt;1,"",IF(INDEX(市场案例库!$E$6:$E$35,MATCH(D7,市场案例库!$A$6:$A$35,0))="","",INDEX(市场案例库!$E$6:$E$35,MATCH(D7,市场案例库!$A$6:$A$35,0))))=IF(COUNTIFS(资产清单!$A$6:$A$25,A7)&lt;&gt;1,"",IF(INDEX(资产清单!$H$6:$H$25,MATCH(A7,资产清单!$A$6:$A$25,0))="","",INDEX(资产清单!$H$6:$H$25,MATCH(A7,资产清单!$A$6:$A$25,0))))),"用途口径一致","用途口径不一致"))</f>
        <v>用途口径一致</v>
      </c>
      <c r="H7" s="17" t="str">
        <f>IF(AND(COUNTIFS(修正明细!$N$54:$N$69,B7)=16,COUNTIFS(修正明细!$N$70:$N$85,C7)=16,COUNTIFS(修正明细!$N$86:$N$101,D7)=16),"绑定有效","待重判评分")</f>
        <v>绑定有效</v>
      </c>
      <c r="I7" s="16" t="s">
        <v>153</v>
      </c>
    </row>
    <row r="8" spans="1:9" ht="46.05" customHeight="1">
      <c r="A8" s="16" t="s">
        <v>75</v>
      </c>
      <c r="B8" s="8" t="s">
        <v>154</v>
      </c>
      <c r="C8" s="8" t="s">
        <v>155</v>
      </c>
      <c r="D8" s="8" t="s">
        <v>156</v>
      </c>
      <c r="E8" s="8" t="s">
        <v>157</v>
      </c>
      <c r="F8" s="17" t="str">
        <f>IF(NOT(AND(COUNTIFS(市场案例库!$A$6:$A$35,B8)=1,COUNTIFS(市场案例库!$A$6:$A$35,C8)=1,COUNTIFS(市场案例库!$A$6:$A$35,D8)=1)),"待补有效案例",IF(OR(B8=C8,B8=D8,C8=D8,IF(COUNTIFS(市场案例库!$A$6:$A$35,B8)&lt;&gt;1,"",IF(INDEX(市场案例库!$C$6:$C$35,MATCH(B8,市场案例库!$A$6:$A$35,0))="","",INDEX(市场案例库!$C$6:$C$35,MATCH(B8,市场案例库!$A$6:$A$35,0))))=IF(COUNTIFS(市场案例库!$A$6:$A$35,C8)&lt;&gt;1,"",IF(INDEX(市场案例库!$C$6:$C$35,MATCH(C8,市场案例库!$A$6:$A$35,0))="","",INDEX(市场案例库!$C$6:$C$35,MATCH(C8,市场案例库!$A$6:$A$35,0)))),IF(COUNTIFS(市场案例库!$A$6:$A$35,B8)&lt;&gt;1,"",IF(INDEX(市场案例库!$C$6:$C$35,MATCH(B8,市场案例库!$A$6:$A$35,0))="","",INDEX(市场案例库!$C$6:$C$35,MATCH(B8,市场案例库!$A$6:$A$35,0))))=IF(COUNTIFS(市场案例库!$A$6:$A$35,D8)&lt;&gt;1,"",IF(INDEX(市场案例库!$C$6:$C$35,MATCH(D8,市场案例库!$A$6:$A$35,0))="","",INDEX(市场案例库!$C$6:$C$35,MATCH(D8,市场案例库!$A$6:$A$35,0)))),IF(COUNTIFS(市场案例库!$A$6:$A$35,C8)&lt;&gt;1,"",IF(INDEX(市场案例库!$C$6:$C$35,MATCH(C8,市场案例库!$A$6:$A$35,0))="","",INDEX(市场案例库!$C$6:$C$35,MATCH(C8,市场案例库!$A$6:$A$35,0))))=IF(COUNTIFS(市场案例库!$A$6:$A$35,D8)&lt;&gt;1,"",IF(INDEX(市场案例库!$C$6:$C$35,MATCH(D8,市场案例库!$A$6:$A$35,0))="","",INDEX(市场案例库!$C$6:$C$35,MATCH(D8,市场案例库!$A$6:$A$35,0)))),IF(COUNTIFS(市场案例库!$A$6:$A$35,B8)&lt;&gt;1,"",IF(INDEX(市场案例库!$D$6:$D$35,MATCH(B8,市场案例库!$A$6:$A$35,0))="","",INDEX(市场案例库!$D$6:$D$35,MATCH(B8,市场案例库!$A$6:$A$35,0))))=IF(COUNTIFS(市场案例库!$A$6:$A$35,C8)&lt;&gt;1,"",IF(INDEX(市场案例库!$D$6:$D$35,MATCH(C8,市场案例库!$A$6:$A$35,0))="","",INDEX(市场案例库!$D$6:$D$35,MATCH(C8,市场案例库!$A$6:$A$35,0)))),IF(COUNTIFS(市场案例库!$A$6:$A$35,B8)&lt;&gt;1,"",IF(INDEX(市场案例库!$D$6:$D$35,MATCH(B8,市场案例库!$A$6:$A$35,0))="","",INDEX(市场案例库!$D$6:$D$35,MATCH(B8,市场案例库!$A$6:$A$35,0))))=IF(COUNTIFS(市场案例库!$A$6:$A$35,D8)&lt;&gt;1,"",IF(INDEX(市场案例库!$D$6:$D$35,MATCH(D8,市场案例库!$A$6:$A$35,0))="","",INDEX(市场案例库!$D$6:$D$35,MATCH(D8,市场案例库!$A$6:$A$35,0)))),IF(COUNTIFS(市场案例库!$A$6:$A$35,C8)&lt;&gt;1,"",IF(INDEX(市场案例库!$D$6:$D$35,MATCH(C8,市场案例库!$A$6:$A$35,0))="","",INDEX(市场案例库!$D$6:$D$35,MATCH(C8,市场案例库!$A$6:$A$35,0))))=IF(COUNTIFS(市场案例库!$A$6:$A$35,D8)&lt;&gt;1,"",IF(INDEX(市场案例库!$D$6:$D$35,MATCH(D8,市场案例库!$A$6:$A$35,0))="","",INDEX(市场案例库!$D$6:$D$35,MATCH(D8,市场案例库!$A$6:$A$35,0))))),"重复待复核","三案例齐全"))</f>
        <v>三案例齐全</v>
      </c>
      <c r="G8" s="17" t="str">
        <f>IF(F8&lt;&gt;"三案例齐全","待补组合",IF(AND(IF(COUNTIFS(市场案例库!$A$6:$A$35,B8)&lt;&gt;1,"",IF(INDEX(市场案例库!$F$6:$F$35,MATCH(B8,市场案例库!$A$6:$A$35,0))="","",INDEX(市场案例库!$F$6:$F$35,MATCH(B8,市场案例库!$A$6:$A$35,0))))=IF(COUNTIFS(资产清单!$A$6:$A$25,A8)&lt;&gt;1,"",IF(INDEX(资产清单!$J$6:$J$25,MATCH(A8,资产清单!$A$6:$A$25,0))="","",INDEX(资产清单!$J$6:$J$25,MATCH(A8,资产清单!$A$6:$A$25,0)))),IF(COUNTIFS(市场案例库!$A$6:$A$35,B8)&lt;&gt;1,"",IF(INDEX(市场案例库!$E$6:$E$35,MATCH(B8,市场案例库!$A$6:$A$35,0))="","",INDEX(市场案例库!$E$6:$E$35,MATCH(B8,市场案例库!$A$6:$A$35,0))))=IF(COUNTIFS(资产清单!$A$6:$A$25,A8)&lt;&gt;1,"",IF(INDEX(资产清单!$H$6:$H$25,MATCH(A8,资产清单!$A$6:$A$25,0))="","",INDEX(资产清单!$H$6:$H$25,MATCH(A8,资产清单!$A$6:$A$25,0)))),IF(COUNTIFS(市场案例库!$A$6:$A$35,C8)&lt;&gt;1,"",IF(INDEX(市场案例库!$F$6:$F$35,MATCH(C8,市场案例库!$A$6:$A$35,0))="","",INDEX(市场案例库!$F$6:$F$35,MATCH(C8,市场案例库!$A$6:$A$35,0))))=IF(COUNTIFS(资产清单!$A$6:$A$25,A8)&lt;&gt;1,"",IF(INDEX(资产清单!$J$6:$J$25,MATCH(A8,资产清单!$A$6:$A$25,0))="","",INDEX(资产清单!$J$6:$J$25,MATCH(A8,资产清单!$A$6:$A$25,0)))),IF(COUNTIFS(市场案例库!$A$6:$A$35,C8)&lt;&gt;1,"",IF(INDEX(市场案例库!$E$6:$E$35,MATCH(C8,市场案例库!$A$6:$A$35,0))="","",INDEX(市场案例库!$E$6:$E$35,MATCH(C8,市场案例库!$A$6:$A$35,0))))=IF(COUNTIFS(资产清单!$A$6:$A$25,A8)&lt;&gt;1,"",IF(INDEX(资产清单!$H$6:$H$25,MATCH(A8,资产清单!$A$6:$A$25,0))="","",INDEX(资产清单!$H$6:$H$25,MATCH(A8,资产清单!$A$6:$A$25,0)))),IF(COUNTIFS(市场案例库!$A$6:$A$35,D8)&lt;&gt;1,"",IF(INDEX(市场案例库!$F$6:$F$35,MATCH(D8,市场案例库!$A$6:$A$35,0))="","",INDEX(市场案例库!$F$6:$F$35,MATCH(D8,市场案例库!$A$6:$A$35,0))))=IF(COUNTIFS(资产清单!$A$6:$A$25,A8)&lt;&gt;1,"",IF(INDEX(资产清单!$J$6:$J$25,MATCH(A8,资产清单!$A$6:$A$25,0))="","",INDEX(资产清单!$J$6:$J$25,MATCH(A8,资产清单!$A$6:$A$25,0)))),IF(COUNTIFS(市场案例库!$A$6:$A$35,D8)&lt;&gt;1,"",IF(INDEX(市场案例库!$E$6:$E$35,MATCH(D8,市场案例库!$A$6:$A$35,0))="","",INDEX(市场案例库!$E$6:$E$35,MATCH(D8,市场案例库!$A$6:$A$35,0))))=IF(COUNTIFS(资产清单!$A$6:$A$25,A8)&lt;&gt;1,"",IF(INDEX(资产清单!$H$6:$H$25,MATCH(A8,资产清单!$A$6:$A$25,0))="","",INDEX(资产清单!$H$6:$H$25,MATCH(A8,资产清单!$A$6:$A$25,0))))),"用途口径一致","用途口径不一致"))</f>
        <v>用途口径一致</v>
      </c>
      <c r="H8" s="17" t="str">
        <f>IF(AND(COUNTIFS(修正明细!$N$102:$N$117,B8)=16,COUNTIFS(修正明细!$N$118:$N$133,C8)=16,COUNTIFS(修正明细!$N$134:$N$149,D8)=16),"绑定有效","待重判评分")</f>
        <v>绑定有效</v>
      </c>
      <c r="I8" s="16" t="s">
        <v>153</v>
      </c>
    </row>
    <row r="9" spans="1:9" ht="46.05" customHeight="1">
      <c r="A9" s="16" t="s">
        <v>76</v>
      </c>
      <c r="B9" s="8" t="s">
        <v>158</v>
      </c>
      <c r="C9" s="8" t="s">
        <v>159</v>
      </c>
      <c r="D9" s="8" t="s">
        <v>160</v>
      </c>
      <c r="E9" s="8" t="s">
        <v>161</v>
      </c>
      <c r="F9" s="17" t="str">
        <f>IF(NOT(AND(COUNTIFS(市场案例库!$A$6:$A$35,B9)=1,COUNTIFS(市场案例库!$A$6:$A$35,C9)=1,COUNTIFS(市场案例库!$A$6:$A$35,D9)=1)),"待补有效案例",IF(OR(B9=C9,B9=D9,C9=D9,IF(COUNTIFS(市场案例库!$A$6:$A$35,B9)&lt;&gt;1,"",IF(INDEX(市场案例库!$C$6:$C$35,MATCH(B9,市场案例库!$A$6:$A$35,0))="","",INDEX(市场案例库!$C$6:$C$35,MATCH(B9,市场案例库!$A$6:$A$35,0))))=IF(COUNTIFS(市场案例库!$A$6:$A$35,C9)&lt;&gt;1,"",IF(INDEX(市场案例库!$C$6:$C$35,MATCH(C9,市场案例库!$A$6:$A$35,0))="","",INDEX(市场案例库!$C$6:$C$35,MATCH(C9,市场案例库!$A$6:$A$35,0)))),IF(COUNTIFS(市场案例库!$A$6:$A$35,B9)&lt;&gt;1,"",IF(INDEX(市场案例库!$C$6:$C$35,MATCH(B9,市场案例库!$A$6:$A$35,0))="","",INDEX(市场案例库!$C$6:$C$35,MATCH(B9,市场案例库!$A$6:$A$35,0))))=IF(COUNTIFS(市场案例库!$A$6:$A$35,D9)&lt;&gt;1,"",IF(INDEX(市场案例库!$C$6:$C$35,MATCH(D9,市场案例库!$A$6:$A$35,0))="","",INDEX(市场案例库!$C$6:$C$35,MATCH(D9,市场案例库!$A$6:$A$35,0)))),IF(COUNTIFS(市场案例库!$A$6:$A$35,C9)&lt;&gt;1,"",IF(INDEX(市场案例库!$C$6:$C$35,MATCH(C9,市场案例库!$A$6:$A$35,0))="","",INDEX(市场案例库!$C$6:$C$35,MATCH(C9,市场案例库!$A$6:$A$35,0))))=IF(COUNTIFS(市场案例库!$A$6:$A$35,D9)&lt;&gt;1,"",IF(INDEX(市场案例库!$C$6:$C$35,MATCH(D9,市场案例库!$A$6:$A$35,0))="","",INDEX(市场案例库!$C$6:$C$35,MATCH(D9,市场案例库!$A$6:$A$35,0)))),IF(COUNTIFS(市场案例库!$A$6:$A$35,B9)&lt;&gt;1,"",IF(INDEX(市场案例库!$D$6:$D$35,MATCH(B9,市场案例库!$A$6:$A$35,0))="","",INDEX(市场案例库!$D$6:$D$35,MATCH(B9,市场案例库!$A$6:$A$35,0))))=IF(COUNTIFS(市场案例库!$A$6:$A$35,C9)&lt;&gt;1,"",IF(INDEX(市场案例库!$D$6:$D$35,MATCH(C9,市场案例库!$A$6:$A$35,0))="","",INDEX(市场案例库!$D$6:$D$35,MATCH(C9,市场案例库!$A$6:$A$35,0)))),IF(COUNTIFS(市场案例库!$A$6:$A$35,B9)&lt;&gt;1,"",IF(INDEX(市场案例库!$D$6:$D$35,MATCH(B9,市场案例库!$A$6:$A$35,0))="","",INDEX(市场案例库!$D$6:$D$35,MATCH(B9,市场案例库!$A$6:$A$35,0))))=IF(COUNTIFS(市场案例库!$A$6:$A$35,D9)&lt;&gt;1,"",IF(INDEX(市场案例库!$D$6:$D$35,MATCH(D9,市场案例库!$A$6:$A$35,0))="","",INDEX(市场案例库!$D$6:$D$35,MATCH(D9,市场案例库!$A$6:$A$35,0)))),IF(COUNTIFS(市场案例库!$A$6:$A$35,C9)&lt;&gt;1,"",IF(INDEX(市场案例库!$D$6:$D$35,MATCH(C9,市场案例库!$A$6:$A$35,0))="","",INDEX(市场案例库!$D$6:$D$35,MATCH(C9,市场案例库!$A$6:$A$35,0))))=IF(COUNTIFS(市场案例库!$A$6:$A$35,D9)&lt;&gt;1,"",IF(INDEX(市场案例库!$D$6:$D$35,MATCH(D9,市场案例库!$A$6:$A$35,0))="","",INDEX(市场案例库!$D$6:$D$35,MATCH(D9,市场案例库!$A$6:$A$35,0))))),"重复待复核","三案例齐全"))</f>
        <v>三案例齐全</v>
      </c>
      <c r="G9" s="17" t="str">
        <f>IF(F9&lt;&gt;"三案例齐全","待补组合",IF(AND(IF(COUNTIFS(市场案例库!$A$6:$A$35,B9)&lt;&gt;1,"",IF(INDEX(市场案例库!$F$6:$F$35,MATCH(B9,市场案例库!$A$6:$A$35,0))="","",INDEX(市场案例库!$F$6:$F$35,MATCH(B9,市场案例库!$A$6:$A$35,0))))=IF(COUNTIFS(资产清单!$A$6:$A$25,A9)&lt;&gt;1,"",IF(INDEX(资产清单!$J$6:$J$25,MATCH(A9,资产清单!$A$6:$A$25,0))="","",INDEX(资产清单!$J$6:$J$25,MATCH(A9,资产清单!$A$6:$A$25,0)))),IF(COUNTIFS(市场案例库!$A$6:$A$35,B9)&lt;&gt;1,"",IF(INDEX(市场案例库!$E$6:$E$35,MATCH(B9,市场案例库!$A$6:$A$35,0))="","",INDEX(市场案例库!$E$6:$E$35,MATCH(B9,市场案例库!$A$6:$A$35,0))))=IF(COUNTIFS(资产清单!$A$6:$A$25,A9)&lt;&gt;1,"",IF(INDEX(资产清单!$H$6:$H$25,MATCH(A9,资产清单!$A$6:$A$25,0))="","",INDEX(资产清单!$H$6:$H$25,MATCH(A9,资产清单!$A$6:$A$25,0)))),IF(COUNTIFS(市场案例库!$A$6:$A$35,C9)&lt;&gt;1,"",IF(INDEX(市场案例库!$F$6:$F$35,MATCH(C9,市场案例库!$A$6:$A$35,0))="","",INDEX(市场案例库!$F$6:$F$35,MATCH(C9,市场案例库!$A$6:$A$35,0))))=IF(COUNTIFS(资产清单!$A$6:$A$25,A9)&lt;&gt;1,"",IF(INDEX(资产清单!$J$6:$J$25,MATCH(A9,资产清单!$A$6:$A$25,0))="","",INDEX(资产清单!$J$6:$J$25,MATCH(A9,资产清单!$A$6:$A$25,0)))),IF(COUNTIFS(市场案例库!$A$6:$A$35,C9)&lt;&gt;1,"",IF(INDEX(市场案例库!$E$6:$E$35,MATCH(C9,市场案例库!$A$6:$A$35,0))="","",INDEX(市场案例库!$E$6:$E$35,MATCH(C9,市场案例库!$A$6:$A$35,0))))=IF(COUNTIFS(资产清单!$A$6:$A$25,A9)&lt;&gt;1,"",IF(INDEX(资产清单!$H$6:$H$25,MATCH(A9,资产清单!$A$6:$A$25,0))="","",INDEX(资产清单!$H$6:$H$25,MATCH(A9,资产清单!$A$6:$A$25,0)))),IF(COUNTIFS(市场案例库!$A$6:$A$35,D9)&lt;&gt;1,"",IF(INDEX(市场案例库!$F$6:$F$35,MATCH(D9,市场案例库!$A$6:$A$35,0))="","",INDEX(市场案例库!$F$6:$F$35,MATCH(D9,市场案例库!$A$6:$A$35,0))))=IF(COUNTIFS(资产清单!$A$6:$A$25,A9)&lt;&gt;1,"",IF(INDEX(资产清单!$J$6:$J$25,MATCH(A9,资产清单!$A$6:$A$25,0))="","",INDEX(资产清单!$J$6:$J$25,MATCH(A9,资产清单!$A$6:$A$25,0)))),IF(COUNTIFS(市场案例库!$A$6:$A$35,D9)&lt;&gt;1,"",IF(INDEX(市场案例库!$E$6:$E$35,MATCH(D9,市场案例库!$A$6:$A$35,0))="","",INDEX(市场案例库!$E$6:$E$35,MATCH(D9,市场案例库!$A$6:$A$35,0))))=IF(COUNTIFS(资产清单!$A$6:$A$25,A9)&lt;&gt;1,"",IF(INDEX(资产清单!$H$6:$H$25,MATCH(A9,资产清单!$A$6:$A$25,0))="","",INDEX(资产清单!$H$6:$H$25,MATCH(A9,资产清单!$A$6:$A$25,0))))),"用途口径一致","用途口径不一致"))</f>
        <v>用途口径一致</v>
      </c>
      <c r="H9" s="17" t="str">
        <f>IF(AND(COUNTIFS(修正明细!$N$150:$N$165,B9)=16,COUNTIFS(修正明细!$N$166:$N$181,C9)=16,COUNTIFS(修正明细!$N$182:$N$197,D9)=16),"绑定有效","待重判评分")</f>
        <v>绑定有效</v>
      </c>
      <c r="I9" s="16" t="s">
        <v>153</v>
      </c>
    </row>
    <row r="10" spans="1:9" ht="46.05" customHeight="1">
      <c r="A10" s="16" t="s">
        <v>77</v>
      </c>
      <c r="B10" s="8" t="s">
        <v>162</v>
      </c>
      <c r="C10" s="8" t="s">
        <v>163</v>
      </c>
      <c r="D10" s="8" t="s">
        <v>164</v>
      </c>
      <c r="E10" s="8" t="s">
        <v>152</v>
      </c>
      <c r="F10" s="17" t="str">
        <f>IF(NOT(AND(COUNTIFS(市场案例库!$A$6:$A$35,B10)=1,COUNTIFS(市场案例库!$A$6:$A$35,C10)=1,COUNTIFS(市场案例库!$A$6:$A$35,D10)=1)),"待补有效案例",IF(OR(B10=C10,B10=D10,C10=D10,IF(COUNTIFS(市场案例库!$A$6:$A$35,B10)&lt;&gt;1,"",IF(INDEX(市场案例库!$C$6:$C$35,MATCH(B10,市场案例库!$A$6:$A$35,0))="","",INDEX(市场案例库!$C$6:$C$35,MATCH(B10,市场案例库!$A$6:$A$35,0))))=IF(COUNTIFS(市场案例库!$A$6:$A$35,C10)&lt;&gt;1,"",IF(INDEX(市场案例库!$C$6:$C$35,MATCH(C10,市场案例库!$A$6:$A$35,0))="","",INDEX(市场案例库!$C$6:$C$35,MATCH(C10,市场案例库!$A$6:$A$35,0)))),IF(COUNTIFS(市场案例库!$A$6:$A$35,B10)&lt;&gt;1,"",IF(INDEX(市场案例库!$C$6:$C$35,MATCH(B10,市场案例库!$A$6:$A$35,0))="","",INDEX(市场案例库!$C$6:$C$35,MATCH(B10,市场案例库!$A$6:$A$35,0))))=IF(COUNTIFS(市场案例库!$A$6:$A$35,D10)&lt;&gt;1,"",IF(INDEX(市场案例库!$C$6:$C$35,MATCH(D10,市场案例库!$A$6:$A$35,0))="","",INDEX(市场案例库!$C$6:$C$35,MATCH(D10,市场案例库!$A$6:$A$35,0)))),IF(COUNTIFS(市场案例库!$A$6:$A$35,C10)&lt;&gt;1,"",IF(INDEX(市场案例库!$C$6:$C$35,MATCH(C10,市场案例库!$A$6:$A$35,0))="","",INDEX(市场案例库!$C$6:$C$35,MATCH(C10,市场案例库!$A$6:$A$35,0))))=IF(COUNTIFS(市场案例库!$A$6:$A$35,D10)&lt;&gt;1,"",IF(INDEX(市场案例库!$C$6:$C$35,MATCH(D10,市场案例库!$A$6:$A$35,0))="","",INDEX(市场案例库!$C$6:$C$35,MATCH(D10,市场案例库!$A$6:$A$35,0)))),IF(COUNTIFS(市场案例库!$A$6:$A$35,B10)&lt;&gt;1,"",IF(INDEX(市场案例库!$D$6:$D$35,MATCH(B10,市场案例库!$A$6:$A$35,0))="","",INDEX(市场案例库!$D$6:$D$35,MATCH(B10,市场案例库!$A$6:$A$35,0))))=IF(COUNTIFS(市场案例库!$A$6:$A$35,C10)&lt;&gt;1,"",IF(INDEX(市场案例库!$D$6:$D$35,MATCH(C10,市场案例库!$A$6:$A$35,0))="","",INDEX(市场案例库!$D$6:$D$35,MATCH(C10,市场案例库!$A$6:$A$35,0)))),IF(COUNTIFS(市场案例库!$A$6:$A$35,B10)&lt;&gt;1,"",IF(INDEX(市场案例库!$D$6:$D$35,MATCH(B10,市场案例库!$A$6:$A$35,0))="","",INDEX(市场案例库!$D$6:$D$35,MATCH(B10,市场案例库!$A$6:$A$35,0))))=IF(COUNTIFS(市场案例库!$A$6:$A$35,D10)&lt;&gt;1,"",IF(INDEX(市场案例库!$D$6:$D$35,MATCH(D10,市场案例库!$A$6:$A$35,0))="","",INDEX(市场案例库!$D$6:$D$35,MATCH(D10,市场案例库!$A$6:$A$35,0)))),IF(COUNTIFS(市场案例库!$A$6:$A$35,C10)&lt;&gt;1,"",IF(INDEX(市场案例库!$D$6:$D$35,MATCH(C10,市场案例库!$A$6:$A$35,0))="","",INDEX(市场案例库!$D$6:$D$35,MATCH(C10,市场案例库!$A$6:$A$35,0))))=IF(COUNTIFS(市场案例库!$A$6:$A$35,D10)&lt;&gt;1,"",IF(INDEX(市场案例库!$D$6:$D$35,MATCH(D10,市场案例库!$A$6:$A$35,0))="","",INDEX(市场案例库!$D$6:$D$35,MATCH(D10,市场案例库!$A$6:$A$35,0))))),"重复待复核","三案例齐全"))</f>
        <v>三案例齐全</v>
      </c>
      <c r="G10" s="17" t="str">
        <f>IF(F10&lt;&gt;"三案例齐全","待补组合",IF(AND(IF(COUNTIFS(市场案例库!$A$6:$A$35,B10)&lt;&gt;1,"",IF(INDEX(市场案例库!$F$6:$F$35,MATCH(B10,市场案例库!$A$6:$A$35,0))="","",INDEX(市场案例库!$F$6:$F$35,MATCH(B10,市场案例库!$A$6:$A$35,0))))=IF(COUNTIFS(资产清单!$A$6:$A$25,A10)&lt;&gt;1,"",IF(INDEX(资产清单!$J$6:$J$25,MATCH(A10,资产清单!$A$6:$A$25,0))="","",INDEX(资产清单!$J$6:$J$25,MATCH(A10,资产清单!$A$6:$A$25,0)))),IF(COUNTIFS(市场案例库!$A$6:$A$35,B10)&lt;&gt;1,"",IF(INDEX(市场案例库!$E$6:$E$35,MATCH(B10,市场案例库!$A$6:$A$35,0))="","",INDEX(市场案例库!$E$6:$E$35,MATCH(B10,市场案例库!$A$6:$A$35,0))))=IF(COUNTIFS(资产清单!$A$6:$A$25,A10)&lt;&gt;1,"",IF(INDEX(资产清单!$H$6:$H$25,MATCH(A10,资产清单!$A$6:$A$25,0))="","",INDEX(资产清单!$H$6:$H$25,MATCH(A10,资产清单!$A$6:$A$25,0)))),IF(COUNTIFS(市场案例库!$A$6:$A$35,C10)&lt;&gt;1,"",IF(INDEX(市场案例库!$F$6:$F$35,MATCH(C10,市场案例库!$A$6:$A$35,0))="","",INDEX(市场案例库!$F$6:$F$35,MATCH(C10,市场案例库!$A$6:$A$35,0))))=IF(COUNTIFS(资产清单!$A$6:$A$25,A10)&lt;&gt;1,"",IF(INDEX(资产清单!$J$6:$J$25,MATCH(A10,资产清单!$A$6:$A$25,0))="","",INDEX(资产清单!$J$6:$J$25,MATCH(A10,资产清单!$A$6:$A$25,0)))),IF(COUNTIFS(市场案例库!$A$6:$A$35,C10)&lt;&gt;1,"",IF(INDEX(市场案例库!$E$6:$E$35,MATCH(C10,市场案例库!$A$6:$A$35,0))="","",INDEX(市场案例库!$E$6:$E$35,MATCH(C10,市场案例库!$A$6:$A$35,0))))=IF(COUNTIFS(资产清单!$A$6:$A$25,A10)&lt;&gt;1,"",IF(INDEX(资产清单!$H$6:$H$25,MATCH(A10,资产清单!$A$6:$A$25,0))="","",INDEX(资产清单!$H$6:$H$25,MATCH(A10,资产清单!$A$6:$A$25,0)))),IF(COUNTIFS(市场案例库!$A$6:$A$35,D10)&lt;&gt;1,"",IF(INDEX(市场案例库!$F$6:$F$35,MATCH(D10,市场案例库!$A$6:$A$35,0))="","",INDEX(市场案例库!$F$6:$F$35,MATCH(D10,市场案例库!$A$6:$A$35,0))))=IF(COUNTIFS(资产清单!$A$6:$A$25,A10)&lt;&gt;1,"",IF(INDEX(资产清单!$J$6:$J$25,MATCH(A10,资产清单!$A$6:$A$25,0))="","",INDEX(资产清单!$J$6:$J$25,MATCH(A10,资产清单!$A$6:$A$25,0)))),IF(COUNTIFS(市场案例库!$A$6:$A$35,D10)&lt;&gt;1,"",IF(INDEX(市场案例库!$E$6:$E$35,MATCH(D10,市场案例库!$A$6:$A$35,0))="","",INDEX(市场案例库!$E$6:$E$35,MATCH(D10,市场案例库!$A$6:$A$35,0))))=IF(COUNTIFS(资产清单!$A$6:$A$25,A10)&lt;&gt;1,"",IF(INDEX(资产清单!$H$6:$H$25,MATCH(A10,资产清单!$A$6:$A$25,0))="","",INDEX(资产清单!$H$6:$H$25,MATCH(A10,资产清单!$A$6:$A$25,0))))),"用途口径一致","用途口径不一致"))</f>
        <v>用途口径一致</v>
      </c>
      <c r="H10" s="17" t="str">
        <f>IF(AND(COUNTIFS(修正明细!$N$198:$N$213,B10)=16,COUNTIFS(修正明细!$N$214:$N$229,C10)=16,COUNTIFS(修正明细!$N$230:$N$245,D10)=16),"绑定有效","待重判评分")</f>
        <v>绑定有效</v>
      </c>
      <c r="I10" s="16" t="s">
        <v>153</v>
      </c>
    </row>
    <row r="11" spans="1:9" ht="46.05" customHeight="1">
      <c r="A11" s="16" t="s">
        <v>78</v>
      </c>
      <c r="B11" s="8" t="s">
        <v>162</v>
      </c>
      <c r="C11" s="8" t="s">
        <v>163</v>
      </c>
      <c r="D11" s="8" t="s">
        <v>164</v>
      </c>
      <c r="E11" s="8" t="s">
        <v>152</v>
      </c>
      <c r="F11" s="17" t="str">
        <f>IF(NOT(AND(COUNTIFS(市场案例库!$A$6:$A$35,B11)=1,COUNTIFS(市场案例库!$A$6:$A$35,C11)=1,COUNTIFS(市场案例库!$A$6:$A$35,D11)=1)),"待补有效案例",IF(OR(B11=C11,B11=D11,C11=D11,IF(COUNTIFS(市场案例库!$A$6:$A$35,B11)&lt;&gt;1,"",IF(INDEX(市场案例库!$C$6:$C$35,MATCH(B11,市场案例库!$A$6:$A$35,0))="","",INDEX(市场案例库!$C$6:$C$35,MATCH(B11,市场案例库!$A$6:$A$35,0))))=IF(COUNTIFS(市场案例库!$A$6:$A$35,C11)&lt;&gt;1,"",IF(INDEX(市场案例库!$C$6:$C$35,MATCH(C11,市场案例库!$A$6:$A$35,0))="","",INDEX(市场案例库!$C$6:$C$35,MATCH(C11,市场案例库!$A$6:$A$35,0)))),IF(COUNTIFS(市场案例库!$A$6:$A$35,B11)&lt;&gt;1,"",IF(INDEX(市场案例库!$C$6:$C$35,MATCH(B11,市场案例库!$A$6:$A$35,0))="","",INDEX(市场案例库!$C$6:$C$35,MATCH(B11,市场案例库!$A$6:$A$35,0))))=IF(COUNTIFS(市场案例库!$A$6:$A$35,D11)&lt;&gt;1,"",IF(INDEX(市场案例库!$C$6:$C$35,MATCH(D11,市场案例库!$A$6:$A$35,0))="","",INDEX(市场案例库!$C$6:$C$35,MATCH(D11,市场案例库!$A$6:$A$35,0)))),IF(COUNTIFS(市场案例库!$A$6:$A$35,C11)&lt;&gt;1,"",IF(INDEX(市场案例库!$C$6:$C$35,MATCH(C11,市场案例库!$A$6:$A$35,0))="","",INDEX(市场案例库!$C$6:$C$35,MATCH(C11,市场案例库!$A$6:$A$35,0))))=IF(COUNTIFS(市场案例库!$A$6:$A$35,D11)&lt;&gt;1,"",IF(INDEX(市场案例库!$C$6:$C$35,MATCH(D11,市场案例库!$A$6:$A$35,0))="","",INDEX(市场案例库!$C$6:$C$35,MATCH(D11,市场案例库!$A$6:$A$35,0)))),IF(COUNTIFS(市场案例库!$A$6:$A$35,B11)&lt;&gt;1,"",IF(INDEX(市场案例库!$D$6:$D$35,MATCH(B11,市场案例库!$A$6:$A$35,0))="","",INDEX(市场案例库!$D$6:$D$35,MATCH(B11,市场案例库!$A$6:$A$35,0))))=IF(COUNTIFS(市场案例库!$A$6:$A$35,C11)&lt;&gt;1,"",IF(INDEX(市场案例库!$D$6:$D$35,MATCH(C11,市场案例库!$A$6:$A$35,0))="","",INDEX(市场案例库!$D$6:$D$35,MATCH(C11,市场案例库!$A$6:$A$35,0)))),IF(COUNTIFS(市场案例库!$A$6:$A$35,B11)&lt;&gt;1,"",IF(INDEX(市场案例库!$D$6:$D$35,MATCH(B11,市场案例库!$A$6:$A$35,0))="","",INDEX(市场案例库!$D$6:$D$35,MATCH(B11,市场案例库!$A$6:$A$35,0))))=IF(COUNTIFS(市场案例库!$A$6:$A$35,D11)&lt;&gt;1,"",IF(INDEX(市场案例库!$D$6:$D$35,MATCH(D11,市场案例库!$A$6:$A$35,0))="","",INDEX(市场案例库!$D$6:$D$35,MATCH(D11,市场案例库!$A$6:$A$35,0)))),IF(COUNTIFS(市场案例库!$A$6:$A$35,C11)&lt;&gt;1,"",IF(INDEX(市场案例库!$D$6:$D$35,MATCH(C11,市场案例库!$A$6:$A$35,0))="","",INDEX(市场案例库!$D$6:$D$35,MATCH(C11,市场案例库!$A$6:$A$35,0))))=IF(COUNTIFS(市场案例库!$A$6:$A$35,D11)&lt;&gt;1,"",IF(INDEX(市场案例库!$D$6:$D$35,MATCH(D11,市场案例库!$A$6:$A$35,0))="","",INDEX(市场案例库!$D$6:$D$35,MATCH(D11,市场案例库!$A$6:$A$35,0))))),"重复待复核","三案例齐全"))</f>
        <v>三案例齐全</v>
      </c>
      <c r="G11" s="17" t="str">
        <f>IF(F11&lt;&gt;"三案例齐全","待补组合",IF(AND(IF(COUNTIFS(市场案例库!$A$6:$A$35,B11)&lt;&gt;1,"",IF(INDEX(市场案例库!$F$6:$F$35,MATCH(B11,市场案例库!$A$6:$A$35,0))="","",INDEX(市场案例库!$F$6:$F$35,MATCH(B11,市场案例库!$A$6:$A$35,0))))=IF(COUNTIFS(资产清单!$A$6:$A$25,A11)&lt;&gt;1,"",IF(INDEX(资产清单!$J$6:$J$25,MATCH(A11,资产清单!$A$6:$A$25,0))="","",INDEX(资产清单!$J$6:$J$25,MATCH(A11,资产清单!$A$6:$A$25,0)))),IF(COUNTIFS(市场案例库!$A$6:$A$35,B11)&lt;&gt;1,"",IF(INDEX(市场案例库!$E$6:$E$35,MATCH(B11,市场案例库!$A$6:$A$35,0))="","",INDEX(市场案例库!$E$6:$E$35,MATCH(B11,市场案例库!$A$6:$A$35,0))))=IF(COUNTIFS(资产清单!$A$6:$A$25,A11)&lt;&gt;1,"",IF(INDEX(资产清单!$H$6:$H$25,MATCH(A11,资产清单!$A$6:$A$25,0))="","",INDEX(资产清单!$H$6:$H$25,MATCH(A11,资产清单!$A$6:$A$25,0)))),IF(COUNTIFS(市场案例库!$A$6:$A$35,C11)&lt;&gt;1,"",IF(INDEX(市场案例库!$F$6:$F$35,MATCH(C11,市场案例库!$A$6:$A$35,0))="","",INDEX(市场案例库!$F$6:$F$35,MATCH(C11,市场案例库!$A$6:$A$35,0))))=IF(COUNTIFS(资产清单!$A$6:$A$25,A11)&lt;&gt;1,"",IF(INDEX(资产清单!$J$6:$J$25,MATCH(A11,资产清单!$A$6:$A$25,0))="","",INDEX(资产清单!$J$6:$J$25,MATCH(A11,资产清单!$A$6:$A$25,0)))),IF(COUNTIFS(市场案例库!$A$6:$A$35,C11)&lt;&gt;1,"",IF(INDEX(市场案例库!$E$6:$E$35,MATCH(C11,市场案例库!$A$6:$A$35,0))="","",INDEX(市场案例库!$E$6:$E$35,MATCH(C11,市场案例库!$A$6:$A$35,0))))=IF(COUNTIFS(资产清单!$A$6:$A$25,A11)&lt;&gt;1,"",IF(INDEX(资产清单!$H$6:$H$25,MATCH(A11,资产清单!$A$6:$A$25,0))="","",INDEX(资产清单!$H$6:$H$25,MATCH(A11,资产清单!$A$6:$A$25,0)))),IF(COUNTIFS(市场案例库!$A$6:$A$35,D11)&lt;&gt;1,"",IF(INDEX(市场案例库!$F$6:$F$35,MATCH(D11,市场案例库!$A$6:$A$35,0))="","",INDEX(市场案例库!$F$6:$F$35,MATCH(D11,市场案例库!$A$6:$A$35,0))))=IF(COUNTIFS(资产清单!$A$6:$A$25,A11)&lt;&gt;1,"",IF(INDEX(资产清单!$J$6:$J$25,MATCH(A11,资产清单!$A$6:$A$25,0))="","",INDEX(资产清单!$J$6:$J$25,MATCH(A11,资产清单!$A$6:$A$25,0)))),IF(COUNTIFS(市场案例库!$A$6:$A$35,D11)&lt;&gt;1,"",IF(INDEX(市场案例库!$E$6:$E$35,MATCH(D11,市场案例库!$A$6:$A$35,0))="","",INDEX(市场案例库!$E$6:$E$35,MATCH(D11,市场案例库!$A$6:$A$35,0))))=IF(COUNTIFS(资产清单!$A$6:$A$25,A11)&lt;&gt;1,"",IF(INDEX(资产清单!$H$6:$H$25,MATCH(A11,资产清单!$A$6:$A$25,0))="","",INDEX(资产清单!$H$6:$H$25,MATCH(A11,资产清单!$A$6:$A$25,0))))),"用途口径一致","用途口径不一致"))</f>
        <v>用途口径一致</v>
      </c>
      <c r="H11" s="17" t="str">
        <f>IF(AND(COUNTIFS(修正明细!$N$246:$N$261,B11)=16,COUNTIFS(修正明细!$N$262:$N$277,C11)=16,COUNTIFS(修正明细!$N$278:$N$293,D11)=16),"绑定有效","待重判评分")</f>
        <v>绑定有效</v>
      </c>
      <c r="I11" s="16" t="s">
        <v>153</v>
      </c>
    </row>
    <row r="12" spans="1:9" ht="46.05" customHeight="1">
      <c r="A12" s="16" t="s">
        <v>79</v>
      </c>
      <c r="B12" s="8" t="s">
        <v>165</v>
      </c>
      <c r="C12" s="8" t="s">
        <v>166</v>
      </c>
      <c r="D12" s="8" t="s">
        <v>167</v>
      </c>
      <c r="E12" s="8" t="s">
        <v>157</v>
      </c>
      <c r="F12" s="17" t="str">
        <f>IF(NOT(AND(COUNTIFS(市场案例库!$A$6:$A$35,B12)=1,COUNTIFS(市场案例库!$A$6:$A$35,C12)=1,COUNTIFS(市场案例库!$A$6:$A$35,D12)=1)),"待补有效案例",IF(OR(B12=C12,B12=D12,C12=D12,IF(COUNTIFS(市场案例库!$A$6:$A$35,B12)&lt;&gt;1,"",IF(INDEX(市场案例库!$C$6:$C$35,MATCH(B12,市场案例库!$A$6:$A$35,0))="","",INDEX(市场案例库!$C$6:$C$35,MATCH(B12,市场案例库!$A$6:$A$35,0))))=IF(COUNTIFS(市场案例库!$A$6:$A$35,C12)&lt;&gt;1,"",IF(INDEX(市场案例库!$C$6:$C$35,MATCH(C12,市场案例库!$A$6:$A$35,0))="","",INDEX(市场案例库!$C$6:$C$35,MATCH(C12,市场案例库!$A$6:$A$35,0)))),IF(COUNTIFS(市场案例库!$A$6:$A$35,B12)&lt;&gt;1,"",IF(INDEX(市场案例库!$C$6:$C$35,MATCH(B12,市场案例库!$A$6:$A$35,0))="","",INDEX(市场案例库!$C$6:$C$35,MATCH(B12,市场案例库!$A$6:$A$35,0))))=IF(COUNTIFS(市场案例库!$A$6:$A$35,D12)&lt;&gt;1,"",IF(INDEX(市场案例库!$C$6:$C$35,MATCH(D12,市场案例库!$A$6:$A$35,0))="","",INDEX(市场案例库!$C$6:$C$35,MATCH(D12,市场案例库!$A$6:$A$35,0)))),IF(COUNTIFS(市场案例库!$A$6:$A$35,C12)&lt;&gt;1,"",IF(INDEX(市场案例库!$C$6:$C$35,MATCH(C12,市场案例库!$A$6:$A$35,0))="","",INDEX(市场案例库!$C$6:$C$35,MATCH(C12,市场案例库!$A$6:$A$35,0))))=IF(COUNTIFS(市场案例库!$A$6:$A$35,D12)&lt;&gt;1,"",IF(INDEX(市场案例库!$C$6:$C$35,MATCH(D12,市场案例库!$A$6:$A$35,0))="","",INDEX(市场案例库!$C$6:$C$35,MATCH(D12,市场案例库!$A$6:$A$35,0)))),IF(COUNTIFS(市场案例库!$A$6:$A$35,B12)&lt;&gt;1,"",IF(INDEX(市场案例库!$D$6:$D$35,MATCH(B12,市场案例库!$A$6:$A$35,0))="","",INDEX(市场案例库!$D$6:$D$35,MATCH(B12,市场案例库!$A$6:$A$35,0))))=IF(COUNTIFS(市场案例库!$A$6:$A$35,C12)&lt;&gt;1,"",IF(INDEX(市场案例库!$D$6:$D$35,MATCH(C12,市场案例库!$A$6:$A$35,0))="","",INDEX(市场案例库!$D$6:$D$35,MATCH(C12,市场案例库!$A$6:$A$35,0)))),IF(COUNTIFS(市场案例库!$A$6:$A$35,B12)&lt;&gt;1,"",IF(INDEX(市场案例库!$D$6:$D$35,MATCH(B12,市场案例库!$A$6:$A$35,0))="","",INDEX(市场案例库!$D$6:$D$35,MATCH(B12,市场案例库!$A$6:$A$35,0))))=IF(COUNTIFS(市场案例库!$A$6:$A$35,D12)&lt;&gt;1,"",IF(INDEX(市场案例库!$D$6:$D$35,MATCH(D12,市场案例库!$A$6:$A$35,0))="","",INDEX(市场案例库!$D$6:$D$35,MATCH(D12,市场案例库!$A$6:$A$35,0)))),IF(COUNTIFS(市场案例库!$A$6:$A$35,C12)&lt;&gt;1,"",IF(INDEX(市场案例库!$D$6:$D$35,MATCH(C12,市场案例库!$A$6:$A$35,0))="","",INDEX(市场案例库!$D$6:$D$35,MATCH(C12,市场案例库!$A$6:$A$35,0))))=IF(COUNTIFS(市场案例库!$A$6:$A$35,D12)&lt;&gt;1,"",IF(INDEX(市场案例库!$D$6:$D$35,MATCH(D12,市场案例库!$A$6:$A$35,0))="","",INDEX(市场案例库!$D$6:$D$35,MATCH(D12,市场案例库!$A$6:$A$35,0))))),"重复待复核","三案例齐全"))</f>
        <v>三案例齐全</v>
      </c>
      <c r="G12" s="17" t="str">
        <f>IF(F12&lt;&gt;"三案例齐全","待补组合",IF(AND(IF(COUNTIFS(市场案例库!$A$6:$A$35,B12)&lt;&gt;1,"",IF(INDEX(市场案例库!$F$6:$F$35,MATCH(B12,市场案例库!$A$6:$A$35,0))="","",INDEX(市场案例库!$F$6:$F$35,MATCH(B12,市场案例库!$A$6:$A$35,0))))=IF(COUNTIFS(资产清单!$A$6:$A$25,A12)&lt;&gt;1,"",IF(INDEX(资产清单!$J$6:$J$25,MATCH(A12,资产清单!$A$6:$A$25,0))="","",INDEX(资产清单!$J$6:$J$25,MATCH(A12,资产清单!$A$6:$A$25,0)))),IF(COUNTIFS(市场案例库!$A$6:$A$35,B12)&lt;&gt;1,"",IF(INDEX(市场案例库!$E$6:$E$35,MATCH(B12,市场案例库!$A$6:$A$35,0))="","",INDEX(市场案例库!$E$6:$E$35,MATCH(B12,市场案例库!$A$6:$A$35,0))))=IF(COUNTIFS(资产清单!$A$6:$A$25,A12)&lt;&gt;1,"",IF(INDEX(资产清单!$H$6:$H$25,MATCH(A12,资产清单!$A$6:$A$25,0))="","",INDEX(资产清单!$H$6:$H$25,MATCH(A12,资产清单!$A$6:$A$25,0)))),IF(COUNTIFS(市场案例库!$A$6:$A$35,C12)&lt;&gt;1,"",IF(INDEX(市场案例库!$F$6:$F$35,MATCH(C12,市场案例库!$A$6:$A$35,0))="","",INDEX(市场案例库!$F$6:$F$35,MATCH(C12,市场案例库!$A$6:$A$35,0))))=IF(COUNTIFS(资产清单!$A$6:$A$25,A12)&lt;&gt;1,"",IF(INDEX(资产清单!$J$6:$J$25,MATCH(A12,资产清单!$A$6:$A$25,0))="","",INDEX(资产清单!$J$6:$J$25,MATCH(A12,资产清单!$A$6:$A$25,0)))),IF(COUNTIFS(市场案例库!$A$6:$A$35,C12)&lt;&gt;1,"",IF(INDEX(市场案例库!$E$6:$E$35,MATCH(C12,市场案例库!$A$6:$A$35,0))="","",INDEX(市场案例库!$E$6:$E$35,MATCH(C12,市场案例库!$A$6:$A$35,0))))=IF(COUNTIFS(资产清单!$A$6:$A$25,A12)&lt;&gt;1,"",IF(INDEX(资产清单!$H$6:$H$25,MATCH(A12,资产清单!$A$6:$A$25,0))="","",INDEX(资产清单!$H$6:$H$25,MATCH(A12,资产清单!$A$6:$A$25,0)))),IF(COUNTIFS(市场案例库!$A$6:$A$35,D12)&lt;&gt;1,"",IF(INDEX(市场案例库!$F$6:$F$35,MATCH(D12,市场案例库!$A$6:$A$35,0))="","",INDEX(市场案例库!$F$6:$F$35,MATCH(D12,市场案例库!$A$6:$A$35,0))))=IF(COUNTIFS(资产清单!$A$6:$A$25,A12)&lt;&gt;1,"",IF(INDEX(资产清单!$J$6:$J$25,MATCH(A12,资产清单!$A$6:$A$25,0))="","",INDEX(资产清单!$J$6:$J$25,MATCH(A12,资产清单!$A$6:$A$25,0)))),IF(COUNTIFS(市场案例库!$A$6:$A$35,D12)&lt;&gt;1,"",IF(INDEX(市场案例库!$E$6:$E$35,MATCH(D12,市场案例库!$A$6:$A$35,0))="","",INDEX(市场案例库!$E$6:$E$35,MATCH(D12,市场案例库!$A$6:$A$35,0))))=IF(COUNTIFS(资产清单!$A$6:$A$25,A12)&lt;&gt;1,"",IF(INDEX(资产清单!$H$6:$H$25,MATCH(A12,资产清单!$A$6:$A$25,0))="","",INDEX(资产清单!$H$6:$H$25,MATCH(A12,资产清单!$A$6:$A$25,0))))),"用途口径一致","用途口径不一致"))</f>
        <v>用途口径一致</v>
      </c>
      <c r="H12" s="17" t="str">
        <f>IF(AND(COUNTIFS(修正明细!$N$294:$N$309,B12)=16,COUNTIFS(修正明细!$N$310:$N$325,C12)=16,COUNTIFS(修正明细!$N$326:$N$341,D12)=16),"绑定有效","待重判评分")</f>
        <v>绑定有效</v>
      </c>
      <c r="I12" s="16" t="s">
        <v>153</v>
      </c>
    </row>
    <row r="13" spans="1:9" ht="46.05" customHeight="1">
      <c r="A13" s="16" t="s">
        <v>80</v>
      </c>
      <c r="B13" s="8" t="s">
        <v>168</v>
      </c>
      <c r="C13" s="8" t="s">
        <v>169</v>
      </c>
      <c r="D13" s="8" t="s">
        <v>170</v>
      </c>
      <c r="E13" s="8" t="s">
        <v>157</v>
      </c>
      <c r="F13" s="17" t="str">
        <f>IF(NOT(AND(COUNTIFS(市场案例库!$A$6:$A$35,B13)=1,COUNTIFS(市场案例库!$A$6:$A$35,C13)=1,COUNTIFS(市场案例库!$A$6:$A$35,D13)=1)),"待补有效案例",IF(OR(B13=C13,B13=D13,C13=D13,IF(COUNTIFS(市场案例库!$A$6:$A$35,B13)&lt;&gt;1,"",IF(INDEX(市场案例库!$C$6:$C$35,MATCH(B13,市场案例库!$A$6:$A$35,0))="","",INDEX(市场案例库!$C$6:$C$35,MATCH(B13,市场案例库!$A$6:$A$35,0))))=IF(COUNTIFS(市场案例库!$A$6:$A$35,C13)&lt;&gt;1,"",IF(INDEX(市场案例库!$C$6:$C$35,MATCH(C13,市场案例库!$A$6:$A$35,0))="","",INDEX(市场案例库!$C$6:$C$35,MATCH(C13,市场案例库!$A$6:$A$35,0)))),IF(COUNTIFS(市场案例库!$A$6:$A$35,B13)&lt;&gt;1,"",IF(INDEX(市场案例库!$C$6:$C$35,MATCH(B13,市场案例库!$A$6:$A$35,0))="","",INDEX(市场案例库!$C$6:$C$35,MATCH(B13,市场案例库!$A$6:$A$35,0))))=IF(COUNTIFS(市场案例库!$A$6:$A$35,D13)&lt;&gt;1,"",IF(INDEX(市场案例库!$C$6:$C$35,MATCH(D13,市场案例库!$A$6:$A$35,0))="","",INDEX(市场案例库!$C$6:$C$35,MATCH(D13,市场案例库!$A$6:$A$35,0)))),IF(COUNTIFS(市场案例库!$A$6:$A$35,C13)&lt;&gt;1,"",IF(INDEX(市场案例库!$C$6:$C$35,MATCH(C13,市场案例库!$A$6:$A$35,0))="","",INDEX(市场案例库!$C$6:$C$35,MATCH(C13,市场案例库!$A$6:$A$35,0))))=IF(COUNTIFS(市场案例库!$A$6:$A$35,D13)&lt;&gt;1,"",IF(INDEX(市场案例库!$C$6:$C$35,MATCH(D13,市场案例库!$A$6:$A$35,0))="","",INDEX(市场案例库!$C$6:$C$35,MATCH(D13,市场案例库!$A$6:$A$35,0)))),IF(COUNTIFS(市场案例库!$A$6:$A$35,B13)&lt;&gt;1,"",IF(INDEX(市场案例库!$D$6:$D$35,MATCH(B13,市场案例库!$A$6:$A$35,0))="","",INDEX(市场案例库!$D$6:$D$35,MATCH(B13,市场案例库!$A$6:$A$35,0))))=IF(COUNTIFS(市场案例库!$A$6:$A$35,C13)&lt;&gt;1,"",IF(INDEX(市场案例库!$D$6:$D$35,MATCH(C13,市场案例库!$A$6:$A$35,0))="","",INDEX(市场案例库!$D$6:$D$35,MATCH(C13,市场案例库!$A$6:$A$35,0)))),IF(COUNTIFS(市场案例库!$A$6:$A$35,B13)&lt;&gt;1,"",IF(INDEX(市场案例库!$D$6:$D$35,MATCH(B13,市场案例库!$A$6:$A$35,0))="","",INDEX(市场案例库!$D$6:$D$35,MATCH(B13,市场案例库!$A$6:$A$35,0))))=IF(COUNTIFS(市场案例库!$A$6:$A$35,D13)&lt;&gt;1,"",IF(INDEX(市场案例库!$D$6:$D$35,MATCH(D13,市场案例库!$A$6:$A$35,0))="","",INDEX(市场案例库!$D$6:$D$35,MATCH(D13,市场案例库!$A$6:$A$35,0)))),IF(COUNTIFS(市场案例库!$A$6:$A$35,C13)&lt;&gt;1,"",IF(INDEX(市场案例库!$D$6:$D$35,MATCH(C13,市场案例库!$A$6:$A$35,0))="","",INDEX(市场案例库!$D$6:$D$35,MATCH(C13,市场案例库!$A$6:$A$35,0))))=IF(COUNTIFS(市场案例库!$A$6:$A$35,D13)&lt;&gt;1,"",IF(INDEX(市场案例库!$D$6:$D$35,MATCH(D13,市场案例库!$A$6:$A$35,0))="","",INDEX(市场案例库!$D$6:$D$35,MATCH(D13,市场案例库!$A$6:$A$35,0))))),"重复待复核","三案例齐全"))</f>
        <v>三案例齐全</v>
      </c>
      <c r="G13" s="17" t="str">
        <f>IF(F13&lt;&gt;"三案例齐全","待补组合",IF(AND(IF(COUNTIFS(市场案例库!$A$6:$A$35,B13)&lt;&gt;1,"",IF(INDEX(市场案例库!$F$6:$F$35,MATCH(B13,市场案例库!$A$6:$A$35,0))="","",INDEX(市场案例库!$F$6:$F$35,MATCH(B13,市场案例库!$A$6:$A$35,0))))=IF(COUNTIFS(资产清单!$A$6:$A$25,A13)&lt;&gt;1,"",IF(INDEX(资产清单!$J$6:$J$25,MATCH(A13,资产清单!$A$6:$A$25,0))="","",INDEX(资产清单!$J$6:$J$25,MATCH(A13,资产清单!$A$6:$A$25,0)))),IF(COUNTIFS(市场案例库!$A$6:$A$35,B13)&lt;&gt;1,"",IF(INDEX(市场案例库!$E$6:$E$35,MATCH(B13,市场案例库!$A$6:$A$35,0))="","",INDEX(市场案例库!$E$6:$E$35,MATCH(B13,市场案例库!$A$6:$A$35,0))))=IF(COUNTIFS(资产清单!$A$6:$A$25,A13)&lt;&gt;1,"",IF(INDEX(资产清单!$H$6:$H$25,MATCH(A13,资产清单!$A$6:$A$25,0))="","",INDEX(资产清单!$H$6:$H$25,MATCH(A13,资产清单!$A$6:$A$25,0)))),IF(COUNTIFS(市场案例库!$A$6:$A$35,C13)&lt;&gt;1,"",IF(INDEX(市场案例库!$F$6:$F$35,MATCH(C13,市场案例库!$A$6:$A$35,0))="","",INDEX(市场案例库!$F$6:$F$35,MATCH(C13,市场案例库!$A$6:$A$35,0))))=IF(COUNTIFS(资产清单!$A$6:$A$25,A13)&lt;&gt;1,"",IF(INDEX(资产清单!$J$6:$J$25,MATCH(A13,资产清单!$A$6:$A$25,0))="","",INDEX(资产清单!$J$6:$J$25,MATCH(A13,资产清单!$A$6:$A$25,0)))),IF(COUNTIFS(市场案例库!$A$6:$A$35,C13)&lt;&gt;1,"",IF(INDEX(市场案例库!$E$6:$E$35,MATCH(C13,市场案例库!$A$6:$A$35,0))="","",INDEX(市场案例库!$E$6:$E$35,MATCH(C13,市场案例库!$A$6:$A$35,0))))=IF(COUNTIFS(资产清单!$A$6:$A$25,A13)&lt;&gt;1,"",IF(INDEX(资产清单!$H$6:$H$25,MATCH(A13,资产清单!$A$6:$A$25,0))="","",INDEX(资产清单!$H$6:$H$25,MATCH(A13,资产清单!$A$6:$A$25,0)))),IF(COUNTIFS(市场案例库!$A$6:$A$35,D13)&lt;&gt;1,"",IF(INDEX(市场案例库!$F$6:$F$35,MATCH(D13,市场案例库!$A$6:$A$35,0))="","",INDEX(市场案例库!$F$6:$F$35,MATCH(D13,市场案例库!$A$6:$A$35,0))))=IF(COUNTIFS(资产清单!$A$6:$A$25,A13)&lt;&gt;1,"",IF(INDEX(资产清单!$J$6:$J$25,MATCH(A13,资产清单!$A$6:$A$25,0))="","",INDEX(资产清单!$J$6:$J$25,MATCH(A13,资产清单!$A$6:$A$25,0)))),IF(COUNTIFS(市场案例库!$A$6:$A$35,D13)&lt;&gt;1,"",IF(INDEX(市场案例库!$E$6:$E$35,MATCH(D13,市场案例库!$A$6:$A$35,0))="","",INDEX(市场案例库!$E$6:$E$35,MATCH(D13,市场案例库!$A$6:$A$35,0))))=IF(COUNTIFS(资产清单!$A$6:$A$25,A13)&lt;&gt;1,"",IF(INDEX(资产清单!$H$6:$H$25,MATCH(A13,资产清单!$A$6:$A$25,0))="","",INDEX(资产清单!$H$6:$H$25,MATCH(A13,资产清单!$A$6:$A$25,0))))),"用途口径一致","用途口径不一致"))</f>
        <v>用途口径一致</v>
      </c>
      <c r="H13" s="17" t="str">
        <f>IF(AND(COUNTIFS(修正明细!$N$342:$N$357,B13)=16,COUNTIFS(修正明细!$N$358:$N$373,C13)=16,COUNTIFS(修正明细!$N$374:$N$389,D13)=16),"绑定有效","待重判评分")</f>
        <v>绑定有效</v>
      </c>
      <c r="I13" s="16" t="s">
        <v>153</v>
      </c>
    </row>
    <row r="14" spans="1:9" ht="46.05" customHeight="1">
      <c r="A14" s="16" t="s">
        <v>81</v>
      </c>
      <c r="B14" s="8" t="s">
        <v>171</v>
      </c>
      <c r="C14" s="8" t="s">
        <v>172</v>
      </c>
      <c r="D14" s="8" t="s">
        <v>173</v>
      </c>
      <c r="E14" s="8" t="s">
        <v>157</v>
      </c>
      <c r="F14" s="17" t="str">
        <f>IF(NOT(AND(COUNTIFS(市场案例库!$A$6:$A$35,B14)=1,COUNTIFS(市场案例库!$A$6:$A$35,C14)=1,COUNTIFS(市场案例库!$A$6:$A$35,D14)=1)),"待补有效案例",IF(OR(B14=C14,B14=D14,C14=D14,IF(COUNTIFS(市场案例库!$A$6:$A$35,B14)&lt;&gt;1,"",IF(INDEX(市场案例库!$C$6:$C$35,MATCH(B14,市场案例库!$A$6:$A$35,0))="","",INDEX(市场案例库!$C$6:$C$35,MATCH(B14,市场案例库!$A$6:$A$35,0))))=IF(COUNTIFS(市场案例库!$A$6:$A$35,C14)&lt;&gt;1,"",IF(INDEX(市场案例库!$C$6:$C$35,MATCH(C14,市场案例库!$A$6:$A$35,0))="","",INDEX(市场案例库!$C$6:$C$35,MATCH(C14,市场案例库!$A$6:$A$35,0)))),IF(COUNTIFS(市场案例库!$A$6:$A$35,B14)&lt;&gt;1,"",IF(INDEX(市场案例库!$C$6:$C$35,MATCH(B14,市场案例库!$A$6:$A$35,0))="","",INDEX(市场案例库!$C$6:$C$35,MATCH(B14,市场案例库!$A$6:$A$35,0))))=IF(COUNTIFS(市场案例库!$A$6:$A$35,D14)&lt;&gt;1,"",IF(INDEX(市场案例库!$C$6:$C$35,MATCH(D14,市场案例库!$A$6:$A$35,0))="","",INDEX(市场案例库!$C$6:$C$35,MATCH(D14,市场案例库!$A$6:$A$35,0)))),IF(COUNTIFS(市场案例库!$A$6:$A$35,C14)&lt;&gt;1,"",IF(INDEX(市场案例库!$C$6:$C$35,MATCH(C14,市场案例库!$A$6:$A$35,0))="","",INDEX(市场案例库!$C$6:$C$35,MATCH(C14,市场案例库!$A$6:$A$35,0))))=IF(COUNTIFS(市场案例库!$A$6:$A$35,D14)&lt;&gt;1,"",IF(INDEX(市场案例库!$C$6:$C$35,MATCH(D14,市场案例库!$A$6:$A$35,0))="","",INDEX(市场案例库!$C$6:$C$35,MATCH(D14,市场案例库!$A$6:$A$35,0)))),IF(COUNTIFS(市场案例库!$A$6:$A$35,B14)&lt;&gt;1,"",IF(INDEX(市场案例库!$D$6:$D$35,MATCH(B14,市场案例库!$A$6:$A$35,0))="","",INDEX(市场案例库!$D$6:$D$35,MATCH(B14,市场案例库!$A$6:$A$35,0))))=IF(COUNTIFS(市场案例库!$A$6:$A$35,C14)&lt;&gt;1,"",IF(INDEX(市场案例库!$D$6:$D$35,MATCH(C14,市场案例库!$A$6:$A$35,0))="","",INDEX(市场案例库!$D$6:$D$35,MATCH(C14,市场案例库!$A$6:$A$35,0)))),IF(COUNTIFS(市场案例库!$A$6:$A$35,B14)&lt;&gt;1,"",IF(INDEX(市场案例库!$D$6:$D$35,MATCH(B14,市场案例库!$A$6:$A$35,0))="","",INDEX(市场案例库!$D$6:$D$35,MATCH(B14,市场案例库!$A$6:$A$35,0))))=IF(COUNTIFS(市场案例库!$A$6:$A$35,D14)&lt;&gt;1,"",IF(INDEX(市场案例库!$D$6:$D$35,MATCH(D14,市场案例库!$A$6:$A$35,0))="","",INDEX(市场案例库!$D$6:$D$35,MATCH(D14,市场案例库!$A$6:$A$35,0)))),IF(COUNTIFS(市场案例库!$A$6:$A$35,C14)&lt;&gt;1,"",IF(INDEX(市场案例库!$D$6:$D$35,MATCH(C14,市场案例库!$A$6:$A$35,0))="","",INDEX(市场案例库!$D$6:$D$35,MATCH(C14,市场案例库!$A$6:$A$35,0))))=IF(COUNTIFS(市场案例库!$A$6:$A$35,D14)&lt;&gt;1,"",IF(INDEX(市场案例库!$D$6:$D$35,MATCH(D14,市场案例库!$A$6:$A$35,0))="","",INDEX(市场案例库!$D$6:$D$35,MATCH(D14,市场案例库!$A$6:$A$35,0))))),"重复待复核","三案例齐全"))</f>
        <v>三案例齐全</v>
      </c>
      <c r="G14" s="17" t="str">
        <f>IF(F14&lt;&gt;"三案例齐全","待补组合",IF(AND(IF(COUNTIFS(市场案例库!$A$6:$A$35,B14)&lt;&gt;1,"",IF(INDEX(市场案例库!$F$6:$F$35,MATCH(B14,市场案例库!$A$6:$A$35,0))="","",INDEX(市场案例库!$F$6:$F$35,MATCH(B14,市场案例库!$A$6:$A$35,0))))=IF(COUNTIFS(资产清单!$A$6:$A$25,A14)&lt;&gt;1,"",IF(INDEX(资产清单!$J$6:$J$25,MATCH(A14,资产清单!$A$6:$A$25,0))="","",INDEX(资产清单!$J$6:$J$25,MATCH(A14,资产清单!$A$6:$A$25,0)))),IF(COUNTIFS(市场案例库!$A$6:$A$35,B14)&lt;&gt;1,"",IF(INDEX(市场案例库!$E$6:$E$35,MATCH(B14,市场案例库!$A$6:$A$35,0))="","",INDEX(市场案例库!$E$6:$E$35,MATCH(B14,市场案例库!$A$6:$A$35,0))))=IF(COUNTIFS(资产清单!$A$6:$A$25,A14)&lt;&gt;1,"",IF(INDEX(资产清单!$H$6:$H$25,MATCH(A14,资产清单!$A$6:$A$25,0))="","",INDEX(资产清单!$H$6:$H$25,MATCH(A14,资产清单!$A$6:$A$25,0)))),IF(COUNTIFS(市场案例库!$A$6:$A$35,C14)&lt;&gt;1,"",IF(INDEX(市场案例库!$F$6:$F$35,MATCH(C14,市场案例库!$A$6:$A$35,0))="","",INDEX(市场案例库!$F$6:$F$35,MATCH(C14,市场案例库!$A$6:$A$35,0))))=IF(COUNTIFS(资产清单!$A$6:$A$25,A14)&lt;&gt;1,"",IF(INDEX(资产清单!$J$6:$J$25,MATCH(A14,资产清单!$A$6:$A$25,0))="","",INDEX(资产清单!$J$6:$J$25,MATCH(A14,资产清单!$A$6:$A$25,0)))),IF(COUNTIFS(市场案例库!$A$6:$A$35,C14)&lt;&gt;1,"",IF(INDEX(市场案例库!$E$6:$E$35,MATCH(C14,市场案例库!$A$6:$A$35,0))="","",INDEX(市场案例库!$E$6:$E$35,MATCH(C14,市场案例库!$A$6:$A$35,0))))=IF(COUNTIFS(资产清单!$A$6:$A$25,A14)&lt;&gt;1,"",IF(INDEX(资产清单!$H$6:$H$25,MATCH(A14,资产清单!$A$6:$A$25,0))="","",INDEX(资产清单!$H$6:$H$25,MATCH(A14,资产清单!$A$6:$A$25,0)))),IF(COUNTIFS(市场案例库!$A$6:$A$35,D14)&lt;&gt;1,"",IF(INDEX(市场案例库!$F$6:$F$35,MATCH(D14,市场案例库!$A$6:$A$35,0))="","",INDEX(市场案例库!$F$6:$F$35,MATCH(D14,市场案例库!$A$6:$A$35,0))))=IF(COUNTIFS(资产清单!$A$6:$A$25,A14)&lt;&gt;1,"",IF(INDEX(资产清单!$J$6:$J$25,MATCH(A14,资产清单!$A$6:$A$25,0))="","",INDEX(资产清单!$J$6:$J$25,MATCH(A14,资产清单!$A$6:$A$25,0)))),IF(COUNTIFS(市场案例库!$A$6:$A$35,D14)&lt;&gt;1,"",IF(INDEX(市场案例库!$E$6:$E$35,MATCH(D14,市场案例库!$A$6:$A$35,0))="","",INDEX(市场案例库!$E$6:$E$35,MATCH(D14,市场案例库!$A$6:$A$35,0))))=IF(COUNTIFS(资产清单!$A$6:$A$25,A14)&lt;&gt;1,"",IF(INDEX(资产清单!$H$6:$H$25,MATCH(A14,资产清单!$A$6:$A$25,0))="","",INDEX(资产清单!$H$6:$H$25,MATCH(A14,资产清单!$A$6:$A$25,0))))),"用途口径一致","用途口径不一致"))</f>
        <v>用途口径一致</v>
      </c>
      <c r="H14" s="17" t="str">
        <f>IF(AND(COUNTIFS(修正明细!$N$390:$N$405,B14)=16,COUNTIFS(修正明细!$N$406:$N$421,C14)=16,COUNTIFS(修正明细!$N$422:$N$437,D14)=16),"绑定有效","待重判评分")</f>
        <v>绑定有效</v>
      </c>
      <c r="I14" s="16" t="s">
        <v>153</v>
      </c>
    </row>
    <row r="15" spans="1:9" ht="46.05" customHeight="1">
      <c r="A15" s="16" t="s">
        <v>82</v>
      </c>
      <c r="B15" s="8" t="s">
        <v>174</v>
      </c>
      <c r="C15" s="8" t="s">
        <v>175</v>
      </c>
      <c r="D15" s="8" t="s">
        <v>176</v>
      </c>
      <c r="E15" s="8" t="s">
        <v>157</v>
      </c>
      <c r="F15" s="17" t="str">
        <f>IF(NOT(AND(COUNTIFS(市场案例库!$A$6:$A$35,B15)=1,COUNTIFS(市场案例库!$A$6:$A$35,C15)=1,COUNTIFS(市场案例库!$A$6:$A$35,D15)=1)),"待补有效案例",IF(OR(B15=C15,B15=D15,C15=D15,IF(COUNTIFS(市场案例库!$A$6:$A$35,B15)&lt;&gt;1,"",IF(INDEX(市场案例库!$C$6:$C$35,MATCH(B15,市场案例库!$A$6:$A$35,0))="","",INDEX(市场案例库!$C$6:$C$35,MATCH(B15,市场案例库!$A$6:$A$35,0))))=IF(COUNTIFS(市场案例库!$A$6:$A$35,C15)&lt;&gt;1,"",IF(INDEX(市场案例库!$C$6:$C$35,MATCH(C15,市场案例库!$A$6:$A$35,0))="","",INDEX(市场案例库!$C$6:$C$35,MATCH(C15,市场案例库!$A$6:$A$35,0)))),IF(COUNTIFS(市场案例库!$A$6:$A$35,B15)&lt;&gt;1,"",IF(INDEX(市场案例库!$C$6:$C$35,MATCH(B15,市场案例库!$A$6:$A$35,0))="","",INDEX(市场案例库!$C$6:$C$35,MATCH(B15,市场案例库!$A$6:$A$35,0))))=IF(COUNTIFS(市场案例库!$A$6:$A$35,D15)&lt;&gt;1,"",IF(INDEX(市场案例库!$C$6:$C$35,MATCH(D15,市场案例库!$A$6:$A$35,0))="","",INDEX(市场案例库!$C$6:$C$35,MATCH(D15,市场案例库!$A$6:$A$35,0)))),IF(COUNTIFS(市场案例库!$A$6:$A$35,C15)&lt;&gt;1,"",IF(INDEX(市场案例库!$C$6:$C$35,MATCH(C15,市场案例库!$A$6:$A$35,0))="","",INDEX(市场案例库!$C$6:$C$35,MATCH(C15,市场案例库!$A$6:$A$35,0))))=IF(COUNTIFS(市场案例库!$A$6:$A$35,D15)&lt;&gt;1,"",IF(INDEX(市场案例库!$C$6:$C$35,MATCH(D15,市场案例库!$A$6:$A$35,0))="","",INDEX(市场案例库!$C$6:$C$35,MATCH(D15,市场案例库!$A$6:$A$35,0)))),IF(COUNTIFS(市场案例库!$A$6:$A$35,B15)&lt;&gt;1,"",IF(INDEX(市场案例库!$D$6:$D$35,MATCH(B15,市场案例库!$A$6:$A$35,0))="","",INDEX(市场案例库!$D$6:$D$35,MATCH(B15,市场案例库!$A$6:$A$35,0))))=IF(COUNTIFS(市场案例库!$A$6:$A$35,C15)&lt;&gt;1,"",IF(INDEX(市场案例库!$D$6:$D$35,MATCH(C15,市场案例库!$A$6:$A$35,0))="","",INDEX(市场案例库!$D$6:$D$35,MATCH(C15,市场案例库!$A$6:$A$35,0)))),IF(COUNTIFS(市场案例库!$A$6:$A$35,B15)&lt;&gt;1,"",IF(INDEX(市场案例库!$D$6:$D$35,MATCH(B15,市场案例库!$A$6:$A$35,0))="","",INDEX(市场案例库!$D$6:$D$35,MATCH(B15,市场案例库!$A$6:$A$35,0))))=IF(COUNTIFS(市场案例库!$A$6:$A$35,D15)&lt;&gt;1,"",IF(INDEX(市场案例库!$D$6:$D$35,MATCH(D15,市场案例库!$A$6:$A$35,0))="","",INDEX(市场案例库!$D$6:$D$35,MATCH(D15,市场案例库!$A$6:$A$35,0)))),IF(COUNTIFS(市场案例库!$A$6:$A$35,C15)&lt;&gt;1,"",IF(INDEX(市场案例库!$D$6:$D$35,MATCH(C15,市场案例库!$A$6:$A$35,0))="","",INDEX(市场案例库!$D$6:$D$35,MATCH(C15,市场案例库!$A$6:$A$35,0))))=IF(COUNTIFS(市场案例库!$A$6:$A$35,D15)&lt;&gt;1,"",IF(INDEX(市场案例库!$D$6:$D$35,MATCH(D15,市场案例库!$A$6:$A$35,0))="","",INDEX(市场案例库!$D$6:$D$35,MATCH(D15,市场案例库!$A$6:$A$35,0))))),"重复待复核","三案例齐全"))</f>
        <v>三案例齐全</v>
      </c>
      <c r="G15" s="17" t="str">
        <f>IF(F15&lt;&gt;"三案例齐全","待补组合",IF(AND(IF(COUNTIFS(市场案例库!$A$6:$A$35,B15)&lt;&gt;1,"",IF(INDEX(市场案例库!$F$6:$F$35,MATCH(B15,市场案例库!$A$6:$A$35,0))="","",INDEX(市场案例库!$F$6:$F$35,MATCH(B15,市场案例库!$A$6:$A$35,0))))=IF(COUNTIFS(资产清单!$A$6:$A$25,A15)&lt;&gt;1,"",IF(INDEX(资产清单!$J$6:$J$25,MATCH(A15,资产清单!$A$6:$A$25,0))="","",INDEX(资产清单!$J$6:$J$25,MATCH(A15,资产清单!$A$6:$A$25,0)))),IF(COUNTIFS(市场案例库!$A$6:$A$35,B15)&lt;&gt;1,"",IF(INDEX(市场案例库!$E$6:$E$35,MATCH(B15,市场案例库!$A$6:$A$35,0))="","",INDEX(市场案例库!$E$6:$E$35,MATCH(B15,市场案例库!$A$6:$A$35,0))))=IF(COUNTIFS(资产清单!$A$6:$A$25,A15)&lt;&gt;1,"",IF(INDEX(资产清单!$H$6:$H$25,MATCH(A15,资产清单!$A$6:$A$25,0))="","",INDEX(资产清单!$H$6:$H$25,MATCH(A15,资产清单!$A$6:$A$25,0)))),IF(COUNTIFS(市场案例库!$A$6:$A$35,C15)&lt;&gt;1,"",IF(INDEX(市场案例库!$F$6:$F$35,MATCH(C15,市场案例库!$A$6:$A$35,0))="","",INDEX(市场案例库!$F$6:$F$35,MATCH(C15,市场案例库!$A$6:$A$35,0))))=IF(COUNTIFS(资产清单!$A$6:$A$25,A15)&lt;&gt;1,"",IF(INDEX(资产清单!$J$6:$J$25,MATCH(A15,资产清单!$A$6:$A$25,0))="","",INDEX(资产清单!$J$6:$J$25,MATCH(A15,资产清单!$A$6:$A$25,0)))),IF(COUNTIFS(市场案例库!$A$6:$A$35,C15)&lt;&gt;1,"",IF(INDEX(市场案例库!$E$6:$E$35,MATCH(C15,市场案例库!$A$6:$A$35,0))="","",INDEX(市场案例库!$E$6:$E$35,MATCH(C15,市场案例库!$A$6:$A$35,0))))=IF(COUNTIFS(资产清单!$A$6:$A$25,A15)&lt;&gt;1,"",IF(INDEX(资产清单!$H$6:$H$25,MATCH(A15,资产清单!$A$6:$A$25,0))="","",INDEX(资产清单!$H$6:$H$25,MATCH(A15,资产清单!$A$6:$A$25,0)))),IF(COUNTIFS(市场案例库!$A$6:$A$35,D15)&lt;&gt;1,"",IF(INDEX(市场案例库!$F$6:$F$35,MATCH(D15,市场案例库!$A$6:$A$35,0))="","",INDEX(市场案例库!$F$6:$F$35,MATCH(D15,市场案例库!$A$6:$A$35,0))))=IF(COUNTIFS(资产清单!$A$6:$A$25,A15)&lt;&gt;1,"",IF(INDEX(资产清单!$J$6:$J$25,MATCH(A15,资产清单!$A$6:$A$25,0))="","",INDEX(资产清单!$J$6:$J$25,MATCH(A15,资产清单!$A$6:$A$25,0)))),IF(COUNTIFS(市场案例库!$A$6:$A$35,D15)&lt;&gt;1,"",IF(INDEX(市场案例库!$E$6:$E$35,MATCH(D15,市场案例库!$A$6:$A$35,0))="","",INDEX(市场案例库!$E$6:$E$35,MATCH(D15,市场案例库!$A$6:$A$35,0))))=IF(COUNTIFS(资产清单!$A$6:$A$25,A15)&lt;&gt;1,"",IF(INDEX(资产清单!$H$6:$H$25,MATCH(A15,资产清单!$A$6:$A$25,0))="","",INDEX(资产清单!$H$6:$H$25,MATCH(A15,资产清单!$A$6:$A$25,0))))),"用途口径一致","用途口径不一致"))</f>
        <v>用途口径一致</v>
      </c>
      <c r="H15" s="17" t="str">
        <f>IF(AND(COUNTIFS(修正明细!$N$438:$N$453,B15)=16,COUNTIFS(修正明细!$N$454:$N$469,C15)=16,COUNTIFS(修正明细!$N$470:$N$485,D15)=16),"绑定有效","待重判评分")</f>
        <v>绑定有效</v>
      </c>
      <c r="I15" s="16" t="s">
        <v>153</v>
      </c>
    </row>
    <row r="16" spans="1:9" ht="46.05" customHeight="1">
      <c r="A16" s="16" t="s">
        <v>83</v>
      </c>
      <c r="B16" s="8" t="s">
        <v>177</v>
      </c>
      <c r="C16" s="8" t="s">
        <v>178</v>
      </c>
      <c r="D16" s="8" t="s">
        <v>179</v>
      </c>
      <c r="E16" s="8" t="s">
        <v>157</v>
      </c>
      <c r="F16" s="17" t="str">
        <f>IF(NOT(AND(COUNTIFS(市场案例库!$A$6:$A$35,B16)=1,COUNTIFS(市场案例库!$A$6:$A$35,C16)=1,COUNTIFS(市场案例库!$A$6:$A$35,D16)=1)),"待补有效案例",IF(OR(B16=C16,B16=D16,C16=D16,IF(COUNTIFS(市场案例库!$A$6:$A$35,B16)&lt;&gt;1,"",IF(INDEX(市场案例库!$C$6:$C$35,MATCH(B16,市场案例库!$A$6:$A$35,0))="","",INDEX(市场案例库!$C$6:$C$35,MATCH(B16,市场案例库!$A$6:$A$35,0))))=IF(COUNTIFS(市场案例库!$A$6:$A$35,C16)&lt;&gt;1,"",IF(INDEX(市场案例库!$C$6:$C$35,MATCH(C16,市场案例库!$A$6:$A$35,0))="","",INDEX(市场案例库!$C$6:$C$35,MATCH(C16,市场案例库!$A$6:$A$35,0)))),IF(COUNTIFS(市场案例库!$A$6:$A$35,B16)&lt;&gt;1,"",IF(INDEX(市场案例库!$C$6:$C$35,MATCH(B16,市场案例库!$A$6:$A$35,0))="","",INDEX(市场案例库!$C$6:$C$35,MATCH(B16,市场案例库!$A$6:$A$35,0))))=IF(COUNTIFS(市场案例库!$A$6:$A$35,D16)&lt;&gt;1,"",IF(INDEX(市场案例库!$C$6:$C$35,MATCH(D16,市场案例库!$A$6:$A$35,0))="","",INDEX(市场案例库!$C$6:$C$35,MATCH(D16,市场案例库!$A$6:$A$35,0)))),IF(COUNTIFS(市场案例库!$A$6:$A$35,C16)&lt;&gt;1,"",IF(INDEX(市场案例库!$C$6:$C$35,MATCH(C16,市场案例库!$A$6:$A$35,0))="","",INDEX(市场案例库!$C$6:$C$35,MATCH(C16,市场案例库!$A$6:$A$35,0))))=IF(COUNTIFS(市场案例库!$A$6:$A$35,D16)&lt;&gt;1,"",IF(INDEX(市场案例库!$C$6:$C$35,MATCH(D16,市场案例库!$A$6:$A$35,0))="","",INDEX(市场案例库!$C$6:$C$35,MATCH(D16,市场案例库!$A$6:$A$35,0)))),IF(COUNTIFS(市场案例库!$A$6:$A$35,B16)&lt;&gt;1,"",IF(INDEX(市场案例库!$D$6:$D$35,MATCH(B16,市场案例库!$A$6:$A$35,0))="","",INDEX(市场案例库!$D$6:$D$35,MATCH(B16,市场案例库!$A$6:$A$35,0))))=IF(COUNTIFS(市场案例库!$A$6:$A$35,C16)&lt;&gt;1,"",IF(INDEX(市场案例库!$D$6:$D$35,MATCH(C16,市场案例库!$A$6:$A$35,0))="","",INDEX(市场案例库!$D$6:$D$35,MATCH(C16,市场案例库!$A$6:$A$35,0)))),IF(COUNTIFS(市场案例库!$A$6:$A$35,B16)&lt;&gt;1,"",IF(INDEX(市场案例库!$D$6:$D$35,MATCH(B16,市场案例库!$A$6:$A$35,0))="","",INDEX(市场案例库!$D$6:$D$35,MATCH(B16,市场案例库!$A$6:$A$35,0))))=IF(COUNTIFS(市场案例库!$A$6:$A$35,D16)&lt;&gt;1,"",IF(INDEX(市场案例库!$D$6:$D$35,MATCH(D16,市场案例库!$A$6:$A$35,0))="","",INDEX(市场案例库!$D$6:$D$35,MATCH(D16,市场案例库!$A$6:$A$35,0)))),IF(COUNTIFS(市场案例库!$A$6:$A$35,C16)&lt;&gt;1,"",IF(INDEX(市场案例库!$D$6:$D$35,MATCH(C16,市场案例库!$A$6:$A$35,0))="","",INDEX(市场案例库!$D$6:$D$35,MATCH(C16,市场案例库!$A$6:$A$35,0))))=IF(COUNTIFS(市场案例库!$A$6:$A$35,D16)&lt;&gt;1,"",IF(INDEX(市场案例库!$D$6:$D$35,MATCH(D16,市场案例库!$A$6:$A$35,0))="","",INDEX(市场案例库!$D$6:$D$35,MATCH(D16,市场案例库!$A$6:$A$35,0))))),"重复待复核","三案例齐全"))</f>
        <v>三案例齐全</v>
      </c>
      <c r="G16" s="17" t="str">
        <f>IF(F16&lt;&gt;"三案例齐全","待补组合",IF(AND(IF(COUNTIFS(市场案例库!$A$6:$A$35,B16)&lt;&gt;1,"",IF(INDEX(市场案例库!$F$6:$F$35,MATCH(B16,市场案例库!$A$6:$A$35,0))="","",INDEX(市场案例库!$F$6:$F$35,MATCH(B16,市场案例库!$A$6:$A$35,0))))=IF(COUNTIFS(资产清单!$A$6:$A$25,A16)&lt;&gt;1,"",IF(INDEX(资产清单!$J$6:$J$25,MATCH(A16,资产清单!$A$6:$A$25,0))="","",INDEX(资产清单!$J$6:$J$25,MATCH(A16,资产清单!$A$6:$A$25,0)))),IF(COUNTIFS(市场案例库!$A$6:$A$35,B16)&lt;&gt;1,"",IF(INDEX(市场案例库!$E$6:$E$35,MATCH(B16,市场案例库!$A$6:$A$35,0))="","",INDEX(市场案例库!$E$6:$E$35,MATCH(B16,市场案例库!$A$6:$A$35,0))))=IF(COUNTIFS(资产清单!$A$6:$A$25,A16)&lt;&gt;1,"",IF(INDEX(资产清单!$H$6:$H$25,MATCH(A16,资产清单!$A$6:$A$25,0))="","",INDEX(资产清单!$H$6:$H$25,MATCH(A16,资产清单!$A$6:$A$25,0)))),IF(COUNTIFS(市场案例库!$A$6:$A$35,C16)&lt;&gt;1,"",IF(INDEX(市场案例库!$F$6:$F$35,MATCH(C16,市场案例库!$A$6:$A$35,0))="","",INDEX(市场案例库!$F$6:$F$35,MATCH(C16,市场案例库!$A$6:$A$35,0))))=IF(COUNTIFS(资产清单!$A$6:$A$25,A16)&lt;&gt;1,"",IF(INDEX(资产清单!$J$6:$J$25,MATCH(A16,资产清单!$A$6:$A$25,0))="","",INDEX(资产清单!$J$6:$J$25,MATCH(A16,资产清单!$A$6:$A$25,0)))),IF(COUNTIFS(市场案例库!$A$6:$A$35,C16)&lt;&gt;1,"",IF(INDEX(市场案例库!$E$6:$E$35,MATCH(C16,市场案例库!$A$6:$A$35,0))="","",INDEX(市场案例库!$E$6:$E$35,MATCH(C16,市场案例库!$A$6:$A$35,0))))=IF(COUNTIFS(资产清单!$A$6:$A$25,A16)&lt;&gt;1,"",IF(INDEX(资产清单!$H$6:$H$25,MATCH(A16,资产清单!$A$6:$A$25,0))="","",INDEX(资产清单!$H$6:$H$25,MATCH(A16,资产清单!$A$6:$A$25,0)))),IF(COUNTIFS(市场案例库!$A$6:$A$35,D16)&lt;&gt;1,"",IF(INDEX(市场案例库!$F$6:$F$35,MATCH(D16,市场案例库!$A$6:$A$35,0))="","",INDEX(市场案例库!$F$6:$F$35,MATCH(D16,市场案例库!$A$6:$A$35,0))))=IF(COUNTIFS(资产清单!$A$6:$A$25,A16)&lt;&gt;1,"",IF(INDEX(资产清单!$J$6:$J$25,MATCH(A16,资产清单!$A$6:$A$25,0))="","",INDEX(资产清单!$J$6:$J$25,MATCH(A16,资产清单!$A$6:$A$25,0)))),IF(COUNTIFS(市场案例库!$A$6:$A$35,D16)&lt;&gt;1,"",IF(INDEX(市场案例库!$E$6:$E$35,MATCH(D16,市场案例库!$A$6:$A$35,0))="","",INDEX(市场案例库!$E$6:$E$35,MATCH(D16,市场案例库!$A$6:$A$35,0))))=IF(COUNTIFS(资产清单!$A$6:$A$25,A16)&lt;&gt;1,"",IF(INDEX(资产清单!$H$6:$H$25,MATCH(A16,资产清单!$A$6:$A$25,0))="","",INDEX(资产清单!$H$6:$H$25,MATCH(A16,资产清单!$A$6:$A$25,0))))),"用途口径一致","用途口径不一致"))</f>
        <v>用途口径一致</v>
      </c>
      <c r="H16" s="17" t="str">
        <f>IF(AND(COUNTIFS(修正明细!$N$486:$N$501,B16)=16,COUNTIFS(修正明细!$N$502:$N$517,C16)=16,COUNTIFS(修正明细!$N$518:$N$533,D16)=16),"绑定有效","待重判评分")</f>
        <v>绑定有效</v>
      </c>
      <c r="I16" s="16" t="s">
        <v>153</v>
      </c>
    </row>
    <row r="17" spans="1:9" ht="46.05" customHeight="1">
      <c r="A17" s="16" t="s">
        <v>84</v>
      </c>
      <c r="B17" s="8" t="s">
        <v>180</v>
      </c>
      <c r="C17" s="8" t="s">
        <v>181</v>
      </c>
      <c r="D17" s="8" t="s">
        <v>182</v>
      </c>
      <c r="E17" s="8" t="s">
        <v>157</v>
      </c>
      <c r="F17" s="17" t="str">
        <f>IF(NOT(AND(COUNTIFS(市场案例库!$A$6:$A$35,B17)=1,COUNTIFS(市场案例库!$A$6:$A$35,C17)=1,COUNTIFS(市场案例库!$A$6:$A$35,D17)=1)),"待补有效案例",IF(OR(B17=C17,B17=D17,C17=D17,IF(COUNTIFS(市场案例库!$A$6:$A$35,B17)&lt;&gt;1,"",IF(INDEX(市场案例库!$C$6:$C$35,MATCH(B17,市场案例库!$A$6:$A$35,0))="","",INDEX(市场案例库!$C$6:$C$35,MATCH(B17,市场案例库!$A$6:$A$35,0))))=IF(COUNTIFS(市场案例库!$A$6:$A$35,C17)&lt;&gt;1,"",IF(INDEX(市场案例库!$C$6:$C$35,MATCH(C17,市场案例库!$A$6:$A$35,0))="","",INDEX(市场案例库!$C$6:$C$35,MATCH(C17,市场案例库!$A$6:$A$35,0)))),IF(COUNTIFS(市场案例库!$A$6:$A$35,B17)&lt;&gt;1,"",IF(INDEX(市场案例库!$C$6:$C$35,MATCH(B17,市场案例库!$A$6:$A$35,0))="","",INDEX(市场案例库!$C$6:$C$35,MATCH(B17,市场案例库!$A$6:$A$35,0))))=IF(COUNTIFS(市场案例库!$A$6:$A$35,D17)&lt;&gt;1,"",IF(INDEX(市场案例库!$C$6:$C$35,MATCH(D17,市场案例库!$A$6:$A$35,0))="","",INDEX(市场案例库!$C$6:$C$35,MATCH(D17,市场案例库!$A$6:$A$35,0)))),IF(COUNTIFS(市场案例库!$A$6:$A$35,C17)&lt;&gt;1,"",IF(INDEX(市场案例库!$C$6:$C$35,MATCH(C17,市场案例库!$A$6:$A$35,0))="","",INDEX(市场案例库!$C$6:$C$35,MATCH(C17,市场案例库!$A$6:$A$35,0))))=IF(COUNTIFS(市场案例库!$A$6:$A$35,D17)&lt;&gt;1,"",IF(INDEX(市场案例库!$C$6:$C$35,MATCH(D17,市场案例库!$A$6:$A$35,0))="","",INDEX(市场案例库!$C$6:$C$35,MATCH(D17,市场案例库!$A$6:$A$35,0)))),IF(COUNTIFS(市场案例库!$A$6:$A$35,B17)&lt;&gt;1,"",IF(INDEX(市场案例库!$D$6:$D$35,MATCH(B17,市场案例库!$A$6:$A$35,0))="","",INDEX(市场案例库!$D$6:$D$35,MATCH(B17,市场案例库!$A$6:$A$35,0))))=IF(COUNTIFS(市场案例库!$A$6:$A$35,C17)&lt;&gt;1,"",IF(INDEX(市场案例库!$D$6:$D$35,MATCH(C17,市场案例库!$A$6:$A$35,0))="","",INDEX(市场案例库!$D$6:$D$35,MATCH(C17,市场案例库!$A$6:$A$35,0)))),IF(COUNTIFS(市场案例库!$A$6:$A$35,B17)&lt;&gt;1,"",IF(INDEX(市场案例库!$D$6:$D$35,MATCH(B17,市场案例库!$A$6:$A$35,0))="","",INDEX(市场案例库!$D$6:$D$35,MATCH(B17,市场案例库!$A$6:$A$35,0))))=IF(COUNTIFS(市场案例库!$A$6:$A$35,D17)&lt;&gt;1,"",IF(INDEX(市场案例库!$D$6:$D$35,MATCH(D17,市场案例库!$A$6:$A$35,0))="","",INDEX(市场案例库!$D$6:$D$35,MATCH(D17,市场案例库!$A$6:$A$35,0)))),IF(COUNTIFS(市场案例库!$A$6:$A$35,C17)&lt;&gt;1,"",IF(INDEX(市场案例库!$D$6:$D$35,MATCH(C17,市场案例库!$A$6:$A$35,0))="","",INDEX(市场案例库!$D$6:$D$35,MATCH(C17,市场案例库!$A$6:$A$35,0))))=IF(COUNTIFS(市场案例库!$A$6:$A$35,D17)&lt;&gt;1,"",IF(INDEX(市场案例库!$D$6:$D$35,MATCH(D17,市场案例库!$A$6:$A$35,0))="","",INDEX(市场案例库!$D$6:$D$35,MATCH(D17,市场案例库!$A$6:$A$35,0))))),"重复待复核","三案例齐全"))</f>
        <v>三案例齐全</v>
      </c>
      <c r="G17" s="17" t="str">
        <f>IF(F17&lt;&gt;"三案例齐全","待补组合",IF(AND(IF(COUNTIFS(市场案例库!$A$6:$A$35,B17)&lt;&gt;1,"",IF(INDEX(市场案例库!$F$6:$F$35,MATCH(B17,市场案例库!$A$6:$A$35,0))="","",INDEX(市场案例库!$F$6:$F$35,MATCH(B17,市场案例库!$A$6:$A$35,0))))=IF(COUNTIFS(资产清单!$A$6:$A$25,A17)&lt;&gt;1,"",IF(INDEX(资产清单!$J$6:$J$25,MATCH(A17,资产清单!$A$6:$A$25,0))="","",INDEX(资产清单!$J$6:$J$25,MATCH(A17,资产清单!$A$6:$A$25,0)))),IF(COUNTIFS(市场案例库!$A$6:$A$35,B17)&lt;&gt;1,"",IF(INDEX(市场案例库!$E$6:$E$35,MATCH(B17,市场案例库!$A$6:$A$35,0))="","",INDEX(市场案例库!$E$6:$E$35,MATCH(B17,市场案例库!$A$6:$A$35,0))))=IF(COUNTIFS(资产清单!$A$6:$A$25,A17)&lt;&gt;1,"",IF(INDEX(资产清单!$H$6:$H$25,MATCH(A17,资产清单!$A$6:$A$25,0))="","",INDEX(资产清单!$H$6:$H$25,MATCH(A17,资产清单!$A$6:$A$25,0)))),IF(COUNTIFS(市场案例库!$A$6:$A$35,C17)&lt;&gt;1,"",IF(INDEX(市场案例库!$F$6:$F$35,MATCH(C17,市场案例库!$A$6:$A$35,0))="","",INDEX(市场案例库!$F$6:$F$35,MATCH(C17,市场案例库!$A$6:$A$35,0))))=IF(COUNTIFS(资产清单!$A$6:$A$25,A17)&lt;&gt;1,"",IF(INDEX(资产清单!$J$6:$J$25,MATCH(A17,资产清单!$A$6:$A$25,0))="","",INDEX(资产清单!$J$6:$J$25,MATCH(A17,资产清单!$A$6:$A$25,0)))),IF(COUNTIFS(市场案例库!$A$6:$A$35,C17)&lt;&gt;1,"",IF(INDEX(市场案例库!$E$6:$E$35,MATCH(C17,市场案例库!$A$6:$A$35,0))="","",INDEX(市场案例库!$E$6:$E$35,MATCH(C17,市场案例库!$A$6:$A$35,0))))=IF(COUNTIFS(资产清单!$A$6:$A$25,A17)&lt;&gt;1,"",IF(INDEX(资产清单!$H$6:$H$25,MATCH(A17,资产清单!$A$6:$A$25,0))="","",INDEX(资产清单!$H$6:$H$25,MATCH(A17,资产清单!$A$6:$A$25,0)))),IF(COUNTIFS(市场案例库!$A$6:$A$35,D17)&lt;&gt;1,"",IF(INDEX(市场案例库!$F$6:$F$35,MATCH(D17,市场案例库!$A$6:$A$35,0))="","",INDEX(市场案例库!$F$6:$F$35,MATCH(D17,市场案例库!$A$6:$A$35,0))))=IF(COUNTIFS(资产清单!$A$6:$A$25,A17)&lt;&gt;1,"",IF(INDEX(资产清单!$J$6:$J$25,MATCH(A17,资产清单!$A$6:$A$25,0))="","",INDEX(资产清单!$J$6:$J$25,MATCH(A17,资产清单!$A$6:$A$25,0)))),IF(COUNTIFS(市场案例库!$A$6:$A$35,D17)&lt;&gt;1,"",IF(INDEX(市场案例库!$E$6:$E$35,MATCH(D17,市场案例库!$A$6:$A$35,0))="","",INDEX(市场案例库!$E$6:$E$35,MATCH(D17,市场案例库!$A$6:$A$35,0))))=IF(COUNTIFS(资产清单!$A$6:$A$25,A17)&lt;&gt;1,"",IF(INDEX(资产清单!$H$6:$H$25,MATCH(A17,资产清单!$A$6:$A$25,0))="","",INDEX(资产清单!$H$6:$H$25,MATCH(A17,资产清单!$A$6:$A$25,0))))),"用途口径一致","用途口径不一致"))</f>
        <v>用途口径一致</v>
      </c>
      <c r="H17" s="17" t="str">
        <f>IF(AND(COUNTIFS(修正明细!$N$534:$N$549,B17)=16,COUNTIFS(修正明细!$N$550:$N$565,C17)=16,COUNTIFS(修正明细!$N$566:$N$581,D17)=16),"绑定有效","待重判评分")</f>
        <v>绑定有效</v>
      </c>
      <c r="I17" s="16" t="s">
        <v>153</v>
      </c>
    </row>
    <row r="18" spans="1:9" ht="25.05" customHeight="1">
      <c r="A18" s="1"/>
      <c r="B18" s="1"/>
      <c r="C18" s="1"/>
      <c r="D18" s="1"/>
      <c r="E18" s="1"/>
      <c r="F18" s="1"/>
      <c r="G18" s="1"/>
      <c r="H18" s="1"/>
      <c r="I18" s="1"/>
    </row>
    <row r="19" spans="1:9" ht="25.05" customHeight="1">
      <c r="A19" s="3" t="s">
        <v>183</v>
      </c>
      <c r="B19" s="1"/>
      <c r="C19" s="1"/>
      <c r="D19" s="1"/>
      <c r="E19" s="1"/>
      <c r="F19" s="1"/>
      <c r="G19" s="1"/>
      <c r="H19" s="1"/>
      <c r="I19" s="1"/>
    </row>
    <row r="20" spans="1:9" ht="25.05" customHeight="1">
      <c r="A20" s="1"/>
      <c r="B20" s="1"/>
      <c r="C20" s="1"/>
      <c r="D20" s="1"/>
      <c r="E20" s="1"/>
      <c r="F20" s="1"/>
      <c r="G20" s="1"/>
      <c r="H20" s="1"/>
      <c r="I20" s="1"/>
    </row>
  </sheetData>
  <phoneticPr fontId="8" type="noConversion"/>
  <conditionalFormatting sqref="F6:I17">
    <cfRule type="containsText" dxfId="5" priority="1" operator="containsText" text="待"/>
  </conditionalFormatting>
  <pageMargins left="0.39370078740157477" right="0.39370078740157477" top="0.75" bottom="0.75" header="0.3" footer="0.3"/>
  <pageSetup paperSize="8" scale="8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500-000000000000}">
          <x14:formula1>
            <xm:f>市场案例库!$A$6:$A$35</xm:f>
          </x14:formula1>
          <xm:sqref>B6:D17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44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10" customWidth="1"/>
    <col min="3" max="3" width="16" customWidth="1"/>
    <col min="4" max="4" width="22" customWidth="1"/>
    <col min="5" max="5" width="16" customWidth="1"/>
    <col min="6" max="6" width="18" customWidth="1"/>
    <col min="7" max="7" width="16" customWidth="1"/>
    <col min="8" max="8" width="19" customWidth="1"/>
    <col min="9" max="9" width="18" customWidth="1"/>
    <col min="10" max="10" width="23" customWidth="1"/>
    <col min="11" max="11" width="27" customWidth="1"/>
  </cols>
  <sheetData>
    <row r="1" spans="1:1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4.049999999999997" customHeight="1">
      <c r="A2" s="2" t="s">
        <v>184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4" customHeight="1">
      <c r="A5" s="4" t="s">
        <v>58</v>
      </c>
      <c r="B5" s="4" t="s">
        <v>185</v>
      </c>
      <c r="C5" s="4" t="s">
        <v>186</v>
      </c>
      <c r="D5" s="4" t="s">
        <v>187</v>
      </c>
      <c r="E5" s="4" t="s">
        <v>188</v>
      </c>
      <c r="F5" s="4" t="s">
        <v>189</v>
      </c>
      <c r="G5" s="4" t="s">
        <v>190</v>
      </c>
      <c r="H5" s="4" t="s">
        <v>191</v>
      </c>
      <c r="I5" s="4" t="s">
        <v>192</v>
      </c>
      <c r="J5" s="4" t="s">
        <v>193</v>
      </c>
      <c r="K5" s="4" t="s">
        <v>194</v>
      </c>
    </row>
    <row r="6" spans="1:11" ht="25.05" customHeight="1">
      <c r="A6" s="16" t="s">
        <v>72</v>
      </c>
      <c r="B6" s="16">
        <v>1</v>
      </c>
      <c r="C6" s="17" t="str">
        <f>三案例选用!B6</f>
        <v>SC-001</v>
      </c>
      <c r="D6" s="17" t="str">
        <f>IF(COUNTIFS(市场案例库!$A$6:$A$35,C6)&lt;&gt;1,"",IF(INDEX(市场案例库!$B$6:$B$35,MATCH(C6,市场案例库!$A$6:$A$35,0))="","",INDEX(市场案例库!$B$6:$B$35,MATCH(C6,市场案例库!$A$6:$A$35,0))))</f>
        <v>模拟案例01</v>
      </c>
      <c r="E6" s="24">
        <f>IF(COUNTIFS(市场案例库!$A$6:$A$35,C6)&lt;&gt;1,"",IF(COUNT(INDEX(市场案例库!$J$6:$J$35,MATCH(C6,市场案例库!$A$6:$A$35,0)))&lt;&gt;1,"",INDEX(市场案例库!$J$6:$J$35,MATCH(C6,市场案例库!$A$6:$A$35,0))))</f>
        <v>53</v>
      </c>
      <c r="F6" s="17" t="str">
        <f>IF(COUNTIFS(市场案例库!$A$6:$A$35,C6)&lt;&gt;1,"",IF(INDEX(市场案例库!$F$6:$F$35,MATCH(C6,市场案例库!$A$6:$A$35,0))="","",INDEX(市场案例库!$F$6:$F$35,MATCH(C6,市场案例库!$A$6:$A$35,0))))</f>
        <v>元/㎡/月</v>
      </c>
      <c r="G6" s="21">
        <f>IF(OR(COUNT(修正明细!J6:J21)&lt;&gt;16,COUNTIFS(修正明细!M6:M21,"模拟评分记录完整")&lt;&gt;16),"",PRODUCT(修正明细!J6:J21))</f>
        <v>0.97087755680604582</v>
      </c>
      <c r="H6" s="24">
        <f>IF(OR(COUNT(E6,G6)&lt;&gt;2,E6&lt;=0,三案例选用!F6&lt;&gt;"三案例齐全",三案例选用!G6&lt;&gt;"用途口径一致",三案例选用!H6&lt;&gt;"绑定有效"),"",E6*G6)</f>
        <v>51.456510510720427</v>
      </c>
      <c r="I6" s="25">
        <f t="shared" ref="I6:I41" si="0">IF(COUNT(H6)&lt;&gt;1,"",H6/E6-1)</f>
        <v>-2.9122443193954184E-2</v>
      </c>
      <c r="J6" s="17" t="str">
        <f>IF(COUNT(I6)&lt;&gt;1,"待补计算资料",IF(ABS(I6)&lt;=测算参数!$B$7,"通过","超限待复核"))</f>
        <v>通过</v>
      </c>
      <c r="K6" s="16" t="str">
        <f t="shared" ref="K6:K41" si="1">IF(COUNT(H6)&lt;&gt;1,"待补资料或重判评分","模拟计算可复算")</f>
        <v>模拟计算可复算</v>
      </c>
    </row>
    <row r="7" spans="1:11" ht="25.05" customHeight="1">
      <c r="A7" s="16" t="s">
        <v>72</v>
      </c>
      <c r="B7" s="16">
        <v>2</v>
      </c>
      <c r="C7" s="17" t="str">
        <f>三案例选用!C6</f>
        <v>SC-002</v>
      </c>
      <c r="D7" s="17" t="str">
        <f>IF(COUNTIFS(市场案例库!$A$6:$A$35,C7)&lt;&gt;1,"",IF(INDEX(市场案例库!$B$6:$B$35,MATCH(C7,市场案例库!$A$6:$A$35,0))="","",INDEX(市场案例库!$B$6:$B$35,MATCH(C7,市场案例库!$A$6:$A$35,0))))</f>
        <v>模拟案例02</v>
      </c>
      <c r="E7" s="24">
        <f>IF(COUNTIFS(市场案例库!$A$6:$A$35,C7)&lt;&gt;1,"",IF(COUNT(INDEX(市场案例库!$J$6:$J$35,MATCH(C7,市场案例库!$A$6:$A$35,0)))&lt;&gt;1,"",INDEX(市场案例库!$J$6:$J$35,MATCH(C7,市场案例库!$A$6:$A$35,0))))</f>
        <v>56</v>
      </c>
      <c r="F7" s="17" t="str">
        <f>IF(COUNTIFS(市场案例库!$A$6:$A$35,C7)&lt;&gt;1,"",IF(INDEX(市场案例库!$F$6:$F$35,MATCH(C7,市场案例库!$A$6:$A$35,0))="","",INDEX(市场案例库!$F$6:$F$35,MATCH(C7,市场案例库!$A$6:$A$35,0))))</f>
        <v>元/㎡/月</v>
      </c>
      <c r="G7" s="21">
        <f>IF(OR(COUNT(修正明细!J22:J37)&lt;&gt;16,COUNTIFS(修正明细!M22:M37,"模拟评分记录完整")&lt;&gt;16),"",PRODUCT(修正明细!J22:J37))</f>
        <v>0.99069138449596506</v>
      </c>
      <c r="H7" s="24">
        <f>IF(OR(COUNT(E7,G7)&lt;&gt;2,E7&lt;=0,三案例选用!F6&lt;&gt;"三案例齐全",三案例选用!G6&lt;&gt;"用途口径一致",三案例选用!H6&lt;&gt;"绑定有效"),"",E7*G7)</f>
        <v>55.478717531774045</v>
      </c>
      <c r="I7" s="25">
        <f t="shared" si="0"/>
        <v>-9.308615504034945E-3</v>
      </c>
      <c r="J7" s="17" t="str">
        <f>IF(COUNT(I7)&lt;&gt;1,"待补计算资料",IF(ABS(I7)&lt;=测算参数!$B$7,"通过","超限待复核"))</f>
        <v>通过</v>
      </c>
      <c r="K7" s="16" t="str">
        <f t="shared" si="1"/>
        <v>模拟计算可复算</v>
      </c>
    </row>
    <row r="8" spans="1:11" ht="25.05" customHeight="1">
      <c r="A8" s="16" t="s">
        <v>72</v>
      </c>
      <c r="B8" s="16">
        <v>3</v>
      </c>
      <c r="C8" s="17" t="str">
        <f>三案例选用!D6</f>
        <v>SC-003</v>
      </c>
      <c r="D8" s="17" t="str">
        <f>IF(COUNTIFS(市场案例库!$A$6:$A$35,C8)&lt;&gt;1,"",IF(INDEX(市场案例库!$B$6:$B$35,MATCH(C8,市场案例库!$A$6:$A$35,0))="","",INDEX(市场案例库!$B$6:$B$35,MATCH(C8,市场案例库!$A$6:$A$35,0))))</f>
        <v>模拟案例03</v>
      </c>
      <c r="E8" s="24">
        <f>IF(COUNTIFS(市场案例库!$A$6:$A$35,C8)&lt;&gt;1,"",IF(COUNT(INDEX(市场案例库!$J$6:$J$35,MATCH(C8,市场案例库!$A$6:$A$35,0)))&lt;&gt;1,"",INDEX(市场案例库!$J$6:$J$35,MATCH(C8,市场案例库!$A$6:$A$35,0))))</f>
        <v>55</v>
      </c>
      <c r="F8" s="17" t="str">
        <f>IF(COUNTIFS(市场案例库!$A$6:$A$35,C8)&lt;&gt;1,"",IF(INDEX(市场案例库!$F$6:$F$35,MATCH(C8,市场案例库!$A$6:$A$35,0))="","",INDEX(市场案例库!$F$6:$F$35,MATCH(C8,市场案例库!$A$6:$A$35,0))))</f>
        <v>元/㎡/月</v>
      </c>
      <c r="G8" s="21">
        <f>IF(OR(COUNT(修正明细!J38:J53)&lt;&gt;16,COUNTIFS(修正明细!M38:M53,"模拟评分记录完整")&lt;&gt;16),"",PRODUCT(修正明细!J38:J53))</f>
        <v>1.0419771758650744</v>
      </c>
      <c r="H8" s="24">
        <f>IF(OR(COUNT(E8,G8)&lt;&gt;2,E8&lt;=0,三案例选用!F6&lt;&gt;"三案例齐全",三案例选用!G6&lt;&gt;"用途口径一致",三案例选用!H6&lt;&gt;"绑定有效"),"",E8*G8)</f>
        <v>57.308744672579095</v>
      </c>
      <c r="I8" s="25">
        <f t="shared" si="0"/>
        <v>4.1977175865074434E-2</v>
      </c>
      <c r="J8" s="17" t="str">
        <f>IF(COUNT(I8)&lt;&gt;1,"待补计算资料",IF(ABS(I8)&lt;=测算参数!$B$7,"通过","超限待复核"))</f>
        <v>通过</v>
      </c>
      <c r="K8" s="16" t="str">
        <f t="shared" si="1"/>
        <v>模拟计算可复算</v>
      </c>
    </row>
    <row r="9" spans="1:11" ht="25.05" customHeight="1">
      <c r="A9" s="16" t="s">
        <v>74</v>
      </c>
      <c r="B9" s="16">
        <v>1</v>
      </c>
      <c r="C9" s="17" t="str">
        <f>三案例选用!B7</f>
        <v>SC-001</v>
      </c>
      <c r="D9" s="17" t="str">
        <f>IF(COUNTIFS(市场案例库!$A$6:$A$35,C9)&lt;&gt;1,"",IF(INDEX(市场案例库!$B$6:$B$35,MATCH(C9,市场案例库!$A$6:$A$35,0))="","",INDEX(市场案例库!$B$6:$B$35,MATCH(C9,市场案例库!$A$6:$A$35,0))))</f>
        <v>模拟案例01</v>
      </c>
      <c r="E9" s="24">
        <f>IF(COUNTIFS(市场案例库!$A$6:$A$35,C9)&lt;&gt;1,"",IF(COUNT(INDEX(市场案例库!$J$6:$J$35,MATCH(C9,市场案例库!$A$6:$A$35,0)))&lt;&gt;1,"",INDEX(市场案例库!$J$6:$J$35,MATCH(C9,市场案例库!$A$6:$A$35,0))))</f>
        <v>53</v>
      </c>
      <c r="F9" s="17" t="str">
        <f>IF(COUNTIFS(市场案例库!$A$6:$A$35,C9)&lt;&gt;1,"",IF(INDEX(市场案例库!$F$6:$F$35,MATCH(C9,市场案例库!$A$6:$A$35,0))="","",INDEX(市场案例库!$F$6:$F$35,MATCH(C9,市场案例库!$A$6:$A$35,0))))</f>
        <v>元/㎡/月</v>
      </c>
      <c r="G9" s="21">
        <f>IF(OR(COUNT(修正明细!J54:J69)&lt;&gt;16,COUNTIFS(修正明细!M54:M69,"模拟评分记录完整")&lt;&gt;16),"",PRODUCT(修正明细!J54:J69))</f>
        <v>0.93370681605975714</v>
      </c>
      <c r="H9" s="24">
        <f>IF(OR(COUNT(E9,G9)&lt;&gt;2,E9&lt;=0,三案例选用!F7&lt;&gt;"三案例齐全",三案例选用!G7&lt;&gt;"用途口径一致",三案例选用!H7&lt;&gt;"绑定有效"),"",E9*G9)</f>
        <v>49.486461251167128</v>
      </c>
      <c r="I9" s="25">
        <f t="shared" si="0"/>
        <v>-6.6293183940242861E-2</v>
      </c>
      <c r="J9" s="17" t="str">
        <f>IF(COUNT(I9)&lt;&gt;1,"待补计算资料",IF(ABS(I9)&lt;=测算参数!$B$7,"通过","超限待复核"))</f>
        <v>通过</v>
      </c>
      <c r="K9" s="16" t="str">
        <f t="shared" si="1"/>
        <v>模拟计算可复算</v>
      </c>
    </row>
    <row r="10" spans="1:11" ht="25.05" customHeight="1">
      <c r="A10" s="16" t="s">
        <v>74</v>
      </c>
      <c r="B10" s="16">
        <v>2</v>
      </c>
      <c r="C10" s="17" t="str">
        <f>三案例选用!C7</f>
        <v>SC-002</v>
      </c>
      <c r="D10" s="17" t="str">
        <f>IF(COUNTIFS(市场案例库!$A$6:$A$35,C10)&lt;&gt;1,"",IF(INDEX(市场案例库!$B$6:$B$35,MATCH(C10,市场案例库!$A$6:$A$35,0))="","",INDEX(市场案例库!$B$6:$B$35,MATCH(C10,市场案例库!$A$6:$A$35,0))))</f>
        <v>模拟案例02</v>
      </c>
      <c r="E10" s="24">
        <f>IF(COUNTIFS(市场案例库!$A$6:$A$35,C10)&lt;&gt;1,"",IF(COUNT(INDEX(市场案例库!$J$6:$J$35,MATCH(C10,市场案例库!$A$6:$A$35,0)))&lt;&gt;1,"",INDEX(市场案例库!$J$6:$J$35,MATCH(C10,市场案例库!$A$6:$A$35,0))))</f>
        <v>56</v>
      </c>
      <c r="F10" s="17" t="str">
        <f>IF(COUNTIFS(市场案例库!$A$6:$A$35,C10)&lt;&gt;1,"",IF(INDEX(市场案例库!$F$6:$F$35,MATCH(C10,市场案例库!$A$6:$A$35,0))="","",INDEX(市场案例库!$F$6:$F$35,MATCH(C10,市场案例库!$A$6:$A$35,0))))</f>
        <v>元/㎡/月</v>
      </c>
      <c r="G10" s="21">
        <f>IF(OR(COUNT(修正明细!J70:J85)&lt;&gt;16,COUNTIFS(修正明细!M70:M85,"模拟评分记录完整")&lt;&gt;16),"",PRODUCT(修正明细!J70:J85))</f>
        <v>0.94232233454704439</v>
      </c>
      <c r="H10" s="24">
        <f>IF(OR(COUNT(E10,G10)&lt;&gt;2,E10&lt;=0,三案例选用!F7&lt;&gt;"三案例齐全",三案例选用!G7&lt;&gt;"用途口径一致",三案例选用!H7&lt;&gt;"绑定有效"),"",E10*G10)</f>
        <v>52.770050734634488</v>
      </c>
      <c r="I10" s="25">
        <f t="shared" si="0"/>
        <v>-5.7677665452955607E-2</v>
      </c>
      <c r="J10" s="17" t="str">
        <f>IF(COUNT(I10)&lt;&gt;1,"待补计算资料",IF(ABS(I10)&lt;=测算参数!$B$7,"通过","超限待复核"))</f>
        <v>通过</v>
      </c>
      <c r="K10" s="16" t="str">
        <f t="shared" si="1"/>
        <v>模拟计算可复算</v>
      </c>
    </row>
    <row r="11" spans="1:11" ht="25.05" customHeight="1">
      <c r="A11" s="16" t="s">
        <v>74</v>
      </c>
      <c r="B11" s="16">
        <v>3</v>
      </c>
      <c r="C11" s="17" t="str">
        <f>三案例选用!D7</f>
        <v>SC-003</v>
      </c>
      <c r="D11" s="17" t="str">
        <f>IF(COUNTIFS(市场案例库!$A$6:$A$35,C11)&lt;&gt;1,"",IF(INDEX(市场案例库!$B$6:$B$35,MATCH(C11,市场案例库!$A$6:$A$35,0))="","",INDEX(市场案例库!$B$6:$B$35,MATCH(C11,市场案例库!$A$6:$A$35,0))))</f>
        <v>模拟案例03</v>
      </c>
      <c r="E11" s="24">
        <f>IF(COUNTIFS(市场案例库!$A$6:$A$35,C11)&lt;&gt;1,"",IF(COUNT(INDEX(市场案例库!$J$6:$J$35,MATCH(C11,市场案例库!$A$6:$A$35,0)))&lt;&gt;1,"",INDEX(市场案例库!$J$6:$J$35,MATCH(C11,市场案例库!$A$6:$A$35,0))))</f>
        <v>55</v>
      </c>
      <c r="F11" s="17" t="str">
        <f>IF(COUNTIFS(市场案例库!$A$6:$A$35,C11)&lt;&gt;1,"",IF(INDEX(市场案例库!$F$6:$F$35,MATCH(C11,市场案例库!$A$6:$A$35,0))="","",INDEX(市场案例库!$F$6:$F$35,MATCH(C11,市场案例库!$A$6:$A$35,0))))</f>
        <v>元/㎡/月</v>
      </c>
      <c r="G11" s="21">
        <f>IF(OR(COUNT(修正明细!J86:J101)&lt;&gt;16,COUNTIFS(修正明细!M86:M101,"模拟评分记录完整")&lt;&gt;16),"",PRODUCT(修正明细!J86:J101))</f>
        <v>0.9902951079421668</v>
      </c>
      <c r="H11" s="24">
        <f>IF(OR(COUNT(E11,G11)&lt;&gt;2,E11&lt;=0,三案例选用!F7&lt;&gt;"三案例齐全",三案例选用!G7&lt;&gt;"用途口径一致",三案例选用!H7&lt;&gt;"绑定有效"),"",E11*G11)</f>
        <v>54.466230936819173</v>
      </c>
      <c r="I11" s="25">
        <f t="shared" si="0"/>
        <v>-9.7048920578332032E-3</v>
      </c>
      <c r="J11" s="17" t="str">
        <f>IF(COUNT(I11)&lt;&gt;1,"待补计算资料",IF(ABS(I11)&lt;=测算参数!$B$7,"通过","超限待复核"))</f>
        <v>通过</v>
      </c>
      <c r="K11" s="16" t="str">
        <f t="shared" si="1"/>
        <v>模拟计算可复算</v>
      </c>
    </row>
    <row r="12" spans="1:11" ht="25.05" customHeight="1">
      <c r="A12" s="16" t="s">
        <v>75</v>
      </c>
      <c r="B12" s="16">
        <v>1</v>
      </c>
      <c r="C12" s="17" t="str">
        <f>三案例选用!B8</f>
        <v>SC-004</v>
      </c>
      <c r="D12" s="17" t="str">
        <f>IF(COUNTIFS(市场案例库!$A$6:$A$35,C12)&lt;&gt;1,"",IF(INDEX(市场案例库!$B$6:$B$35,MATCH(C12,市场案例库!$A$6:$A$35,0))="","",INDEX(市场案例库!$B$6:$B$35,MATCH(C12,市场案例库!$A$6:$A$35,0))))</f>
        <v>模拟案例04</v>
      </c>
      <c r="E12" s="24">
        <f>IF(COUNTIFS(市场案例库!$A$6:$A$35,C12)&lt;&gt;1,"",IF(COUNT(INDEX(市场案例库!$J$6:$J$35,MATCH(C12,市场案例库!$A$6:$A$35,0)))&lt;&gt;1,"",INDEX(市场案例库!$J$6:$J$35,MATCH(C12,市场案例库!$A$6:$A$35,0))))</f>
        <v>44</v>
      </c>
      <c r="F12" s="17" t="str">
        <f>IF(COUNTIFS(市场案例库!$A$6:$A$35,C12)&lt;&gt;1,"",IF(INDEX(市场案例库!$F$6:$F$35,MATCH(C12,市场案例库!$A$6:$A$35,0))="","",INDEX(市场案例库!$F$6:$F$35,MATCH(C12,市场案例库!$A$6:$A$35,0))))</f>
        <v>元/㎡/月</v>
      </c>
      <c r="G12" s="21">
        <f>IF(OR(COUNT(修正明细!J102:J117)&lt;&gt;16,COUNTIFS(修正明细!M102:M117,"模拟评分记录完整")&lt;&gt;16),"",PRODUCT(修正明细!J102:J117))</f>
        <v>0.97068530382450002</v>
      </c>
      <c r="H12" s="24">
        <f>IF(OR(COUNT(E12,G12)&lt;&gt;2,E12&lt;=0,三案例选用!F8&lt;&gt;"三案例齐全",三案例选用!G8&lt;&gt;"用途口径一致",三案例选用!H8&lt;&gt;"绑定有效"),"",E12*G12)</f>
        <v>42.710153368278</v>
      </c>
      <c r="I12" s="25">
        <f t="shared" si="0"/>
        <v>-2.9314696175499977E-2</v>
      </c>
      <c r="J12" s="17" t="str">
        <f>IF(COUNT(I12)&lt;&gt;1,"待补计算资料",IF(ABS(I12)&lt;=测算参数!$B$7,"通过","超限待复核"))</f>
        <v>通过</v>
      </c>
      <c r="K12" s="16" t="str">
        <f t="shared" si="1"/>
        <v>模拟计算可复算</v>
      </c>
    </row>
    <row r="13" spans="1:11" ht="25.05" customHeight="1">
      <c r="A13" s="16" t="s">
        <v>75</v>
      </c>
      <c r="B13" s="16">
        <v>2</v>
      </c>
      <c r="C13" s="17" t="str">
        <f>三案例选用!C8</f>
        <v>SC-005</v>
      </c>
      <c r="D13" s="17" t="str">
        <f>IF(COUNTIFS(市场案例库!$A$6:$A$35,C13)&lt;&gt;1,"",IF(INDEX(市场案例库!$B$6:$B$35,MATCH(C13,市场案例库!$A$6:$A$35,0))="","",INDEX(市场案例库!$B$6:$B$35,MATCH(C13,市场案例库!$A$6:$A$35,0))))</f>
        <v>模拟案例05</v>
      </c>
      <c r="E13" s="24">
        <f>IF(COUNTIFS(市场案例库!$A$6:$A$35,C13)&lt;&gt;1,"",IF(COUNT(INDEX(市场案例库!$J$6:$J$35,MATCH(C13,市场案例库!$A$6:$A$35,0)))&lt;&gt;1,"",INDEX(市场案例库!$J$6:$J$35,MATCH(C13,市场案例库!$A$6:$A$35,0))))</f>
        <v>46</v>
      </c>
      <c r="F13" s="17" t="str">
        <f>IF(COUNTIFS(市场案例库!$A$6:$A$35,C13)&lt;&gt;1,"",IF(INDEX(市场案例库!$F$6:$F$35,MATCH(C13,市场案例库!$A$6:$A$35,0))="","",INDEX(市场案例库!$F$6:$F$35,MATCH(C13,市场案例库!$A$6:$A$35,0))))</f>
        <v>元/㎡/月</v>
      </c>
      <c r="G13" s="21">
        <f>IF(OR(COUNT(修正明细!J118:J133)&lt;&gt;16,COUNTIFS(修正明细!M118:M133,"模拟评分记录完整")&lt;&gt;16),"",PRODUCT(修正明细!J118:J133))</f>
        <v>0.96116878123798533</v>
      </c>
      <c r="H13" s="24">
        <f>IF(OR(COUNT(E13,G13)&lt;&gt;2,E13&lt;=0,三案例选用!F8&lt;&gt;"三案例齐全",三案例选用!G8&lt;&gt;"用途口径一致",三案例选用!H8&lt;&gt;"绑定有效"),"",E13*G13)</f>
        <v>44.213763936947323</v>
      </c>
      <c r="I13" s="25">
        <f t="shared" si="0"/>
        <v>-3.8831218762014674E-2</v>
      </c>
      <c r="J13" s="17" t="str">
        <f>IF(COUNT(I13)&lt;&gt;1,"待补计算资料",IF(ABS(I13)&lt;=测算参数!$B$7,"通过","超限待复核"))</f>
        <v>通过</v>
      </c>
      <c r="K13" s="16" t="str">
        <f t="shared" si="1"/>
        <v>模拟计算可复算</v>
      </c>
    </row>
    <row r="14" spans="1:11" ht="25.05" customHeight="1">
      <c r="A14" s="16" t="s">
        <v>75</v>
      </c>
      <c r="B14" s="16">
        <v>3</v>
      </c>
      <c r="C14" s="17" t="str">
        <f>三案例选用!D8</f>
        <v>SC-006</v>
      </c>
      <c r="D14" s="17" t="str">
        <f>IF(COUNTIFS(市场案例库!$A$6:$A$35,C14)&lt;&gt;1,"",IF(INDEX(市场案例库!$B$6:$B$35,MATCH(C14,市场案例库!$A$6:$A$35,0))="","",INDEX(市场案例库!$B$6:$B$35,MATCH(C14,市场案例库!$A$6:$A$35,0))))</f>
        <v>模拟案例06</v>
      </c>
      <c r="E14" s="24">
        <f>IF(COUNTIFS(市场案例库!$A$6:$A$35,C14)&lt;&gt;1,"",IF(COUNT(INDEX(市场案例库!$J$6:$J$35,MATCH(C14,市场案例库!$A$6:$A$35,0)))&lt;&gt;1,"",INDEX(市场案例库!$J$6:$J$35,MATCH(C14,市场案例库!$A$6:$A$35,0))))</f>
        <v>45</v>
      </c>
      <c r="F14" s="17" t="str">
        <f>IF(COUNTIFS(市场案例库!$A$6:$A$35,C14)&lt;&gt;1,"",IF(INDEX(市场案例库!$F$6:$F$35,MATCH(C14,市场案例库!$A$6:$A$35,0))="","",INDEX(市场案例库!$F$6:$F$35,MATCH(C14,市场案例库!$A$6:$A$35,0))))</f>
        <v>元/㎡/月</v>
      </c>
      <c r="G14" s="21">
        <f>IF(OR(COUNT(修正明细!J134:J149)&lt;&gt;16,COUNTIFS(修正明细!M134:M149,"模拟评分记录完整")&lt;&gt;16),"",PRODUCT(修正明细!J134:J149))</f>
        <v>1.0105052121858844</v>
      </c>
      <c r="H14" s="24">
        <f>IF(OR(COUNT(E14,G14)&lt;&gt;2,E14&lt;=0,三案例选用!F8&lt;&gt;"三案例齐全",三案例选用!G8&lt;&gt;"用途口径一致",三案例选用!H8&lt;&gt;"绑定有效"),"",E14*G14)</f>
        <v>45.472734548364798</v>
      </c>
      <c r="I14" s="25">
        <f t="shared" si="0"/>
        <v>1.0505212185884405E-2</v>
      </c>
      <c r="J14" s="17" t="str">
        <f>IF(COUNT(I14)&lt;&gt;1,"待补计算资料",IF(ABS(I14)&lt;=测算参数!$B$7,"通过","超限待复核"))</f>
        <v>通过</v>
      </c>
      <c r="K14" s="16" t="str">
        <f t="shared" si="1"/>
        <v>模拟计算可复算</v>
      </c>
    </row>
    <row r="15" spans="1:11" ht="25.05" customHeight="1">
      <c r="A15" s="16" t="s">
        <v>76</v>
      </c>
      <c r="B15" s="16">
        <v>1</v>
      </c>
      <c r="C15" s="17" t="str">
        <f>三案例选用!B9</f>
        <v>SC-007</v>
      </c>
      <c r="D15" s="17" t="str">
        <f>IF(COUNTIFS(市场案例库!$A$6:$A$35,C15)&lt;&gt;1,"",IF(INDEX(市场案例库!$B$6:$B$35,MATCH(C15,市场案例库!$A$6:$A$35,0))="","",INDEX(市场案例库!$B$6:$B$35,MATCH(C15,市场案例库!$A$6:$A$35,0))))</f>
        <v>模拟案例07</v>
      </c>
      <c r="E15" s="24">
        <f>IF(COUNTIFS(市场案例库!$A$6:$A$35,C15)&lt;&gt;1,"",IF(COUNT(INDEX(市场案例库!$J$6:$J$35,MATCH(C15,市场案例库!$A$6:$A$35,0)))&lt;&gt;1,"",INDEX(市场案例库!$J$6:$J$35,MATCH(C15,市场案例库!$A$6:$A$35,0))))</f>
        <v>66</v>
      </c>
      <c r="F15" s="17" t="str">
        <f>IF(COUNTIFS(市场案例库!$A$6:$A$35,C15)&lt;&gt;1,"",IF(INDEX(市场案例库!$F$6:$F$35,MATCH(C15,市场案例库!$A$6:$A$35,0))="","",INDEX(市场案例库!$F$6:$F$35,MATCH(C15,市场案例库!$A$6:$A$35,0))))</f>
        <v>元/㎡/月</v>
      </c>
      <c r="G15" s="21">
        <f>IF(OR(COUNT(修正明细!J150:J165)&lt;&gt;16,COUNTIFS(修正明细!M150:M165,"模拟评分记录完整")&lt;&gt;16),"",PRODUCT(修正明细!J150:J165))</f>
        <v>0.93370681605975714</v>
      </c>
      <c r="H15" s="24">
        <f>IF(OR(COUNT(E15,G15)&lt;&gt;2,E15&lt;=0,三案例选用!F9&lt;&gt;"三案例齐全",三案例选用!G9&lt;&gt;"用途口径一致",三案例选用!H9&lt;&gt;"绑定有效"),"",E15*G15)</f>
        <v>61.624649859943972</v>
      </c>
      <c r="I15" s="25">
        <f t="shared" si="0"/>
        <v>-6.6293183940242861E-2</v>
      </c>
      <c r="J15" s="17" t="str">
        <f>IF(COUNT(I15)&lt;&gt;1,"待补计算资料",IF(ABS(I15)&lt;=测算参数!$B$7,"通过","超限待复核"))</f>
        <v>通过</v>
      </c>
      <c r="K15" s="16" t="str">
        <f t="shared" si="1"/>
        <v>模拟计算可复算</v>
      </c>
    </row>
    <row r="16" spans="1:11" ht="25.05" customHeight="1">
      <c r="A16" s="16" t="s">
        <v>76</v>
      </c>
      <c r="B16" s="16">
        <v>2</v>
      </c>
      <c r="C16" s="17" t="str">
        <f>三案例选用!C9</f>
        <v>SC-008</v>
      </c>
      <c r="D16" s="17" t="str">
        <f>IF(COUNTIFS(市场案例库!$A$6:$A$35,C16)&lt;&gt;1,"",IF(INDEX(市场案例库!$B$6:$B$35,MATCH(C16,市场案例库!$A$6:$A$35,0))="","",INDEX(市场案例库!$B$6:$B$35,MATCH(C16,市场案例库!$A$6:$A$35,0))))</f>
        <v>模拟案例08</v>
      </c>
      <c r="E16" s="24">
        <f>IF(COUNTIFS(市场案例库!$A$6:$A$35,C16)&lt;&gt;1,"",IF(COUNT(INDEX(市场案例库!$J$6:$J$35,MATCH(C16,市场案例库!$A$6:$A$35,0)))&lt;&gt;1,"",INDEX(市场案例库!$J$6:$J$35,MATCH(C16,市场案例库!$A$6:$A$35,0))))</f>
        <v>68</v>
      </c>
      <c r="F16" s="17" t="str">
        <f>IF(COUNTIFS(市场案例库!$A$6:$A$35,C16)&lt;&gt;1,"",IF(INDEX(市场案例库!$F$6:$F$35,MATCH(C16,市场案例库!$A$6:$A$35,0))="","",INDEX(市场案例库!$F$6:$F$35,MATCH(C16,市场案例库!$A$6:$A$35,0))))</f>
        <v>元/㎡/月</v>
      </c>
      <c r="G16" s="21">
        <f>IF(OR(COUNT(修正明细!J166:J181)&lt;&gt;16,COUNTIFS(修正明细!M166:M181,"模拟评分记录完整")&lt;&gt;16),"",PRODUCT(修正明细!J166:J181))</f>
        <v>0.91539883927427168</v>
      </c>
      <c r="H16" s="24">
        <f>IF(OR(COUNT(E16,G16)&lt;&gt;2,E16&lt;=0,三案例选用!F9&lt;&gt;"三案例齐全",三案例选用!G9&lt;&gt;"用途口径一致",三案例选用!H9&lt;&gt;"绑定有效"),"",E16*G16)</f>
        <v>62.247121070650472</v>
      </c>
      <c r="I16" s="25">
        <f t="shared" si="0"/>
        <v>-8.4601160725728319E-2</v>
      </c>
      <c r="J16" s="17" t="str">
        <f>IF(COUNT(I16)&lt;&gt;1,"待补计算资料",IF(ABS(I16)&lt;=测算参数!$B$7,"通过","超限待复核"))</f>
        <v>通过</v>
      </c>
      <c r="K16" s="16" t="str">
        <f t="shared" si="1"/>
        <v>模拟计算可复算</v>
      </c>
    </row>
    <row r="17" spans="1:11" ht="25.05" customHeight="1">
      <c r="A17" s="16" t="s">
        <v>76</v>
      </c>
      <c r="B17" s="16">
        <v>3</v>
      </c>
      <c r="C17" s="17" t="str">
        <f>三案例选用!D9</f>
        <v>SC-009</v>
      </c>
      <c r="D17" s="17" t="str">
        <f>IF(COUNTIFS(市场案例库!$A$6:$A$35,C17)&lt;&gt;1,"",IF(INDEX(市场案例库!$B$6:$B$35,MATCH(C17,市场案例库!$A$6:$A$35,0))="","",INDEX(市场案例库!$B$6:$B$35,MATCH(C17,市场案例库!$A$6:$A$35,0))))</f>
        <v>模拟案例09</v>
      </c>
      <c r="E17" s="24">
        <f>IF(COUNTIFS(市场案例库!$A$6:$A$35,C17)&lt;&gt;1,"",IF(COUNT(INDEX(市场案例库!$J$6:$J$35,MATCH(C17,市场案例库!$A$6:$A$35,0)))&lt;&gt;1,"",INDEX(市场案例库!$J$6:$J$35,MATCH(C17,市场案例库!$A$6:$A$35,0))))</f>
        <v>65</v>
      </c>
      <c r="F17" s="17" t="str">
        <f>IF(COUNTIFS(市场案例库!$A$6:$A$35,C17)&lt;&gt;1,"",IF(INDEX(市场案例库!$F$6:$F$35,MATCH(C17,市场案例库!$A$6:$A$35,0))="","",INDEX(市场案例库!$F$6:$F$35,MATCH(C17,市场案例库!$A$6:$A$35,0))))</f>
        <v>元/㎡/月</v>
      </c>
      <c r="G17" s="21">
        <f>IF(OR(COUNT(修正明细!J182:J197)&lt;&gt;16,COUNTIFS(修正明细!M182:M197,"模拟评分记录完整")&lt;&gt;16),"",PRODUCT(修正明细!J182:J197))</f>
        <v>0.95276205720383378</v>
      </c>
      <c r="H17" s="24">
        <f>IF(OR(COUNT(E17,G17)&lt;&gt;2,E17&lt;=0,三案例选用!F9&lt;&gt;"三案例齐全",三案例选用!G9&lt;&gt;"用途口径一致",三案例选用!H9&lt;&gt;"绑定有效"),"",E17*G17)</f>
        <v>61.929533718249196</v>
      </c>
      <c r="I17" s="25">
        <f t="shared" si="0"/>
        <v>-4.7237942796166221E-2</v>
      </c>
      <c r="J17" s="17" t="str">
        <f>IF(COUNT(I17)&lt;&gt;1,"待补计算资料",IF(ABS(I17)&lt;=测算参数!$B$7,"通过","超限待复核"))</f>
        <v>通过</v>
      </c>
      <c r="K17" s="16" t="str">
        <f t="shared" si="1"/>
        <v>模拟计算可复算</v>
      </c>
    </row>
    <row r="18" spans="1:11" ht="25.05" customHeight="1">
      <c r="A18" s="16" t="s">
        <v>77</v>
      </c>
      <c r="B18" s="16">
        <v>1</v>
      </c>
      <c r="C18" s="17" t="str">
        <f>三案例选用!B10</f>
        <v>SC-010</v>
      </c>
      <c r="D18" s="17" t="str">
        <f>IF(COUNTIFS(市场案例库!$A$6:$A$35,C18)&lt;&gt;1,"",IF(INDEX(市场案例库!$B$6:$B$35,MATCH(C18,市场案例库!$A$6:$A$35,0))="","",INDEX(市场案例库!$B$6:$B$35,MATCH(C18,市场案例库!$A$6:$A$35,0))))</f>
        <v>模拟案例10</v>
      </c>
      <c r="E18" s="24">
        <f>IF(COUNTIFS(市场案例库!$A$6:$A$35,C18)&lt;&gt;1,"",IF(COUNT(INDEX(市场案例库!$J$6:$J$35,MATCH(C18,市场案例库!$A$6:$A$35,0)))&lt;&gt;1,"",INDEX(市场案例库!$J$6:$J$35,MATCH(C18,市场案例库!$A$6:$A$35,0))))</f>
        <v>26</v>
      </c>
      <c r="F18" s="17" t="str">
        <f>IF(COUNTIFS(市场案例库!$A$6:$A$35,C18)&lt;&gt;1,"",IF(INDEX(市场案例库!$F$6:$F$35,MATCH(C18,市场案例库!$A$6:$A$35,0))="","",INDEX(市场案例库!$F$6:$F$35,MATCH(C18,市场案例库!$A$6:$A$35,0))))</f>
        <v>元/㎡/月</v>
      </c>
      <c r="G18" s="21">
        <f>IF(OR(COUNT(修正明细!J198:J213)&lt;&gt;16,COUNTIFS(修正明细!M198:M213,"模拟评分记录完整")&lt;&gt;16),"",PRODUCT(修正明细!J198:J213))</f>
        <v>0.97068530382450002</v>
      </c>
      <c r="H18" s="24">
        <f>IF(OR(COUNT(E18,G18)&lt;&gt;2,E18&lt;=0,三案例选用!F10&lt;&gt;"三案例齐全",三案例选用!G10&lt;&gt;"用途口径一致",三案例选用!H10&lt;&gt;"绑定有效"),"",E18*G18)</f>
        <v>25.237817899437001</v>
      </c>
      <c r="I18" s="25">
        <f t="shared" si="0"/>
        <v>-2.9314696175499977E-2</v>
      </c>
      <c r="J18" s="17" t="str">
        <f>IF(COUNT(I18)&lt;&gt;1,"待补计算资料",IF(ABS(I18)&lt;=测算参数!$B$7,"通过","超限待复核"))</f>
        <v>通过</v>
      </c>
      <c r="K18" s="16" t="str">
        <f t="shared" si="1"/>
        <v>模拟计算可复算</v>
      </c>
    </row>
    <row r="19" spans="1:11" ht="25.05" customHeight="1">
      <c r="A19" s="16" t="s">
        <v>77</v>
      </c>
      <c r="B19" s="16">
        <v>2</v>
      </c>
      <c r="C19" s="17" t="str">
        <f>三案例选用!C10</f>
        <v>SC-011</v>
      </c>
      <c r="D19" s="17" t="str">
        <f>IF(COUNTIFS(市场案例库!$A$6:$A$35,C19)&lt;&gt;1,"",IF(INDEX(市场案例库!$B$6:$B$35,MATCH(C19,市场案例库!$A$6:$A$35,0))="","",INDEX(市场案例库!$B$6:$B$35,MATCH(C19,市场案例库!$A$6:$A$35,0))))</f>
        <v>模拟案例11</v>
      </c>
      <c r="E19" s="24">
        <f>IF(COUNTIFS(市场案例库!$A$6:$A$35,C19)&lt;&gt;1,"",IF(COUNT(INDEX(市场案例库!$J$6:$J$35,MATCH(C19,市场案例库!$A$6:$A$35,0)))&lt;&gt;1,"",INDEX(市场案例库!$J$6:$J$35,MATCH(C19,市场案例库!$A$6:$A$35,0))))</f>
        <v>27</v>
      </c>
      <c r="F19" s="17" t="str">
        <f>IF(COUNTIFS(市场案例库!$A$6:$A$35,C19)&lt;&gt;1,"",IF(INDEX(市场案例库!$F$6:$F$35,MATCH(C19,市场案例库!$A$6:$A$35,0))="","",INDEX(市场案例库!$F$6:$F$35,MATCH(C19,市场案例库!$A$6:$A$35,0))))</f>
        <v>元/㎡/月</v>
      </c>
      <c r="G19" s="21">
        <f>IF(OR(COUNT(修正明细!J214:J229)&lt;&gt;16,COUNTIFS(修正明细!M214:M229,"模拟评分记录完整")&lt;&gt;16),"",PRODUCT(修正明细!J214:J229))</f>
        <v>0.98078447065100538</v>
      </c>
      <c r="H19" s="24">
        <f>IF(OR(COUNT(E19,G19)&lt;&gt;2,E19&lt;=0,三案例选用!F10&lt;&gt;"三案例齐全",三案例选用!G10&lt;&gt;"用途口径一致",三案例选用!H10&lt;&gt;"绑定有效"),"",E19*G19)</f>
        <v>26.481180707577145</v>
      </c>
      <c r="I19" s="25">
        <f t="shared" si="0"/>
        <v>-1.921552934899462E-2</v>
      </c>
      <c r="J19" s="17" t="str">
        <f>IF(COUNT(I19)&lt;&gt;1,"待补计算资料",IF(ABS(I19)&lt;=测算参数!$B$7,"通过","超限待复核"))</f>
        <v>通过</v>
      </c>
      <c r="K19" s="16" t="str">
        <f t="shared" si="1"/>
        <v>模拟计算可复算</v>
      </c>
    </row>
    <row r="20" spans="1:11" ht="25.05" customHeight="1">
      <c r="A20" s="16" t="s">
        <v>77</v>
      </c>
      <c r="B20" s="16">
        <v>3</v>
      </c>
      <c r="C20" s="17" t="str">
        <f>三案例选用!D10</f>
        <v>SC-012</v>
      </c>
      <c r="D20" s="17" t="str">
        <f>IF(COUNTIFS(市场案例库!$A$6:$A$35,C20)&lt;&gt;1,"",IF(INDEX(市场案例库!$B$6:$B$35,MATCH(C20,市场案例库!$A$6:$A$35,0))="","",INDEX(市场案例库!$B$6:$B$35,MATCH(C20,市场案例库!$A$6:$A$35,0))))</f>
        <v>模拟案例12</v>
      </c>
      <c r="E20" s="24">
        <f>IF(COUNTIFS(市场案例库!$A$6:$A$35,C20)&lt;&gt;1,"",IF(COUNT(INDEX(市场案例库!$J$6:$J$35,MATCH(C20,市场案例库!$A$6:$A$35,0)))&lt;&gt;1,"",INDEX(市场案例库!$J$6:$J$35,MATCH(C20,市场案例库!$A$6:$A$35,0))))</f>
        <v>28</v>
      </c>
      <c r="F20" s="17" t="str">
        <f>IF(COUNTIFS(市场案例库!$A$6:$A$35,C20)&lt;&gt;1,"",IF(INDEX(市场案例库!$F$6:$F$35,MATCH(C20,市场案例库!$A$6:$A$35,0))="","",INDEX(市场案例库!$F$6:$F$35,MATCH(C20,市场案例库!$A$6:$A$35,0))))</f>
        <v>元/㎡/月</v>
      </c>
      <c r="G20" s="21">
        <f>IF(OR(COUNT(修正明细!J230:J245)&lt;&gt;16,COUNTIFS(修正明细!M230:M245,"模拟评分记录完整")&lt;&gt;16),"",PRODUCT(修正明细!J230:J245))</f>
        <v>0.9902951079421668</v>
      </c>
      <c r="H20" s="24">
        <f>IF(OR(COUNT(E20,G20)&lt;&gt;2,E20&lt;=0,三案例选用!F10&lt;&gt;"三案例齐全",三案例选用!G10&lt;&gt;"用途口径一致",三案例选用!H10&lt;&gt;"绑定有效"),"",E20*G20)</f>
        <v>27.72826302238067</v>
      </c>
      <c r="I20" s="25">
        <f t="shared" si="0"/>
        <v>-9.7048920578332032E-3</v>
      </c>
      <c r="J20" s="17" t="str">
        <f>IF(COUNT(I20)&lt;&gt;1,"待补计算资料",IF(ABS(I20)&lt;=测算参数!$B$7,"通过","超限待复核"))</f>
        <v>通过</v>
      </c>
      <c r="K20" s="16" t="str">
        <f t="shared" si="1"/>
        <v>模拟计算可复算</v>
      </c>
    </row>
    <row r="21" spans="1:11" ht="25.05" customHeight="1">
      <c r="A21" s="16" t="s">
        <v>78</v>
      </c>
      <c r="B21" s="16">
        <v>1</v>
      </c>
      <c r="C21" s="17" t="str">
        <f>三案例选用!B11</f>
        <v>SC-010</v>
      </c>
      <c r="D21" s="17" t="str">
        <f>IF(COUNTIFS(市场案例库!$A$6:$A$35,C21)&lt;&gt;1,"",IF(INDEX(市场案例库!$B$6:$B$35,MATCH(C21,市场案例库!$A$6:$A$35,0))="","",INDEX(市场案例库!$B$6:$B$35,MATCH(C21,市场案例库!$A$6:$A$35,0))))</f>
        <v>模拟案例10</v>
      </c>
      <c r="E21" s="24">
        <f>IF(COUNTIFS(市场案例库!$A$6:$A$35,C21)&lt;&gt;1,"",IF(COUNT(INDEX(市场案例库!$J$6:$J$35,MATCH(C21,市场案例库!$A$6:$A$35,0)))&lt;&gt;1,"",INDEX(市场案例库!$J$6:$J$35,MATCH(C21,市场案例库!$A$6:$A$35,0))))</f>
        <v>26</v>
      </c>
      <c r="F21" s="17" t="str">
        <f>IF(COUNTIFS(市场案例库!$A$6:$A$35,C21)&lt;&gt;1,"",IF(INDEX(市场案例库!$F$6:$F$35,MATCH(C21,市场案例库!$A$6:$A$35,0))="","",INDEX(市场案例库!$F$6:$F$35,MATCH(C21,市场案例库!$A$6:$A$35,0))))</f>
        <v>元/㎡/月</v>
      </c>
      <c r="G21" s="21">
        <f>IF(OR(COUNT(修正明细!J246:J261)&lt;&gt;16,COUNTIFS(修正明细!M246:M261,"模拟评分记录完整")&lt;&gt;16),"",PRODUCT(修正明细!J246:J261))</f>
        <v>0.95165225865147052</v>
      </c>
      <c r="H21" s="24">
        <f>IF(OR(COUNT(E21,G21)&lt;&gt;2,E21&lt;=0,三案例选用!F11&lt;&gt;"三案例齐全",三案例选用!G11&lt;&gt;"用途口径一致",三案例选用!H11&lt;&gt;"绑定有效"),"",E21*G21)</f>
        <v>24.742958724938234</v>
      </c>
      <c r="I21" s="25">
        <f t="shared" si="0"/>
        <v>-4.8347741348529483E-2</v>
      </c>
      <c r="J21" s="17" t="str">
        <f>IF(COUNT(I21)&lt;&gt;1,"待补计算资料",IF(ABS(I21)&lt;=测算参数!$B$7,"通过","超限待复核"))</f>
        <v>通过</v>
      </c>
      <c r="K21" s="16" t="str">
        <f t="shared" si="1"/>
        <v>模拟计算可复算</v>
      </c>
    </row>
    <row r="22" spans="1:11" ht="25.05" customHeight="1">
      <c r="A22" s="16" t="s">
        <v>78</v>
      </c>
      <c r="B22" s="16">
        <v>2</v>
      </c>
      <c r="C22" s="17" t="str">
        <f>三案例选用!C11</f>
        <v>SC-011</v>
      </c>
      <c r="D22" s="17" t="str">
        <f>IF(COUNTIFS(市场案例库!$A$6:$A$35,C22)&lt;&gt;1,"",IF(INDEX(市场案例库!$B$6:$B$35,MATCH(C22,市场案例库!$A$6:$A$35,0))="","",INDEX(市场案例库!$B$6:$B$35,MATCH(C22,市场案例库!$A$6:$A$35,0))))</f>
        <v>模拟案例11</v>
      </c>
      <c r="E22" s="24">
        <f>IF(COUNTIFS(市场案例库!$A$6:$A$35,C22)&lt;&gt;1,"",IF(COUNT(INDEX(市场案例库!$J$6:$J$35,MATCH(C22,市场案例库!$A$6:$A$35,0)))&lt;&gt;1,"",INDEX(市场案例库!$J$6:$J$35,MATCH(C22,市场案例库!$A$6:$A$35,0))))</f>
        <v>27</v>
      </c>
      <c r="F22" s="17" t="str">
        <f>IF(COUNTIFS(市场案例库!$A$6:$A$35,C22)&lt;&gt;1,"",IF(INDEX(市场案例库!$F$6:$F$35,MATCH(C22,市场案例库!$A$6:$A$35,0))="","",INDEX(市场案例库!$F$6:$F$35,MATCH(C22,市场案例库!$A$6:$A$35,0))))</f>
        <v>元/㎡/月</v>
      </c>
      <c r="G22" s="21">
        <f>IF(OR(COUNT(修正明细!J262:J277)&lt;&gt;16,COUNTIFS(修正明细!M262:M277,"模拟评分记录完整")&lt;&gt;16),"",PRODUCT(修正明细!J262:J277))</f>
        <v>0.96116878123798533</v>
      </c>
      <c r="H22" s="24">
        <f>IF(OR(COUNT(E22,G22)&lt;&gt;2,E22&lt;=0,三案例选用!F11&lt;&gt;"三案例齐全",三案例选用!G11&lt;&gt;"用途口径一致",三案例选用!H11&lt;&gt;"绑定有效"),"",E22*G22)</f>
        <v>25.951557093425603</v>
      </c>
      <c r="I22" s="25">
        <f t="shared" si="0"/>
        <v>-3.8831218762014674E-2</v>
      </c>
      <c r="J22" s="17" t="str">
        <f>IF(COUNT(I22)&lt;&gt;1,"待补计算资料",IF(ABS(I22)&lt;=测算参数!$B$7,"通过","超限待复核"))</f>
        <v>通过</v>
      </c>
      <c r="K22" s="16" t="str">
        <f t="shared" si="1"/>
        <v>模拟计算可复算</v>
      </c>
    </row>
    <row r="23" spans="1:11" ht="25.05" customHeight="1">
      <c r="A23" s="16" t="s">
        <v>78</v>
      </c>
      <c r="B23" s="16">
        <v>3</v>
      </c>
      <c r="C23" s="17" t="str">
        <f>三案例选用!D11</f>
        <v>SC-012</v>
      </c>
      <c r="D23" s="17" t="str">
        <f>IF(COUNTIFS(市场案例库!$A$6:$A$35,C23)&lt;&gt;1,"",IF(INDEX(市场案例库!$B$6:$B$35,MATCH(C23,市场案例库!$A$6:$A$35,0))="","",INDEX(市场案例库!$B$6:$B$35,MATCH(C23,市场案例库!$A$6:$A$35,0))))</f>
        <v>模拟案例12</v>
      </c>
      <c r="E23" s="24">
        <f>IF(COUNTIFS(市场案例库!$A$6:$A$35,C23)&lt;&gt;1,"",IF(COUNT(INDEX(市场案例库!$J$6:$J$35,MATCH(C23,市场案例库!$A$6:$A$35,0)))&lt;&gt;1,"",INDEX(市场案例库!$J$6:$J$35,MATCH(C23,市场案例库!$A$6:$A$35,0))))</f>
        <v>28</v>
      </c>
      <c r="F23" s="17" t="str">
        <f>IF(COUNTIFS(市场案例库!$A$6:$A$35,C23)&lt;&gt;1,"",IF(INDEX(市场案例库!$F$6:$F$35,MATCH(C23,市场案例库!$A$6:$A$35,0))="","",INDEX(市场案例库!$F$6:$F$35,MATCH(C23,市场案例库!$A$6:$A$35,0))))</f>
        <v>元/㎡/月</v>
      </c>
      <c r="G23" s="21">
        <f>IF(OR(COUNT(修正明细!J278:J293)&lt;&gt;16,COUNTIFS(修正明细!M278:M293,"模拟评分记录完整")&lt;&gt;16),"",PRODUCT(修正明细!J278:J293))</f>
        <v>0.9902951079421668</v>
      </c>
      <c r="H23" s="24">
        <f>IF(OR(COUNT(E23,G23)&lt;&gt;2,E23&lt;=0,三案例选用!F11&lt;&gt;"三案例齐全",三案例选用!G11&lt;&gt;"用途口径一致",三案例选用!H11&lt;&gt;"绑定有效"),"",E23*G23)</f>
        <v>27.72826302238067</v>
      </c>
      <c r="I23" s="25">
        <f t="shared" si="0"/>
        <v>-9.7048920578332032E-3</v>
      </c>
      <c r="J23" s="17" t="str">
        <f>IF(COUNT(I23)&lt;&gt;1,"待补计算资料",IF(ABS(I23)&lt;=测算参数!$B$7,"通过","超限待复核"))</f>
        <v>通过</v>
      </c>
      <c r="K23" s="16" t="str">
        <f t="shared" si="1"/>
        <v>模拟计算可复算</v>
      </c>
    </row>
    <row r="24" spans="1:11" ht="25.05" customHeight="1">
      <c r="A24" s="16" t="s">
        <v>79</v>
      </c>
      <c r="B24" s="16">
        <v>1</v>
      </c>
      <c r="C24" s="17" t="str">
        <f>三案例选用!B12</f>
        <v>SC-013</v>
      </c>
      <c r="D24" s="17" t="str">
        <f>IF(COUNTIFS(市场案例库!$A$6:$A$35,C24)&lt;&gt;1,"",IF(INDEX(市场案例库!$B$6:$B$35,MATCH(C24,市场案例库!$A$6:$A$35,0))="","",INDEX(市场案例库!$B$6:$B$35,MATCH(C24,市场案例库!$A$6:$A$35,0))))</f>
        <v>模拟案例13</v>
      </c>
      <c r="E24" s="24">
        <f>IF(COUNTIFS(市场案例库!$A$6:$A$35,C24)&lt;&gt;1,"",IF(COUNT(INDEX(市场案例库!$J$6:$J$35,MATCH(C24,市场案例库!$A$6:$A$35,0)))&lt;&gt;1,"",INDEX(市场案例库!$J$6:$J$35,MATCH(C24,市场案例库!$A$6:$A$35,0))))</f>
        <v>12.5</v>
      </c>
      <c r="F24" s="17" t="str">
        <f>IF(COUNTIFS(市场案例库!$A$6:$A$35,C24)&lt;&gt;1,"",IF(INDEX(市场案例库!$F$6:$F$35,MATCH(C24,市场案例库!$A$6:$A$35,0))="","",INDEX(市场案例库!$F$6:$F$35,MATCH(C24,市场案例库!$A$6:$A$35,0))))</f>
        <v>元/㎡/月</v>
      </c>
      <c r="G24" s="21">
        <f>IF(OR(COUNT(修正明细!J294:J309)&lt;&gt;16,COUNTIFS(修正明细!M294:M309,"模拟评分记录完整")&lt;&gt;16),"",PRODUCT(修正明细!J294:J309))</f>
        <v>0.93370681605975714</v>
      </c>
      <c r="H24" s="24">
        <f>IF(OR(COUNT(E24,G24)&lt;&gt;2,E24&lt;=0,三案例选用!F12&lt;&gt;"三案例齐全",三案例选用!G12&lt;&gt;"用途口径一致",三案例选用!H12&lt;&gt;"绑定有效"),"",E24*G24)</f>
        <v>11.671335200746965</v>
      </c>
      <c r="I24" s="25">
        <f t="shared" si="0"/>
        <v>-6.6293183940242861E-2</v>
      </c>
      <c r="J24" s="17" t="str">
        <f>IF(COUNT(I24)&lt;&gt;1,"待补计算资料",IF(ABS(I24)&lt;=测算参数!$B$7,"通过","超限待复核"))</f>
        <v>通过</v>
      </c>
      <c r="K24" s="16" t="str">
        <f t="shared" si="1"/>
        <v>模拟计算可复算</v>
      </c>
    </row>
    <row r="25" spans="1:11" ht="25.05" customHeight="1">
      <c r="A25" s="16" t="s">
        <v>79</v>
      </c>
      <c r="B25" s="16">
        <v>2</v>
      </c>
      <c r="C25" s="17" t="str">
        <f>三案例选用!C12</f>
        <v>SC-014</v>
      </c>
      <c r="D25" s="17" t="str">
        <f>IF(COUNTIFS(市场案例库!$A$6:$A$35,C25)&lt;&gt;1,"",IF(INDEX(市场案例库!$B$6:$B$35,MATCH(C25,市场案例库!$A$6:$A$35,0))="","",INDEX(市场案例库!$B$6:$B$35,MATCH(C25,市场案例库!$A$6:$A$35,0))))</f>
        <v>模拟案例14</v>
      </c>
      <c r="E25" s="24">
        <f>IF(COUNTIFS(市场案例库!$A$6:$A$35,C25)&lt;&gt;1,"",IF(COUNT(INDEX(市场案例库!$J$6:$J$35,MATCH(C25,市场案例库!$A$6:$A$35,0)))&lt;&gt;1,"",INDEX(市场案例库!$J$6:$J$35,MATCH(C25,市场案例库!$A$6:$A$35,0))))</f>
        <v>13</v>
      </c>
      <c r="F25" s="17" t="str">
        <f>IF(COUNTIFS(市场案例库!$A$6:$A$35,C25)&lt;&gt;1,"",IF(INDEX(市场案例库!$F$6:$F$35,MATCH(C25,市场案例库!$A$6:$A$35,0))="","",INDEX(市场案例库!$F$6:$F$35,MATCH(C25,市场案例库!$A$6:$A$35,0))))</f>
        <v>元/㎡/月</v>
      </c>
      <c r="G25" s="21">
        <f>IF(OR(COUNT(修正明细!J310:J325)&lt;&gt;16,COUNTIFS(修正明细!M310:M325,"模拟评分记录完整")&lt;&gt;16),"",PRODUCT(修正明细!J310:J325))</f>
        <v>0.98078447065100538</v>
      </c>
      <c r="H25" s="24">
        <f>IF(OR(COUNT(E25,G25)&lt;&gt;2,E25&lt;=0,三案例选用!F12&lt;&gt;"三案例齐全",三案例选用!G12&lt;&gt;"用途口径一致",三案例选用!H12&lt;&gt;"绑定有效"),"",E25*G25)</f>
        <v>12.75019811846307</v>
      </c>
      <c r="I25" s="25">
        <f t="shared" si="0"/>
        <v>-1.921552934899462E-2</v>
      </c>
      <c r="J25" s="17" t="str">
        <f>IF(COUNT(I25)&lt;&gt;1,"待补计算资料",IF(ABS(I25)&lt;=测算参数!$B$7,"通过","超限待复核"))</f>
        <v>通过</v>
      </c>
      <c r="K25" s="16" t="str">
        <f t="shared" si="1"/>
        <v>模拟计算可复算</v>
      </c>
    </row>
    <row r="26" spans="1:11" ht="25.05" customHeight="1">
      <c r="A26" s="16" t="s">
        <v>79</v>
      </c>
      <c r="B26" s="16">
        <v>3</v>
      </c>
      <c r="C26" s="17" t="str">
        <f>三案例选用!D12</f>
        <v>SC-015</v>
      </c>
      <c r="D26" s="17" t="str">
        <f>IF(COUNTIFS(市场案例库!$A$6:$A$35,C26)&lt;&gt;1,"",IF(INDEX(市场案例库!$B$6:$B$35,MATCH(C26,市场案例库!$A$6:$A$35,0))="","",INDEX(市场案例库!$B$6:$B$35,MATCH(C26,市场案例库!$A$6:$A$35,0))))</f>
        <v>模拟案例15</v>
      </c>
      <c r="E26" s="24">
        <f>IF(COUNTIFS(市场案例库!$A$6:$A$35,C26)&lt;&gt;1,"",IF(COUNT(INDEX(市场案例库!$J$6:$J$35,MATCH(C26,市场案例库!$A$6:$A$35,0)))&lt;&gt;1,"",INDEX(市场案例库!$J$6:$J$35,MATCH(C26,市场案例库!$A$6:$A$35,0))))</f>
        <v>12</v>
      </c>
      <c r="F26" s="17" t="str">
        <f>IF(COUNTIFS(市场案例库!$A$6:$A$35,C26)&lt;&gt;1,"",IF(INDEX(市场案例库!$F$6:$F$35,MATCH(C26,市场案例库!$A$6:$A$35,0))="","",INDEX(市场案例库!$F$6:$F$35,MATCH(C26,市场案例库!$A$6:$A$35,0))))</f>
        <v>元/㎡/月</v>
      </c>
      <c r="G26" s="21">
        <f>IF(OR(COUNT(修正明细!J326:J341)&lt;&gt;16,COUNTIFS(修正明细!M326:M341,"模拟评分记录完整")&lt;&gt;16),"",PRODUCT(修正明细!J326:J341))</f>
        <v>0.98039215686274506</v>
      </c>
      <c r="H26" s="24">
        <f>IF(OR(COUNT(E26,G26)&lt;&gt;2,E26&lt;=0,三案例选用!F12&lt;&gt;"三案例齐全",三案例选用!G12&lt;&gt;"用途口径一致",三案例选用!H12&lt;&gt;"绑定有效"),"",E26*G26)</f>
        <v>11.76470588235294</v>
      </c>
      <c r="I26" s="25">
        <f t="shared" si="0"/>
        <v>-1.9607843137254943E-2</v>
      </c>
      <c r="J26" s="17" t="str">
        <f>IF(COUNT(I26)&lt;&gt;1,"待补计算资料",IF(ABS(I26)&lt;=测算参数!$B$7,"通过","超限待复核"))</f>
        <v>通过</v>
      </c>
      <c r="K26" s="16" t="str">
        <f t="shared" si="1"/>
        <v>模拟计算可复算</v>
      </c>
    </row>
    <row r="27" spans="1:11" ht="25.05" customHeight="1">
      <c r="A27" s="16" t="s">
        <v>80</v>
      </c>
      <c r="B27" s="16">
        <v>1</v>
      </c>
      <c r="C27" s="17" t="str">
        <f>三案例选用!B13</f>
        <v>SC-016</v>
      </c>
      <c r="D27" s="17" t="str">
        <f>IF(COUNTIFS(市场案例库!$A$6:$A$35,C27)&lt;&gt;1,"",IF(INDEX(市场案例库!$B$6:$B$35,MATCH(C27,市场案例库!$A$6:$A$35,0))="","",INDEX(市场案例库!$B$6:$B$35,MATCH(C27,市场案例库!$A$6:$A$35,0))))</f>
        <v>模拟案例16</v>
      </c>
      <c r="E27" s="24">
        <f>IF(COUNTIFS(市场案例库!$A$6:$A$35,C27)&lt;&gt;1,"",IF(COUNT(INDEX(市场案例库!$J$6:$J$35,MATCH(C27,市场案例库!$A$6:$A$35,0)))&lt;&gt;1,"",INDEX(市场案例库!$J$6:$J$35,MATCH(C27,市场案例库!$A$6:$A$35,0))))</f>
        <v>18</v>
      </c>
      <c r="F27" s="17" t="str">
        <f>IF(COUNTIFS(市场案例库!$A$6:$A$35,C27)&lt;&gt;1,"",IF(INDEX(市场案例库!$F$6:$F$35,MATCH(C27,市场案例库!$A$6:$A$35,0))="","",INDEX(市场案例库!$F$6:$F$35,MATCH(C27,市场案例库!$A$6:$A$35,0))))</f>
        <v>元/㎡/月</v>
      </c>
      <c r="G27" s="21">
        <f>IF(OR(COUNT(修正明细!J342:J357)&lt;&gt;16,COUNTIFS(修正明细!M342:M357,"模拟评分记录完整")&lt;&gt;16),"",PRODUCT(修正明细!J342:J357))</f>
        <v>0.89693730682185835</v>
      </c>
      <c r="H27" s="24">
        <f>IF(OR(COUNT(E27,G27)&lt;&gt;2,E27&lt;=0,三案例选用!F13&lt;&gt;"三案例齐全",三案例选用!G13&lt;&gt;"用途口径一致",三案例选用!H13&lt;&gt;"绑定有效"),"",E27*G27)</f>
        <v>16.144871522793451</v>
      </c>
      <c r="I27" s="25">
        <f t="shared" si="0"/>
        <v>-0.10306269317814154</v>
      </c>
      <c r="J27" s="17" t="str">
        <f>IF(COUNT(I27)&lt;&gt;1,"待补计算资料",IF(ABS(I27)&lt;=测算参数!$B$7,"通过","超限待复核"))</f>
        <v>通过</v>
      </c>
      <c r="K27" s="16" t="str">
        <f t="shared" si="1"/>
        <v>模拟计算可复算</v>
      </c>
    </row>
    <row r="28" spans="1:11" ht="25.05" customHeight="1">
      <c r="A28" s="16" t="s">
        <v>80</v>
      </c>
      <c r="B28" s="16">
        <v>2</v>
      </c>
      <c r="C28" s="17" t="str">
        <f>三案例选用!C13</f>
        <v>SC-017</v>
      </c>
      <c r="D28" s="17" t="str">
        <f>IF(COUNTIFS(市场案例库!$A$6:$A$35,C28)&lt;&gt;1,"",IF(INDEX(市场案例库!$B$6:$B$35,MATCH(C28,市场案例库!$A$6:$A$35,0))="","",INDEX(市场案例库!$B$6:$B$35,MATCH(C28,市场案例库!$A$6:$A$35,0))))</f>
        <v>模拟案例17</v>
      </c>
      <c r="E28" s="24">
        <f>IF(COUNTIFS(市场案例库!$A$6:$A$35,C28)&lt;&gt;1,"",IF(COUNT(INDEX(市场案例库!$J$6:$J$35,MATCH(C28,市场案例库!$A$6:$A$35,0)))&lt;&gt;1,"",INDEX(市场案例库!$J$6:$J$35,MATCH(C28,市场案例库!$A$6:$A$35,0))))</f>
        <v>19</v>
      </c>
      <c r="F28" s="17" t="str">
        <f>IF(COUNTIFS(市场案例库!$A$6:$A$35,C28)&lt;&gt;1,"",IF(INDEX(市场案例库!$F$6:$F$35,MATCH(C28,市场案例库!$A$6:$A$35,0))="","",INDEX(市场案例库!$F$6:$F$35,MATCH(C28,市场案例库!$A$6:$A$35,0))))</f>
        <v>元/㎡/月</v>
      </c>
      <c r="G28" s="21">
        <f>IF(OR(COUNT(修正明细!J358:J373)&lt;&gt;16,COUNTIFS(修正明细!M358:M373,"模拟评分记录完整")&lt;&gt;16),"",PRODUCT(修正明细!J358:J373))</f>
        <v>0.89729622531198316</v>
      </c>
      <c r="H28" s="24">
        <f>IF(OR(COUNT(E28,G28)&lt;&gt;2,E28&lt;=0,三案例选用!F13&lt;&gt;"三案例齐全",三案例选用!G13&lt;&gt;"用途口径一致",三案例选用!H13&lt;&gt;"绑定有效"),"",E28*G28)</f>
        <v>17.04862828092768</v>
      </c>
      <c r="I28" s="25">
        <f t="shared" si="0"/>
        <v>-0.10270377468801684</v>
      </c>
      <c r="J28" s="17" t="str">
        <f>IF(COUNT(I28)&lt;&gt;1,"待补计算资料",IF(ABS(I28)&lt;=测算参数!$B$7,"通过","超限待复核"))</f>
        <v>通过</v>
      </c>
      <c r="K28" s="16" t="str">
        <f t="shared" si="1"/>
        <v>模拟计算可复算</v>
      </c>
    </row>
    <row r="29" spans="1:11" ht="25.05" customHeight="1">
      <c r="A29" s="16" t="s">
        <v>80</v>
      </c>
      <c r="B29" s="16">
        <v>3</v>
      </c>
      <c r="C29" s="17" t="str">
        <f>三案例选用!D13</f>
        <v>SC-018</v>
      </c>
      <c r="D29" s="17" t="str">
        <f>IF(COUNTIFS(市场案例库!$A$6:$A$35,C29)&lt;&gt;1,"",IF(INDEX(市场案例库!$B$6:$B$35,MATCH(C29,市场案例库!$A$6:$A$35,0))="","",INDEX(市场案例库!$B$6:$B$35,MATCH(C29,市场案例库!$A$6:$A$35,0))))</f>
        <v>模拟案例18</v>
      </c>
      <c r="E29" s="24">
        <f>IF(COUNTIFS(市场案例库!$A$6:$A$35,C29)&lt;&gt;1,"",IF(COUNT(INDEX(市场案例库!$J$6:$J$35,MATCH(C29,市场案例库!$A$6:$A$35,0)))&lt;&gt;1,"",INDEX(市场案例库!$J$6:$J$35,MATCH(C29,市场案例库!$A$6:$A$35,0))))</f>
        <v>18.5</v>
      </c>
      <c r="F29" s="17" t="str">
        <f>IF(COUNTIFS(市场案例库!$A$6:$A$35,C29)&lt;&gt;1,"",IF(INDEX(市场案例库!$F$6:$F$35,MATCH(C29,市场案例库!$A$6:$A$35,0))="","",INDEX(市场案例库!$F$6:$F$35,MATCH(C29,市场案例库!$A$6:$A$35,0))))</f>
        <v>元/㎡/月</v>
      </c>
      <c r="G29" s="21">
        <f>IF(OR(COUNT(修正明细!J374:J389)&lt;&gt;16,COUNTIFS(修正明细!M374:M389,"模拟评分记录完整")&lt;&gt;16),"",PRODUCT(修正明细!J374:J389))</f>
        <v>0.89693730682185835</v>
      </c>
      <c r="H29" s="24">
        <f>IF(OR(COUNT(E29,G29)&lt;&gt;2,E29&lt;=0,三案例选用!F13&lt;&gt;"三案例齐全",三案例选用!G13&lt;&gt;"用途口径一致",三案例选用!H13&lt;&gt;"绑定有效"),"",E29*G29)</f>
        <v>16.593340176204379</v>
      </c>
      <c r="I29" s="25">
        <f t="shared" si="0"/>
        <v>-0.10306269317814165</v>
      </c>
      <c r="J29" s="17" t="str">
        <f>IF(COUNT(I29)&lt;&gt;1,"待补计算资料",IF(ABS(I29)&lt;=测算参数!$B$7,"通过","超限待复核"))</f>
        <v>通过</v>
      </c>
      <c r="K29" s="16" t="str">
        <f t="shared" si="1"/>
        <v>模拟计算可复算</v>
      </c>
    </row>
    <row r="30" spans="1:11" ht="25.05" customHeight="1">
      <c r="A30" s="16" t="s">
        <v>81</v>
      </c>
      <c r="B30" s="16">
        <v>1</v>
      </c>
      <c r="C30" s="17" t="str">
        <f>三案例选用!B14</f>
        <v>SC-019</v>
      </c>
      <c r="D30" s="17" t="str">
        <f>IF(COUNTIFS(市场案例库!$A$6:$A$35,C30)&lt;&gt;1,"",IF(INDEX(市场案例库!$B$6:$B$35,MATCH(C30,市场案例库!$A$6:$A$35,0))="","",INDEX(市场案例库!$B$6:$B$35,MATCH(C30,市场案例库!$A$6:$A$35,0))))</f>
        <v>模拟案例19</v>
      </c>
      <c r="E30" s="24">
        <f>IF(COUNTIFS(市场案例库!$A$6:$A$35,C30)&lt;&gt;1,"",IF(COUNT(INDEX(市场案例库!$J$6:$J$35,MATCH(C30,市场案例库!$A$6:$A$35,0)))&lt;&gt;1,"",INDEX(市场案例库!$J$6:$J$35,MATCH(C30,市场案例库!$A$6:$A$35,0))))</f>
        <v>3.4</v>
      </c>
      <c r="F30" s="17" t="str">
        <f>IF(COUNTIFS(市场案例库!$A$6:$A$35,C30)&lt;&gt;1,"",IF(INDEX(市场案例库!$F$6:$F$35,MATCH(C30,市场案例库!$A$6:$A$35,0))="","",INDEX(市场案例库!$F$6:$F$35,MATCH(C30,市场案例库!$A$6:$A$35,0))))</f>
        <v>元/㎡/月</v>
      </c>
      <c r="G30" s="21">
        <f>IF(OR(COUNT(修正明细!J390:J405)&lt;&gt;16,COUNTIFS(修正明细!M390:M405,"模拟评分记录完整")&lt;&gt;16),"",PRODUCT(修正明细!J390:J405))</f>
        <v>0.98039215686274506</v>
      </c>
      <c r="H30" s="24">
        <f>IF(OR(COUNT(E30,G30)&lt;&gt;2,E30&lt;=0,三案例选用!F14&lt;&gt;"三案例齐全",三案例选用!G14&lt;&gt;"用途口径一致",三案例选用!H14&lt;&gt;"绑定有效"),"",E30*G30)</f>
        <v>3.333333333333333</v>
      </c>
      <c r="I30" s="25">
        <f t="shared" si="0"/>
        <v>-1.9607843137254943E-2</v>
      </c>
      <c r="J30" s="17" t="str">
        <f>IF(COUNT(I30)&lt;&gt;1,"待补计算资料",IF(ABS(I30)&lt;=测算参数!$B$7,"通过","超限待复核"))</f>
        <v>通过</v>
      </c>
      <c r="K30" s="16" t="str">
        <f t="shared" si="1"/>
        <v>模拟计算可复算</v>
      </c>
    </row>
    <row r="31" spans="1:11" ht="25.05" customHeight="1">
      <c r="A31" s="16" t="s">
        <v>81</v>
      </c>
      <c r="B31" s="16">
        <v>2</v>
      </c>
      <c r="C31" s="17" t="str">
        <f>三案例选用!C14</f>
        <v>SC-020</v>
      </c>
      <c r="D31" s="17" t="str">
        <f>IF(COUNTIFS(市场案例库!$A$6:$A$35,C31)&lt;&gt;1,"",IF(INDEX(市场案例库!$B$6:$B$35,MATCH(C31,市场案例库!$A$6:$A$35,0))="","",INDEX(市场案例库!$B$6:$B$35,MATCH(C31,市场案例库!$A$6:$A$35,0))))</f>
        <v>模拟案例20</v>
      </c>
      <c r="E31" s="24">
        <f>IF(COUNTIFS(市场案例库!$A$6:$A$35,C31)&lt;&gt;1,"",IF(COUNT(INDEX(市场案例库!$J$6:$J$35,MATCH(C31,市场案例库!$A$6:$A$35,0)))&lt;&gt;1,"",INDEX(市场案例库!$J$6:$J$35,MATCH(C31,市场案例库!$A$6:$A$35,0))))</f>
        <v>3.6</v>
      </c>
      <c r="F31" s="17" t="str">
        <f>IF(COUNTIFS(市场案例库!$A$6:$A$35,C31)&lt;&gt;1,"",IF(INDEX(市场案例库!$F$6:$F$35,MATCH(C31,市场案例库!$A$6:$A$35,0))="","",INDEX(市场案例库!$F$6:$F$35,MATCH(C31,市场案例库!$A$6:$A$35,0))))</f>
        <v>元/㎡/月</v>
      </c>
      <c r="G31" s="21">
        <f>IF(OR(COUNT(修正明细!J406:J421)&lt;&gt;16,COUNTIFS(修正明细!M406:M421,"模拟评分记录完整")&lt;&gt;16),"",PRODUCT(修正明细!J406:J421))</f>
        <v>0.98039215686274506</v>
      </c>
      <c r="H31" s="24">
        <f>IF(OR(COUNT(E31,G31)&lt;&gt;2,E31&lt;=0,三案例选用!F14&lt;&gt;"三案例齐全",三案例选用!G14&lt;&gt;"用途口径一致",三案例选用!H14&lt;&gt;"绑定有效"),"",E31*G31)</f>
        <v>3.5294117647058822</v>
      </c>
      <c r="I31" s="25">
        <f t="shared" si="0"/>
        <v>-1.9607843137254943E-2</v>
      </c>
      <c r="J31" s="17" t="str">
        <f>IF(COUNT(I31)&lt;&gt;1,"待补计算资料",IF(ABS(I31)&lt;=测算参数!$B$7,"通过","超限待复核"))</f>
        <v>通过</v>
      </c>
      <c r="K31" s="16" t="str">
        <f t="shared" si="1"/>
        <v>模拟计算可复算</v>
      </c>
    </row>
    <row r="32" spans="1:11" ht="25.05" customHeight="1">
      <c r="A32" s="16" t="s">
        <v>81</v>
      </c>
      <c r="B32" s="16">
        <v>3</v>
      </c>
      <c r="C32" s="17" t="str">
        <f>三案例选用!D14</f>
        <v>SC-021</v>
      </c>
      <c r="D32" s="17" t="str">
        <f>IF(COUNTIFS(市场案例库!$A$6:$A$35,C32)&lt;&gt;1,"",IF(INDEX(市场案例库!$B$6:$B$35,MATCH(C32,市场案例库!$A$6:$A$35,0))="","",INDEX(市场案例库!$B$6:$B$35,MATCH(C32,市场案例库!$A$6:$A$35,0))))</f>
        <v>模拟案例21</v>
      </c>
      <c r="E32" s="24">
        <f>IF(COUNTIFS(市场案例库!$A$6:$A$35,C32)&lt;&gt;1,"",IF(COUNT(INDEX(市场案例库!$J$6:$J$35,MATCH(C32,市场案例库!$A$6:$A$35,0)))&lt;&gt;1,"",INDEX(市场案例库!$J$6:$J$35,MATCH(C32,市场案例库!$A$6:$A$35,0))))</f>
        <v>3.5</v>
      </c>
      <c r="F32" s="17" t="str">
        <f>IF(COUNTIFS(市场案例库!$A$6:$A$35,C32)&lt;&gt;1,"",IF(INDEX(市场案例库!$F$6:$F$35,MATCH(C32,市场案例库!$A$6:$A$35,0))="","",INDEX(市场案例库!$F$6:$F$35,MATCH(C32,市场案例库!$A$6:$A$35,0))))</f>
        <v>元/㎡/月</v>
      </c>
      <c r="G32" s="21">
        <f>IF(OR(COUNT(修正明细!J422:J437)&lt;&gt;16,COUNTIFS(修正明细!M422:M437,"模拟评分记录完整")&lt;&gt;16),"",PRODUCT(修正明细!J422:J437))</f>
        <v>0.98039215686274506</v>
      </c>
      <c r="H32" s="24">
        <f>IF(OR(COUNT(E32,G32)&lt;&gt;2,E32&lt;=0,三案例选用!F14&lt;&gt;"三案例齐全",三案例选用!G14&lt;&gt;"用途口径一致",三案例选用!H14&lt;&gt;"绑定有效"),"",E32*G32)</f>
        <v>3.4313725490196076</v>
      </c>
      <c r="I32" s="25">
        <f t="shared" si="0"/>
        <v>-1.9607843137254943E-2</v>
      </c>
      <c r="J32" s="17" t="str">
        <f>IF(COUNT(I32)&lt;&gt;1,"待补计算资料",IF(ABS(I32)&lt;=测算参数!$B$7,"通过","超限待复核"))</f>
        <v>通过</v>
      </c>
      <c r="K32" s="16" t="str">
        <f t="shared" si="1"/>
        <v>模拟计算可复算</v>
      </c>
    </row>
    <row r="33" spans="1:11" ht="25.05" customHeight="1">
      <c r="A33" s="16" t="s">
        <v>82</v>
      </c>
      <c r="B33" s="16">
        <v>1</v>
      </c>
      <c r="C33" s="17" t="str">
        <f>三案例选用!B15</f>
        <v>SC-022</v>
      </c>
      <c r="D33" s="17" t="str">
        <f>IF(COUNTIFS(市场案例库!$A$6:$A$35,C33)&lt;&gt;1,"",IF(INDEX(市场案例库!$B$6:$B$35,MATCH(C33,市场案例库!$A$6:$A$35,0))="","",INDEX(市场案例库!$B$6:$B$35,MATCH(C33,市场案例库!$A$6:$A$35,0))))</f>
        <v>模拟案例22</v>
      </c>
      <c r="E33" s="24">
        <f>IF(COUNTIFS(市场案例库!$A$6:$A$35,C33)&lt;&gt;1,"",IF(COUNT(INDEX(市场案例库!$J$6:$J$35,MATCH(C33,市场案例库!$A$6:$A$35,0)))&lt;&gt;1,"",INDEX(市场案例库!$J$6:$J$35,MATCH(C33,市场案例库!$A$6:$A$35,0))))</f>
        <v>185</v>
      </c>
      <c r="F33" s="17" t="str">
        <f>IF(COUNTIFS(市场案例库!$A$6:$A$35,C33)&lt;&gt;1,"",IF(INDEX(市场案例库!$F$6:$F$35,MATCH(C33,市场案例库!$A$6:$A$35,0))="","",INDEX(市场案例库!$F$6:$F$35,MATCH(C33,市场案例库!$A$6:$A$35,0))))</f>
        <v>元/个/月</v>
      </c>
      <c r="G33" s="21">
        <f>IF(OR(COUNT(修正明细!J438:J453)&lt;&gt;16,COUNTIFS(修正明细!M438:M453,"模拟评分记录完整")&lt;&gt;16),"",PRODUCT(修正明细!J438:J453))</f>
        <v>1</v>
      </c>
      <c r="H33" s="24">
        <f>IF(OR(COUNT(E33,G33)&lt;&gt;2,E33&lt;=0,三案例选用!F15&lt;&gt;"三案例齐全",三案例选用!G15&lt;&gt;"用途口径一致",三案例选用!H15&lt;&gt;"绑定有效"),"",E33*G33)</f>
        <v>185</v>
      </c>
      <c r="I33" s="25">
        <f t="shared" si="0"/>
        <v>0</v>
      </c>
      <c r="J33" s="17" t="str">
        <f>IF(COUNT(I33)&lt;&gt;1,"待补计算资料",IF(ABS(I33)&lt;=测算参数!$B$7,"通过","超限待复核"))</f>
        <v>通过</v>
      </c>
      <c r="K33" s="16" t="str">
        <f t="shared" si="1"/>
        <v>模拟计算可复算</v>
      </c>
    </row>
    <row r="34" spans="1:11" ht="25.05" customHeight="1">
      <c r="A34" s="16" t="s">
        <v>82</v>
      </c>
      <c r="B34" s="16">
        <v>2</v>
      </c>
      <c r="C34" s="17" t="str">
        <f>三案例选用!C15</f>
        <v>SC-023</v>
      </c>
      <c r="D34" s="17" t="str">
        <f>IF(COUNTIFS(市场案例库!$A$6:$A$35,C34)&lt;&gt;1,"",IF(INDEX(市场案例库!$B$6:$B$35,MATCH(C34,市场案例库!$A$6:$A$35,0))="","",INDEX(市场案例库!$B$6:$B$35,MATCH(C34,市场案例库!$A$6:$A$35,0))))</f>
        <v>模拟案例23</v>
      </c>
      <c r="E34" s="24">
        <f>IF(COUNTIFS(市场案例库!$A$6:$A$35,C34)&lt;&gt;1,"",IF(COUNT(INDEX(市场案例库!$J$6:$J$35,MATCH(C34,市场案例库!$A$6:$A$35,0)))&lt;&gt;1,"",INDEX(市场案例库!$J$6:$J$35,MATCH(C34,市场案例库!$A$6:$A$35,0))))</f>
        <v>190</v>
      </c>
      <c r="F34" s="17" t="str">
        <f>IF(COUNTIFS(市场案例库!$A$6:$A$35,C34)&lt;&gt;1,"",IF(INDEX(市场案例库!$F$6:$F$35,MATCH(C34,市场案例库!$A$6:$A$35,0))="","",INDEX(市场案例库!$F$6:$F$35,MATCH(C34,市场案例库!$A$6:$A$35,0))))</f>
        <v>元/个/月</v>
      </c>
      <c r="G34" s="21">
        <f>IF(OR(COUNT(修正明细!J454:J469)&lt;&gt;16,COUNTIFS(修正明细!M454:M469,"模拟评分记录完整")&lt;&gt;16),"",PRODUCT(修正明细!J454:J469))</f>
        <v>1</v>
      </c>
      <c r="H34" s="24">
        <f>IF(OR(COUNT(E34,G34)&lt;&gt;2,E34&lt;=0,三案例选用!F15&lt;&gt;"三案例齐全",三案例选用!G15&lt;&gt;"用途口径一致",三案例选用!H15&lt;&gt;"绑定有效"),"",E34*G34)</f>
        <v>190</v>
      </c>
      <c r="I34" s="25">
        <f t="shared" si="0"/>
        <v>0</v>
      </c>
      <c r="J34" s="17" t="str">
        <f>IF(COUNT(I34)&lt;&gt;1,"待补计算资料",IF(ABS(I34)&lt;=测算参数!$B$7,"通过","超限待复核"))</f>
        <v>通过</v>
      </c>
      <c r="K34" s="16" t="str">
        <f t="shared" si="1"/>
        <v>模拟计算可复算</v>
      </c>
    </row>
    <row r="35" spans="1:11" ht="25.05" customHeight="1">
      <c r="A35" s="16" t="s">
        <v>82</v>
      </c>
      <c r="B35" s="16">
        <v>3</v>
      </c>
      <c r="C35" s="17" t="str">
        <f>三案例选用!D15</f>
        <v>SC-024</v>
      </c>
      <c r="D35" s="17" t="str">
        <f>IF(COUNTIFS(市场案例库!$A$6:$A$35,C35)&lt;&gt;1,"",IF(INDEX(市场案例库!$B$6:$B$35,MATCH(C35,市场案例库!$A$6:$A$35,0))="","",INDEX(市场案例库!$B$6:$B$35,MATCH(C35,市场案例库!$A$6:$A$35,0))))</f>
        <v>模拟案例24</v>
      </c>
      <c r="E35" s="24">
        <f>IF(COUNTIFS(市场案例库!$A$6:$A$35,C35)&lt;&gt;1,"",IF(COUNT(INDEX(市场案例库!$J$6:$J$35,MATCH(C35,市场案例库!$A$6:$A$35,0)))&lt;&gt;1,"",INDEX(市场案例库!$J$6:$J$35,MATCH(C35,市场案例库!$A$6:$A$35,0))))</f>
        <v>180</v>
      </c>
      <c r="F35" s="17" t="str">
        <f>IF(COUNTIFS(市场案例库!$A$6:$A$35,C35)&lt;&gt;1,"",IF(INDEX(市场案例库!$F$6:$F$35,MATCH(C35,市场案例库!$A$6:$A$35,0))="","",INDEX(市场案例库!$F$6:$F$35,MATCH(C35,市场案例库!$A$6:$A$35,0))))</f>
        <v>元/个/月</v>
      </c>
      <c r="G35" s="21">
        <f>IF(OR(COUNT(修正明细!J470:J485)&lt;&gt;16,COUNTIFS(修正明细!M470:M485,"模拟评分记录完整")&lt;&gt;16),"",PRODUCT(修正明细!J470:J485))</f>
        <v>1</v>
      </c>
      <c r="H35" s="24">
        <f>IF(OR(COUNT(E35,G35)&lt;&gt;2,E35&lt;=0,三案例选用!F15&lt;&gt;"三案例齐全",三案例选用!G15&lt;&gt;"用途口径一致",三案例选用!H15&lt;&gt;"绑定有效"),"",E35*G35)</f>
        <v>180</v>
      </c>
      <c r="I35" s="25">
        <f t="shared" si="0"/>
        <v>0</v>
      </c>
      <c r="J35" s="17" t="str">
        <f>IF(COUNT(I35)&lt;&gt;1,"待补计算资料",IF(ABS(I35)&lt;=测算参数!$B$7,"通过","超限待复核"))</f>
        <v>通过</v>
      </c>
      <c r="K35" s="16" t="str">
        <f t="shared" si="1"/>
        <v>模拟计算可复算</v>
      </c>
    </row>
    <row r="36" spans="1:11" ht="25.05" customHeight="1">
      <c r="A36" s="16" t="s">
        <v>83</v>
      </c>
      <c r="B36" s="16">
        <v>1</v>
      </c>
      <c r="C36" s="17" t="str">
        <f>三案例选用!B16</f>
        <v>SC-025</v>
      </c>
      <c r="D36" s="17" t="str">
        <f>IF(COUNTIFS(市场案例库!$A$6:$A$35,C36)&lt;&gt;1,"",IF(INDEX(市场案例库!$B$6:$B$35,MATCH(C36,市场案例库!$A$6:$A$35,0))="","",INDEX(市场案例库!$B$6:$B$35,MATCH(C36,市场案例库!$A$6:$A$35,0))))</f>
        <v>模拟案例25</v>
      </c>
      <c r="E36" s="24">
        <f>IF(COUNTIFS(市场案例库!$A$6:$A$35,C36)&lt;&gt;1,"",IF(COUNT(INDEX(市场案例库!$J$6:$J$35,MATCH(C36,市场案例库!$A$6:$A$35,0)))&lt;&gt;1,"",INDEX(市场案例库!$J$6:$J$35,MATCH(C36,市场案例库!$A$6:$A$35,0))))</f>
        <v>680</v>
      </c>
      <c r="F36" s="17" t="str">
        <f>IF(COUNTIFS(市场案例库!$A$6:$A$35,C36)&lt;&gt;1,"",IF(INDEX(市场案例库!$F$6:$F$35,MATCH(C36,市场案例库!$A$6:$A$35,0))="","",INDEX(市场案例库!$F$6:$F$35,MATCH(C36,市场案例库!$A$6:$A$35,0))))</f>
        <v>元/间/月</v>
      </c>
      <c r="G36" s="21">
        <f>IF(OR(COUNT(修正明细!J486:J501)&lt;&gt;16,COUNTIFS(修正明细!M486:M501,"模拟评分记录完整")&lt;&gt;16),"",PRODUCT(修正明细!J486:J501))</f>
        <v>0.98039215686274506</v>
      </c>
      <c r="H36" s="24">
        <f>IF(OR(COUNT(E36,G36)&lt;&gt;2,E36&lt;=0,三案例选用!F16&lt;&gt;"三案例齐全",三案例选用!G16&lt;&gt;"用途口径一致",三案例选用!H16&lt;&gt;"绑定有效"),"",E36*G36)</f>
        <v>666.66666666666663</v>
      </c>
      <c r="I36" s="25">
        <f t="shared" si="0"/>
        <v>-1.9607843137254943E-2</v>
      </c>
      <c r="J36" s="17" t="str">
        <f>IF(COUNT(I36)&lt;&gt;1,"待补计算资料",IF(ABS(I36)&lt;=测算参数!$B$7,"通过","超限待复核"))</f>
        <v>通过</v>
      </c>
      <c r="K36" s="16" t="str">
        <f t="shared" si="1"/>
        <v>模拟计算可复算</v>
      </c>
    </row>
    <row r="37" spans="1:11" ht="25.05" customHeight="1">
      <c r="A37" s="16" t="s">
        <v>83</v>
      </c>
      <c r="B37" s="16">
        <v>2</v>
      </c>
      <c r="C37" s="17" t="str">
        <f>三案例选用!C16</f>
        <v>SC-026</v>
      </c>
      <c r="D37" s="17" t="str">
        <f>IF(COUNTIFS(市场案例库!$A$6:$A$35,C37)&lt;&gt;1,"",IF(INDEX(市场案例库!$B$6:$B$35,MATCH(C37,市场案例库!$A$6:$A$35,0))="","",INDEX(市场案例库!$B$6:$B$35,MATCH(C37,市场案例库!$A$6:$A$35,0))))</f>
        <v>模拟案例26</v>
      </c>
      <c r="E37" s="24">
        <f>IF(COUNTIFS(市场案例库!$A$6:$A$35,C37)&lt;&gt;1,"",IF(COUNT(INDEX(市场案例库!$J$6:$J$35,MATCH(C37,市场案例库!$A$6:$A$35,0)))&lt;&gt;1,"",INDEX(市场案例库!$J$6:$J$35,MATCH(C37,市场案例库!$A$6:$A$35,0))))</f>
        <v>700</v>
      </c>
      <c r="F37" s="17" t="str">
        <f>IF(COUNTIFS(市场案例库!$A$6:$A$35,C37)&lt;&gt;1,"",IF(INDEX(市场案例库!$F$6:$F$35,MATCH(C37,市场案例库!$A$6:$A$35,0))="","",INDEX(市场案例库!$F$6:$F$35,MATCH(C37,市场案例库!$A$6:$A$35,0))))</f>
        <v>元/间/月</v>
      </c>
      <c r="G37" s="21">
        <f>IF(OR(COUNT(修正明细!J502:J517)&lt;&gt;16,COUNTIFS(修正明细!M502:M517,"模拟评分记录完整")&lt;&gt;16),"",PRODUCT(修正明细!J502:J517))</f>
        <v>0.97087755680604582</v>
      </c>
      <c r="H37" s="24">
        <f>IF(OR(COUNT(E37,G37)&lt;&gt;2,E37&lt;=0,三案例选用!F16&lt;&gt;"三案例齐全",三案例选用!G16&lt;&gt;"用途口径一致",三案例选用!H16&lt;&gt;"绑定有效"),"",E37*G37)</f>
        <v>679.61428976423213</v>
      </c>
      <c r="I37" s="25">
        <f t="shared" si="0"/>
        <v>-2.9122443193954073E-2</v>
      </c>
      <c r="J37" s="17" t="str">
        <f>IF(COUNT(I37)&lt;&gt;1,"待补计算资料",IF(ABS(I37)&lt;=测算参数!$B$7,"通过","超限待复核"))</f>
        <v>通过</v>
      </c>
      <c r="K37" s="16" t="str">
        <f t="shared" si="1"/>
        <v>模拟计算可复算</v>
      </c>
    </row>
    <row r="38" spans="1:11" ht="25.05" customHeight="1">
      <c r="A38" s="16" t="s">
        <v>83</v>
      </c>
      <c r="B38" s="16">
        <v>3</v>
      </c>
      <c r="C38" s="17" t="str">
        <f>三案例选用!D16</f>
        <v>SC-027</v>
      </c>
      <c r="D38" s="17" t="str">
        <f>IF(COUNTIFS(市场案例库!$A$6:$A$35,C38)&lt;&gt;1,"",IF(INDEX(市场案例库!$B$6:$B$35,MATCH(C38,市场案例库!$A$6:$A$35,0))="","",INDEX(市场案例库!$B$6:$B$35,MATCH(C38,市场案例库!$A$6:$A$35,0))))</f>
        <v>模拟案例27</v>
      </c>
      <c r="E38" s="24">
        <f>IF(COUNTIFS(市场案例库!$A$6:$A$35,C38)&lt;&gt;1,"",IF(COUNT(INDEX(市场案例库!$J$6:$J$35,MATCH(C38,市场案例库!$A$6:$A$35,0)))&lt;&gt;1,"",INDEX(市场案例库!$J$6:$J$35,MATCH(C38,市场案例库!$A$6:$A$35,0))))</f>
        <v>660</v>
      </c>
      <c r="F38" s="17" t="str">
        <f>IF(COUNTIFS(市场案例库!$A$6:$A$35,C38)&lt;&gt;1,"",IF(INDEX(市场案例库!$F$6:$F$35,MATCH(C38,市场案例库!$A$6:$A$35,0))="","",INDEX(市场案例库!$F$6:$F$35,MATCH(C38,市场案例库!$A$6:$A$35,0))))</f>
        <v>元/间/月</v>
      </c>
      <c r="G38" s="21">
        <f>IF(OR(COUNT(修正明细!J518:J533)&lt;&gt;16,COUNTIFS(修正明细!M518:M533,"模拟评分记录完整")&lt;&gt;16),"",PRODUCT(修正明细!J518:J533))</f>
        <v>0.98039215686274506</v>
      </c>
      <c r="H38" s="24">
        <f>IF(OR(COUNT(E38,G38)&lt;&gt;2,E38&lt;=0,三案例选用!F16&lt;&gt;"三案例齐全",三案例选用!G16&lt;&gt;"用途口径一致",三案例选用!H16&lt;&gt;"绑定有效"),"",E38*G38)</f>
        <v>647.05882352941171</v>
      </c>
      <c r="I38" s="25">
        <f t="shared" si="0"/>
        <v>-1.9607843137254943E-2</v>
      </c>
      <c r="J38" s="17" t="str">
        <f>IF(COUNT(I38)&lt;&gt;1,"待补计算资料",IF(ABS(I38)&lt;=测算参数!$B$7,"通过","超限待复核"))</f>
        <v>通过</v>
      </c>
      <c r="K38" s="16" t="str">
        <f t="shared" si="1"/>
        <v>模拟计算可复算</v>
      </c>
    </row>
    <row r="39" spans="1:11" ht="25.05" customHeight="1">
      <c r="A39" s="16" t="s">
        <v>84</v>
      </c>
      <c r="B39" s="16">
        <v>1</v>
      </c>
      <c r="C39" s="17" t="str">
        <f>三案例选用!B17</f>
        <v>SC-028</v>
      </c>
      <c r="D39" s="17" t="str">
        <f>IF(COUNTIFS(市场案例库!$A$6:$A$35,C39)&lt;&gt;1,"",IF(INDEX(市场案例库!$B$6:$B$35,MATCH(C39,市场案例库!$A$6:$A$35,0))="","",INDEX(市场案例库!$B$6:$B$35,MATCH(C39,市场案例库!$A$6:$A$35,0))))</f>
        <v>模拟案例28</v>
      </c>
      <c r="E39" s="24">
        <f>IF(COUNTIFS(市场案例库!$A$6:$A$35,C39)&lt;&gt;1,"",IF(COUNT(INDEX(市场案例库!$J$6:$J$35,MATCH(C39,市场案例库!$A$6:$A$35,0)))&lt;&gt;1,"",INDEX(市场案例库!$J$6:$J$35,MATCH(C39,市场案例库!$A$6:$A$35,0))))</f>
        <v>720</v>
      </c>
      <c r="F39" s="17" t="str">
        <f>IF(COUNTIFS(市场案例库!$A$6:$A$35,C39)&lt;&gt;1,"",IF(INDEX(市场案例库!$F$6:$F$35,MATCH(C39,市场案例库!$A$6:$A$35,0))="","",INDEX(市场案例库!$F$6:$F$35,MATCH(C39,市场案例库!$A$6:$A$35,0))))</f>
        <v>元/处/月</v>
      </c>
      <c r="G39" s="21">
        <f>IF(OR(COUNT(修正明细!J534:J549)&lt;&gt;16,COUNTIFS(修正明细!M534:M549,"模拟评分记录完整")&lt;&gt;16),"",PRODUCT(修正明细!J534:J549))</f>
        <v>0.98039215686274506</v>
      </c>
      <c r="H39" s="24">
        <f>IF(OR(COUNT(E39,G39)&lt;&gt;2,E39&lt;=0,三案例选用!F17&lt;&gt;"三案例齐全",三案例选用!G17&lt;&gt;"用途口径一致",三案例选用!H17&lt;&gt;"绑定有效"),"",E39*G39)</f>
        <v>705.88235294117646</v>
      </c>
      <c r="I39" s="25">
        <f t="shared" si="0"/>
        <v>-1.9607843137254943E-2</v>
      </c>
      <c r="J39" s="17" t="str">
        <f>IF(COUNT(I39)&lt;&gt;1,"待补计算资料",IF(ABS(I39)&lt;=测算参数!$B$7,"通过","超限待复核"))</f>
        <v>通过</v>
      </c>
      <c r="K39" s="16" t="str">
        <f t="shared" si="1"/>
        <v>模拟计算可复算</v>
      </c>
    </row>
    <row r="40" spans="1:11" ht="25.05" customHeight="1">
      <c r="A40" s="16" t="s">
        <v>84</v>
      </c>
      <c r="B40" s="16">
        <v>2</v>
      </c>
      <c r="C40" s="17" t="str">
        <f>三案例选用!C17</f>
        <v>SC-029</v>
      </c>
      <c r="D40" s="17" t="str">
        <f>IF(COUNTIFS(市场案例库!$A$6:$A$35,C40)&lt;&gt;1,"",IF(INDEX(市场案例库!$B$6:$B$35,MATCH(C40,市场案例库!$A$6:$A$35,0))="","",INDEX(市场案例库!$B$6:$B$35,MATCH(C40,市场案例库!$A$6:$A$35,0))))</f>
        <v>模拟案例29</v>
      </c>
      <c r="E40" s="24">
        <f>IF(COUNTIFS(市场案例库!$A$6:$A$35,C40)&lt;&gt;1,"",IF(COUNT(INDEX(市场案例库!$J$6:$J$35,MATCH(C40,市场案例库!$A$6:$A$35,0)))&lt;&gt;1,"",INDEX(市场案例库!$J$6:$J$35,MATCH(C40,市场案例库!$A$6:$A$35,0))))</f>
        <v>750</v>
      </c>
      <c r="F40" s="17" t="str">
        <f>IF(COUNTIFS(市场案例库!$A$6:$A$35,C40)&lt;&gt;1,"",IF(INDEX(市场案例库!$F$6:$F$35,MATCH(C40,市场案例库!$A$6:$A$35,0))="","",INDEX(市场案例库!$F$6:$F$35,MATCH(C40,市场案例库!$A$6:$A$35,0))))</f>
        <v>元/处/月</v>
      </c>
      <c r="G40" s="21">
        <f>IF(OR(COUNT(修正明细!J550:J565)&lt;&gt;16,COUNTIFS(修正明细!M550:M565,"模拟评分记录完整")&lt;&gt;16),"",PRODUCT(修正明细!J550:J565))</f>
        <v>0.98039215686274506</v>
      </c>
      <c r="H40" s="24">
        <f>IF(OR(COUNT(E40,G40)&lt;&gt;2,E40&lt;=0,三案例选用!F17&lt;&gt;"三案例齐全",三案例选用!G17&lt;&gt;"用途口径一致",三案例选用!H17&lt;&gt;"绑定有效"),"",E40*G40)</f>
        <v>735.29411764705878</v>
      </c>
      <c r="I40" s="25">
        <f t="shared" si="0"/>
        <v>-1.9607843137254943E-2</v>
      </c>
      <c r="J40" s="17" t="str">
        <f>IF(COUNT(I40)&lt;&gt;1,"待补计算资料",IF(ABS(I40)&lt;=测算参数!$B$7,"通过","超限待复核"))</f>
        <v>通过</v>
      </c>
      <c r="K40" s="16" t="str">
        <f t="shared" si="1"/>
        <v>模拟计算可复算</v>
      </c>
    </row>
    <row r="41" spans="1:11" ht="25.05" customHeight="1">
      <c r="A41" s="16" t="s">
        <v>84</v>
      </c>
      <c r="B41" s="16">
        <v>3</v>
      </c>
      <c r="C41" s="17" t="str">
        <f>三案例选用!D17</f>
        <v>SC-030</v>
      </c>
      <c r="D41" s="17" t="str">
        <f>IF(COUNTIFS(市场案例库!$A$6:$A$35,C41)&lt;&gt;1,"",IF(INDEX(市场案例库!$B$6:$B$35,MATCH(C41,市场案例库!$A$6:$A$35,0))="","",INDEX(市场案例库!$B$6:$B$35,MATCH(C41,市场案例库!$A$6:$A$35,0))))</f>
        <v>模拟案例30</v>
      </c>
      <c r="E41" s="24">
        <f>IF(COUNTIFS(市场案例库!$A$6:$A$35,C41)&lt;&gt;1,"",IF(COUNT(INDEX(市场案例库!$J$6:$J$35,MATCH(C41,市场案例库!$A$6:$A$35,0)))&lt;&gt;1,"",INDEX(市场案例库!$J$6:$J$35,MATCH(C41,市场案例库!$A$6:$A$35,0))))</f>
        <v>730</v>
      </c>
      <c r="F41" s="17" t="str">
        <f>IF(COUNTIFS(市场案例库!$A$6:$A$35,C41)&lt;&gt;1,"",IF(INDEX(市场案例库!$F$6:$F$35,MATCH(C41,市场案例库!$A$6:$A$35,0))="","",INDEX(市场案例库!$F$6:$F$35,MATCH(C41,市场案例库!$A$6:$A$35,0))))</f>
        <v>元/处/月</v>
      </c>
      <c r="G41" s="21">
        <f>IF(OR(COUNT(修正明细!J566:J581)&lt;&gt;16,COUNTIFS(修正明细!M566:M581,"模拟评分记录完整")&lt;&gt;16),"",PRODUCT(修正明细!J566:J581))</f>
        <v>0.98039215686274506</v>
      </c>
      <c r="H41" s="24">
        <f>IF(OR(COUNT(E41,G41)&lt;&gt;2,E41&lt;=0,三案例选用!F17&lt;&gt;"三案例齐全",三案例选用!G17&lt;&gt;"用途口径一致",三案例选用!H17&lt;&gt;"绑定有效"),"",E41*G41)</f>
        <v>715.68627450980387</v>
      </c>
      <c r="I41" s="25">
        <f t="shared" si="0"/>
        <v>-1.9607843137254943E-2</v>
      </c>
      <c r="J41" s="17" t="str">
        <f>IF(COUNT(I41)&lt;&gt;1,"待补计算资料",IF(ABS(I41)&lt;=测算参数!$B$7,"通过","超限待复核"))</f>
        <v>通过</v>
      </c>
      <c r="K41" s="16" t="str">
        <f t="shared" si="1"/>
        <v>模拟计算可复算</v>
      </c>
    </row>
    <row r="42" spans="1:11" ht="25.0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ht="25.05" customHeight="1">
      <c r="A43" s="3" t="s">
        <v>195</v>
      </c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5.0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</sheetData>
  <phoneticPr fontId="8" type="noConversion"/>
  <conditionalFormatting sqref="J6:K41">
    <cfRule type="containsText" dxfId="4" priority="1" operator="containsText" text="待"/>
  </conditionalFormatting>
  <pageMargins left="0.39370078740157477" right="0.39370078740157477" top="0.75" bottom="0.75" header="0.3" footer="0.3"/>
  <pageSetup paperSize="8" scale="92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584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E6" sqref="E6"/>
    </sheetView>
  </sheetViews>
  <sheetFormatPr defaultRowHeight="13.5"/>
  <cols>
    <col min="1" max="1" width="16" customWidth="1"/>
    <col min="2" max="2" width="10" customWidth="1"/>
    <col min="3" max="3" width="16" customWidth="1"/>
    <col min="4" max="4" width="19" customWidth="1"/>
    <col min="5" max="5" width="23" customWidth="1"/>
    <col min="6" max="7" width="31" customWidth="1"/>
    <col min="8" max="8" width="12" customWidth="1"/>
    <col min="9" max="9" width="14" customWidth="1"/>
    <col min="10" max="10" width="16" customWidth="1"/>
    <col min="11" max="11" width="19" customWidth="1"/>
    <col min="12" max="12" width="64" customWidth="1"/>
    <col min="13" max="13" width="25" customWidth="1"/>
    <col min="14" max="14" width="18" customWidth="1"/>
  </cols>
  <sheetData>
    <row r="1" spans="1:14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049999999999997" customHeight="1">
      <c r="A2" s="2" t="s">
        <v>196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44" customHeight="1">
      <c r="A5" s="4" t="s">
        <v>58</v>
      </c>
      <c r="B5" s="4" t="s">
        <v>185</v>
      </c>
      <c r="C5" s="4" t="s">
        <v>197</v>
      </c>
      <c r="D5" s="4" t="s">
        <v>198</v>
      </c>
      <c r="E5" s="4" t="s">
        <v>199</v>
      </c>
      <c r="F5" s="4" t="s">
        <v>200</v>
      </c>
      <c r="G5" s="4" t="s">
        <v>201</v>
      </c>
      <c r="H5" s="4" t="s">
        <v>202</v>
      </c>
      <c r="I5" s="4" t="s">
        <v>203</v>
      </c>
      <c r="J5" s="4" t="s">
        <v>204</v>
      </c>
      <c r="K5" s="4" t="s">
        <v>205</v>
      </c>
      <c r="L5" s="4" t="s">
        <v>206</v>
      </c>
      <c r="M5" s="4" t="s">
        <v>207</v>
      </c>
      <c r="N5" s="4" t="s">
        <v>208</v>
      </c>
    </row>
    <row r="6" spans="1:14" ht="46.05" customHeight="1">
      <c r="A6" s="16" t="s">
        <v>72</v>
      </c>
      <c r="B6" s="16">
        <v>1</v>
      </c>
      <c r="C6" s="17" t="str">
        <f>三案例选用!B6</f>
        <v>SC-001</v>
      </c>
      <c r="D6" s="16" t="s">
        <v>209</v>
      </c>
      <c r="E6" s="16" t="str">
        <f>IF(TRUE,"适用","不适用采用100/100")</f>
        <v>适用</v>
      </c>
      <c r="F6" s="17" t="str">
        <f>IF(TRUE,IF(COUNTIFS(资产清单!$A$6:$A$25,A6)&lt;&gt;1,"",IF(INDEX(资产清单!$I$6:$I$25,MATCH(A6,资产清单!$A$6:$A$25,0))="","",INDEX(资产清单!$I$6:$I$25,MATCH(A6,资产清单!$A$6:$A$25,0)))),"不适用")</f>
        <v>临街商铺</v>
      </c>
      <c r="G6" s="17" t="str">
        <f>IF(TRUE,IF(COUNTIFS(市场案例库!$A$6:$A$35,C6)&lt;&gt;1,"",IF(INDEX(市场案例库!$O$6:$O$35,MATCH(C6,市场案例库!$A$6:$A$35,0))="","",INDEX(市场案例库!$O$6:$O$35,MATCH(C6,市场案例库!$A$6:$A$35,0)))),"不适用")</f>
        <v>临街商铺</v>
      </c>
      <c r="H6" s="19">
        <f>测算参数!$B$6</f>
        <v>100</v>
      </c>
      <c r="I6" s="19">
        <f>IF(OR(COUNTIFS(市场案例库!$A$6:$A$35,C6)&lt;&gt;1),"",IF(COUNTIFS(市场案例库!$A$6:$A$35,C6)&lt;&gt;1,"",IF(COUNT(INDEX(市场案例库!$M$6:$M$35,MATCH(C6,市场案例库!$A$6:$A$35,0)))&lt;&gt;1,"",INDEX(市场案例库!$M$6:$M$35,MATCH(C6,市场案例库!$A$6:$A$35,0)))))</f>
        <v>102</v>
      </c>
      <c r="J6" s="20">
        <f>IF(OR(C6&lt;&gt;N6,COUNT(H6:I6)&lt;&gt;2,H6&lt;=0,I6&lt;=0),"",IF(TRUE,H6/I6,H6/H6))</f>
        <v>0.98039215686274506</v>
      </c>
      <c r="K6" s="16" t="s">
        <v>210</v>
      </c>
      <c r="L6" s="16" t="s">
        <v>211</v>
      </c>
      <c r="M6" s="16" t="str">
        <f t="shared" ref="M6:M69" si="0">IF(C6&lt;&gt;N6,"待重判评分",IF(COUNT(J6)&lt;&gt;1,"待补评分",IF(OR(K6="",L6=""),"待补依据","模拟评分记录完整")))</f>
        <v>模拟评分记录完整</v>
      </c>
      <c r="N6" s="8" t="s">
        <v>149</v>
      </c>
    </row>
    <row r="7" spans="1:14" ht="46.05" customHeight="1">
      <c r="A7" s="16" t="s">
        <v>72</v>
      </c>
      <c r="B7" s="16">
        <v>1</v>
      </c>
      <c r="C7" s="17" t="str">
        <f>三案例选用!B6</f>
        <v>SC-001</v>
      </c>
      <c r="D7" s="16" t="s">
        <v>212</v>
      </c>
      <c r="E7" s="16" t="str">
        <f>IF(TRUE,"适用","不适用采用100/100")</f>
        <v>适用</v>
      </c>
      <c r="F7" s="17" t="str">
        <f>IF(TRUE,IF(COUNTIFS(资产清单!$A$6:$A$25,A7)&lt;&gt;1,"",IF(INDEX(资产清单!$I$6:$I$25,MATCH(A7,资产清单!$A$6:$A$25,0))="","",INDEX(资产清单!$I$6:$I$25,MATCH(A7,资产清单!$A$6:$A$25,0)))),"不适用")</f>
        <v>临街商铺</v>
      </c>
      <c r="G7" s="17" t="str">
        <f>IF(TRUE,IF(COUNTIFS(市场案例库!$A$6:$A$35,C7)&lt;&gt;1,"",IF(INDEX(市场案例库!$O$6:$O$35,MATCH(C7,市场案例库!$A$6:$A$35,0))="","",INDEX(市场案例库!$O$6:$O$35,MATCH(C7,市场案例库!$A$6:$A$35,0)))),"不适用")</f>
        <v>临街商铺</v>
      </c>
      <c r="H7" s="19">
        <f>测算参数!$B$6</f>
        <v>100</v>
      </c>
      <c r="I7" s="19">
        <f>IF(OR(COUNTIFS(市场案例库!$A$6:$A$35,C7)&lt;&gt;1),"",IF(COUNTIFS(市场案例库!$A$6:$A$35,C7)&lt;&gt;1,"",IF(COUNT(INDEX(市场案例库!$N$6:$N$35,MATCH(C7,市场案例库!$A$6:$A$35,0)))&lt;&gt;1,"",INDEX(市场案例库!$N$6:$N$35,MATCH(C7,市场案例库!$A$6:$A$35,0)))))</f>
        <v>100</v>
      </c>
      <c r="J7" s="20">
        <f>IF(OR(C7&lt;&gt;N7,COUNT(H7:I7)&lt;&gt;2,H7&lt;=0,I7&lt;=0),"",IF(TRUE,H7/I7,H7/H7))</f>
        <v>1</v>
      </c>
      <c r="K7" s="16" t="s">
        <v>210</v>
      </c>
      <c r="L7" s="16" t="s">
        <v>213</v>
      </c>
      <c r="M7" s="16" t="str">
        <f t="shared" si="0"/>
        <v>模拟评分记录完整</v>
      </c>
      <c r="N7" s="8" t="s">
        <v>149</v>
      </c>
    </row>
    <row r="8" spans="1:14" ht="46.05" customHeight="1">
      <c r="A8" s="16" t="s">
        <v>72</v>
      </c>
      <c r="B8" s="16">
        <v>1</v>
      </c>
      <c r="C8" s="17" t="str">
        <f>三案例选用!B6</f>
        <v>SC-001</v>
      </c>
      <c r="D8" s="16" t="s">
        <v>214</v>
      </c>
      <c r="E8" s="16" t="str">
        <f>IF(TRUE,"适用","不适用采用100/100")</f>
        <v>适用</v>
      </c>
      <c r="F8" s="17" t="str">
        <f>IF(TRUE,IF(COUNTIFS(资产清单!$A$6:$A$25,A8)&lt;&gt;1,"",IF(INDEX(资产清单!$I$6:$I$25,MATCH(A8,资产清单!$A$6:$A$25,0))="","",INDEX(资产清单!$I$6:$I$25,MATCH(A8,资产清单!$A$6:$A$25,0)))),"不适用")</f>
        <v>临街商铺</v>
      </c>
      <c r="G8" s="17" t="str">
        <f>IF(TRUE,IF(COUNTIFS(市场案例库!$A$6:$A$35,C8)&lt;&gt;1,"",IF(INDEX(市场案例库!$O$6:$O$35,MATCH(C8,市场案例库!$A$6:$A$35,0))="","",INDEX(市场案例库!$O$6:$O$35,MATCH(C8,市场案例库!$A$6:$A$35,0)))),"不适用")</f>
        <v>临街商铺</v>
      </c>
      <c r="H8" s="19">
        <f>测算参数!$B$6</f>
        <v>100</v>
      </c>
      <c r="I8" s="10">
        <v>100</v>
      </c>
      <c r="J8" s="20">
        <f>IF(OR(C8&lt;&gt;N8,COUNT(H8:I8)&lt;&gt;2,H8&lt;=0,I8&lt;=0),"",IF(TRUE,H8/I8,H8/H8))</f>
        <v>1</v>
      </c>
      <c r="K8" s="16" t="s">
        <v>210</v>
      </c>
      <c r="L8" s="16" t="s">
        <v>215</v>
      </c>
      <c r="M8" s="16" t="str">
        <f t="shared" si="0"/>
        <v>模拟评分记录完整</v>
      </c>
      <c r="N8" s="8" t="s">
        <v>149</v>
      </c>
    </row>
    <row r="9" spans="1:14" ht="46.05" customHeight="1">
      <c r="A9" s="16" t="s">
        <v>72</v>
      </c>
      <c r="B9" s="16">
        <v>1</v>
      </c>
      <c r="C9" s="17" t="str">
        <f>三案例选用!B6</f>
        <v>SC-001</v>
      </c>
      <c r="D9" s="16" t="s">
        <v>216</v>
      </c>
      <c r="E9" s="16" t="str">
        <f>IF(TRUE,"适用","不适用采用100/100")</f>
        <v>适用</v>
      </c>
      <c r="F9" s="17" t="str">
        <f>IF(TRUE,IF(COUNTIFS(资产清单!$A$6:$A$25,A9)&lt;&gt;1,"",IF(INDEX(资产清单!$I$6:$I$25,MATCH(A9,资产清单!$A$6:$A$25,0))="","",INDEX(资产清单!$I$6:$I$25,MATCH(A9,资产清单!$A$6:$A$25,0)))),"不适用")</f>
        <v>临街商铺</v>
      </c>
      <c r="G9" s="17" t="str">
        <f>IF(TRUE,IF(COUNTIFS(市场案例库!$A$6:$A$35,C9)&lt;&gt;1,"",IF(INDEX(市场案例库!$O$6:$O$35,MATCH(C9,市场案例库!$A$6:$A$35,0))="","",INDEX(市场案例库!$O$6:$O$35,MATCH(C9,市场案例库!$A$6:$A$35,0)))),"不适用")</f>
        <v>临街商铺</v>
      </c>
      <c r="H9" s="19">
        <f>测算参数!$B$6</f>
        <v>100</v>
      </c>
      <c r="I9" s="10">
        <v>100</v>
      </c>
      <c r="J9" s="20">
        <f>IF(OR(C9&lt;&gt;N9,COUNT(H9:I9)&lt;&gt;2,H9&lt;=0,I9&lt;=0),"",IF(TRUE,H9/I9,H9/H9))</f>
        <v>1</v>
      </c>
      <c r="K9" s="16" t="s">
        <v>210</v>
      </c>
      <c r="L9" s="16" t="s">
        <v>215</v>
      </c>
      <c r="M9" s="16" t="str">
        <f t="shared" si="0"/>
        <v>模拟评分记录完整</v>
      </c>
      <c r="N9" s="8" t="s">
        <v>149</v>
      </c>
    </row>
    <row r="10" spans="1:14" ht="46.05" customHeight="1">
      <c r="A10" s="16" t="s">
        <v>72</v>
      </c>
      <c r="B10" s="16">
        <v>1</v>
      </c>
      <c r="C10" s="17" t="str">
        <f>三案例选用!B6</f>
        <v>SC-001</v>
      </c>
      <c r="D10" s="16" t="s">
        <v>217</v>
      </c>
      <c r="E10" s="17" t="str">
        <f>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"适用","不适用采用100/100")</f>
        <v>适用</v>
      </c>
      <c r="F10" s="17">
        <f>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IF(COUNTIFS(资产清单!$A$6:$A$25,A10)&lt;&gt;1,"",IF(COUNT(INDEX(资产清单!$M$6:$M$25,MATCH(A10,资产清单!$A$6:$A$25,0)))&lt;&gt;1,"",INDEX(资产清单!$M$6:$M$25,MATCH(A10,资产清单!$A$6:$A$25,0)))),"不适用")</f>
        <v>1</v>
      </c>
      <c r="G10" s="17">
        <f>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IF(COUNTIFS(市场案例库!$A$6:$A$35,C10)&lt;&gt;1,"",IF(COUNT(INDEX(市场案例库!$H$6:$H$35,MATCH(C10,市场案例库!$A$6:$A$35,0)))&lt;&gt;1,"",INDEX(市场案例库!$H$6:$H$35,MATCH(C10,市场案例库!$A$6:$A$35,0)))),"不适用")</f>
        <v>1</v>
      </c>
      <c r="H10" s="19">
        <f>测算参数!$B$6</f>
        <v>100</v>
      </c>
      <c r="I10" s="19">
        <f>IF(OR(COUNTIFS(市场案例库!$A$6:$A$35,C10)&lt;&gt;1,AND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COUNT(IF(COUNTIFS(资产清单!$A$6:$A$25,A10)&lt;&gt;1,"",IF(COUNT(INDEX(资产清单!$M$6:$M$25,MATCH(A10,资产清单!$A$6:$A$25,0)))&lt;&gt;1,"",INDEX(资产清单!$M$6:$M$25,MATCH(A10,资产清单!$A$6:$A$25,0)))),IF(COUNTIFS(市场案例库!$A$6:$A$35,C10)&lt;&gt;1,"",IF(COUNT(INDEX(市场案例库!$H$6:$H$35,MATCH(C10,市场案例库!$A$6:$A$35,0)))&lt;&gt;1,"",INDEX(市场案例库!$H$6:$H$35,MATCH(C10,市场案例库!$A$6:$A$35,0)))))&lt;&gt;2)),"",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INDEX(测算参数!$B$25:$B$31,MATCH(MAX(-测算参数!$B$11,MIN(测算参数!$B$11,IF(COUNTIFS(资产清单!$A$6:$A$25,A10)&lt;&gt;1,"",IF(COUNT(INDEX(资产清单!$M$6:$M$25,MATCH(A10,资产清单!$A$6:$A$25,0)))&lt;&gt;1,"",INDEX(资产清单!$M$6:$M$25,MATCH(A10,资产清单!$A$6:$A$25,0))))-IF(COUNTIFS(市场案例库!$A$6:$A$35,C10)&lt;&gt;1,"",IF(COUNT(INDEX(市场案例库!$H$6:$H$35,MATCH(C10,市场案例库!$A$6:$A$35,0)))&lt;&gt;1,"",INDEX(市场案例库!$H$6:$H$35,MATCH(C10,市场案例库!$A$6:$A$35,0)))))),测算参数!$A$25:$A$31,0)),测算参数!$B$6))</f>
        <v>100</v>
      </c>
      <c r="J10" s="21">
        <f>IF(OR(C10&lt;&gt;N10,COUNT(H10:I10)&lt;&gt;2,H10&lt;=0,I10&lt;=0),"",IF(OR(IF(COUNTIFS(资产清单!$A$6:$A$25,A10)&lt;&gt;1,"",IF(INDEX(资产清单!$H$6:$H$25,MATCH(A10,资产清单!$A$6:$A$25,0))="","",INDEX(资产清单!$H$6:$H$25,MATCH(A10,资产清单!$A$6:$A$25,0))))="商业",IF(COUNTIFS(资产清单!$A$6:$A$25,A10)&lt;&gt;1,"",IF(INDEX(资产清单!$H$6:$H$25,MATCH(A10,资产清单!$A$6:$A$25,0))="","",INDEX(资产清单!$H$6:$H$25,MATCH(A10,资产清单!$A$6:$A$25,0))))="办公",IF(COUNTIFS(资产清单!$A$6:$A$25,A10)&lt;&gt;1,"",IF(INDEX(资产清单!$H$6:$H$25,MATCH(A10,资产清单!$A$6:$A$25,0))="","",INDEX(资产清单!$H$6:$H$25,MATCH(A10,资产清单!$A$6:$A$25,0))))="住宅"),H10/I10,H10/H10))</f>
        <v>1</v>
      </c>
      <c r="K10" s="16" t="s">
        <v>210</v>
      </c>
      <c r="L10" s="16" t="s">
        <v>218</v>
      </c>
      <c r="M10" s="16" t="str">
        <f t="shared" si="0"/>
        <v>模拟评分记录完整</v>
      </c>
      <c r="N10" s="8" t="s">
        <v>149</v>
      </c>
    </row>
    <row r="11" spans="1:14" ht="46.05" customHeight="1">
      <c r="A11" s="16" t="s">
        <v>72</v>
      </c>
      <c r="B11" s="16">
        <v>1</v>
      </c>
      <c r="C11" s="17" t="str">
        <f>三案例选用!B6</f>
        <v>SC-001</v>
      </c>
      <c r="D11" s="16" t="s">
        <v>219</v>
      </c>
      <c r="E11" s="17" t="str">
        <f>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"适用","不适用采用100/100")</f>
        <v>适用</v>
      </c>
      <c r="F11" s="17">
        <f>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IF(COUNTIFS(资产清单!$A$6:$A$25,A11)&lt;&gt;1,"",IF(COUNT(INDEX(资产清单!$L$6:$L$25,MATCH(A11,资产清单!$A$6:$A$25,0)))&lt;&gt;1,"",INDEX(资产清单!$L$6:$L$25,MATCH(A11,资产清单!$A$6:$A$25,0)))),"不适用")</f>
        <v>60</v>
      </c>
      <c r="G11" s="17">
        <f>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IF(COUNTIFS(市场案例库!$A$6:$A$35,C11)&lt;&gt;1,"",IF(COUNT(INDEX(市场案例库!$G$6:$G$35,MATCH(C11,市场案例库!$A$6:$A$35,0)))&lt;&gt;1,"",INDEX(市场案例库!$G$6:$G$35,MATCH(C11,市场案例库!$A$6:$A$35,0)))),"不适用")</f>
        <v>44</v>
      </c>
      <c r="H11" s="19">
        <f>测算参数!$B$6</f>
        <v>100</v>
      </c>
      <c r="I11" s="19">
        <f>IF(OR(COUNTIFS(市场案例库!$A$6:$A$35,C11)&lt;&gt;1,AND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OR(COUNT(IF(COUNTIFS(资产清单!$A$6:$A$25,A11)&lt;&gt;1,"",IF(COUNT(INDEX(资产清单!$L$6:$L$25,MATCH(A11,资产清单!$A$6:$A$25,0)))&lt;&gt;1,"",INDEX(资产清单!$L$6:$L$25,MATCH(A11,资产清单!$A$6:$A$25,0)))),IF(COUNTIFS(市场案例库!$A$6:$A$35,C11)&lt;&gt;1,"",IF(COUNT(INDEX(市场案例库!$G$6:$G$35,MATCH(C11,市场案例库!$A$6:$A$35,0)))&lt;&gt;1,"",INDEX(市场案例库!$G$6:$G$35,MATCH(C11,市场案例库!$A$6:$A$35,0)))))&lt;&gt;2,IF(COUNTIFS(资产清单!$A$6:$A$25,A11)&lt;&gt;1,"",IF(COUNT(INDEX(资产清单!$L$6:$L$25,MATCH(A11,资产清单!$A$6:$A$25,0)))&lt;&gt;1,"",INDEX(资产清单!$L$6:$L$25,MATCH(A11,资产清单!$A$6:$A$25,0))))&lt;=0,IF(COUNTIFS(市场案例库!$A$6:$A$35,C11)&lt;&gt;1,"",IF(COUNT(INDEX(市场案例库!$G$6:$G$35,MATCH(C11,市场案例库!$A$6:$A$35,0)))&lt;&gt;1,"",INDEX(市场案例库!$G$6:$G$35,MATCH(C11,市场案例库!$A$6:$A$35,0))))&lt;=0))),"",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LOOKUP(IF(COUNTIFS(市场案例库!$A$6:$A$35,C11)&lt;&gt;1,"",IF(COUNT(INDEX(市场案例库!$G$6:$G$35,MATCH(C11,市场案例库!$A$6:$A$35,0)))&lt;&gt;1,"",INDEX(市场案例库!$G$6:$G$35,MATCH(C11,市场案例库!$A$6:$A$35,0))))/IF(COUNTIFS(资产清单!$A$6:$A$25,A11)&lt;&gt;1,"",IF(COUNT(INDEX(资产清单!$L$6:$L$25,MATCH(A11,资产清单!$A$6:$A$25,0)))&lt;&gt;1,"",INDEX(资产清单!$L$6:$L$25,MATCH(A11,资产清单!$A$6:$A$25,0)))),测算参数!$A$15:$A$21,测算参数!$C$15:$C$21),测算参数!$B$6))</f>
        <v>102</v>
      </c>
      <c r="J11" s="21">
        <f>IF(OR(C11&lt;&gt;N11,COUNT(H11:I11)&lt;&gt;2,H11&lt;=0,I11&lt;=0),"",IF(AND(IF(COUNTIFS(资产清单!$A$6:$A$25,A11)&lt;&gt;1,"",IF(INDEX(资产清单!$J$6:$J$25,MATCH(A11,资产清单!$A$6:$A$25,0))="","",INDEX(资产清单!$J$6:$J$25,MATCH(A11,资产清单!$A$6:$A$25,0))))="元/㎡/月",IF(COUNTIFS(资产清单!$A$6:$A$25,A11)&lt;&gt;1,"",IF(INDEX(资产清单!$H$6:$H$25,MATCH(A11,资产清单!$A$6:$A$25,0))="","",INDEX(资产清单!$H$6:$H$25,MATCH(A11,资产清单!$A$6:$A$25,0))))&lt;&gt;"场地"),H11/I11,H11/H11))</f>
        <v>0.98039215686274506</v>
      </c>
      <c r="K11" s="16" t="s">
        <v>210</v>
      </c>
      <c r="L11" s="16" t="s">
        <v>220</v>
      </c>
      <c r="M11" s="16" t="str">
        <f t="shared" si="0"/>
        <v>模拟评分记录完整</v>
      </c>
      <c r="N11" s="8" t="s">
        <v>149</v>
      </c>
    </row>
    <row r="12" spans="1:14" ht="46.05" customHeight="1">
      <c r="A12" s="16" t="s">
        <v>72</v>
      </c>
      <c r="B12" s="16">
        <v>1</v>
      </c>
      <c r="C12" s="17" t="str">
        <f>三案例选用!B6</f>
        <v>SC-001</v>
      </c>
      <c r="D12" s="16" t="s">
        <v>221</v>
      </c>
      <c r="E12" s="16" t="str">
        <f t="shared" ref="E12:E17" si="1">IF(TRUE,"适用","不适用采用100/100")</f>
        <v>适用</v>
      </c>
      <c r="F12" s="17" t="str">
        <f>IF(TRUE,IF(COUNTIFS(资产清单!$A$6:$A$25,A12)&lt;&gt;1,"",IF(INDEX(资产清单!$I$6:$I$25,MATCH(A12,资产清单!$A$6:$A$25,0))="","",INDEX(资产清单!$I$6:$I$25,MATCH(A12,资产清单!$A$6:$A$25,0)))),"不适用")</f>
        <v>临街商铺</v>
      </c>
      <c r="G12" s="17" t="str">
        <f>IF(TRUE,IF(COUNTIFS(市场案例库!$A$6:$A$35,C12)&lt;&gt;1,"",IF(INDEX(市场案例库!$O$6:$O$35,MATCH(C12,市场案例库!$A$6:$A$35,0))="","",INDEX(市场案例库!$O$6:$O$35,MATCH(C12,市场案例库!$A$6:$A$35,0)))),"不适用")</f>
        <v>临街商铺</v>
      </c>
      <c r="H12" s="19">
        <f>测算参数!$B$6</f>
        <v>100</v>
      </c>
      <c r="I12" s="10">
        <v>100</v>
      </c>
      <c r="J12" s="20">
        <f t="shared" ref="J12:J17" si="2">IF(OR(C12&lt;&gt;N12,COUNT(H12:I12)&lt;&gt;2,H12&lt;=0,I12&lt;=0),"",IF(TRUE,H12/I12,H12/H12))</f>
        <v>1</v>
      </c>
      <c r="K12" s="16" t="s">
        <v>210</v>
      </c>
      <c r="L12" s="16" t="s">
        <v>215</v>
      </c>
      <c r="M12" s="16" t="str">
        <f t="shared" si="0"/>
        <v>模拟评分记录完整</v>
      </c>
      <c r="N12" s="8" t="s">
        <v>149</v>
      </c>
    </row>
    <row r="13" spans="1:14" ht="46.05" customHeight="1">
      <c r="A13" s="16" t="s">
        <v>72</v>
      </c>
      <c r="B13" s="16">
        <v>1</v>
      </c>
      <c r="C13" s="17" t="str">
        <f>三案例选用!B6</f>
        <v>SC-001</v>
      </c>
      <c r="D13" s="16" t="s">
        <v>222</v>
      </c>
      <c r="E13" s="16" t="str">
        <f t="shared" si="1"/>
        <v>适用</v>
      </c>
      <c r="F13" s="17" t="str">
        <f>IF(TRUE,IF(COUNTIFS(资产清单!$A$6:$A$25,A13)&lt;&gt;1,"",IF(INDEX(资产清单!$I$6:$I$25,MATCH(A13,资产清单!$A$6:$A$25,0))="","",INDEX(资产清单!$I$6:$I$25,MATCH(A13,资产清单!$A$6:$A$25,0)))),"不适用")</f>
        <v>临街商铺</v>
      </c>
      <c r="G13" s="17" t="str">
        <f>IF(TRUE,IF(COUNTIFS(市场案例库!$A$6:$A$35,C13)&lt;&gt;1,"",IF(INDEX(市场案例库!$O$6:$O$35,MATCH(C13,市场案例库!$A$6:$A$35,0))="","",INDEX(市场案例库!$O$6:$O$35,MATCH(C13,市场案例库!$A$6:$A$35,0)))),"不适用")</f>
        <v>临街商铺</v>
      </c>
      <c r="H13" s="19">
        <f>测算参数!$B$6</f>
        <v>100</v>
      </c>
      <c r="I13" s="10">
        <v>99</v>
      </c>
      <c r="J13" s="20">
        <f t="shared" si="2"/>
        <v>1.0101010101010102</v>
      </c>
      <c r="K13" s="16" t="s">
        <v>210</v>
      </c>
      <c r="L13" s="16" t="s">
        <v>223</v>
      </c>
      <c r="M13" s="16" t="str">
        <f t="shared" si="0"/>
        <v>模拟评分记录完整</v>
      </c>
      <c r="N13" s="8" t="s">
        <v>149</v>
      </c>
    </row>
    <row r="14" spans="1:14" ht="46.05" customHeight="1">
      <c r="A14" s="16" t="s">
        <v>72</v>
      </c>
      <c r="B14" s="16">
        <v>1</v>
      </c>
      <c r="C14" s="17" t="str">
        <f>三案例选用!B6</f>
        <v>SC-001</v>
      </c>
      <c r="D14" s="16" t="s">
        <v>224</v>
      </c>
      <c r="E14" s="16" t="str">
        <f t="shared" si="1"/>
        <v>适用</v>
      </c>
      <c r="F14" s="17" t="str">
        <f>IF(TRUE,IF(COUNTIFS(资产清单!$A$6:$A$25,A14)&lt;&gt;1,"",IF(INDEX(资产清单!$I$6:$I$25,MATCH(A14,资产清单!$A$6:$A$25,0))="","",INDEX(资产清单!$I$6:$I$25,MATCH(A14,资产清单!$A$6:$A$25,0)))),"不适用")</f>
        <v>临街商铺</v>
      </c>
      <c r="G14" s="17" t="str">
        <f>IF(TRUE,IF(COUNTIFS(市场案例库!$A$6:$A$35,C14)&lt;&gt;1,"",IF(INDEX(市场案例库!$O$6:$O$35,MATCH(C14,市场案例库!$A$6:$A$35,0))="","",INDEX(市场案例库!$O$6:$O$35,MATCH(C14,市场案例库!$A$6:$A$35,0)))),"不适用")</f>
        <v>临街商铺</v>
      </c>
      <c r="H14" s="19">
        <f>测算参数!$B$6</f>
        <v>100</v>
      </c>
      <c r="I14" s="10">
        <v>100</v>
      </c>
      <c r="J14" s="20">
        <f t="shared" si="2"/>
        <v>1</v>
      </c>
      <c r="K14" s="16" t="s">
        <v>210</v>
      </c>
      <c r="L14" s="16" t="s">
        <v>215</v>
      </c>
      <c r="M14" s="16" t="str">
        <f t="shared" si="0"/>
        <v>模拟评分记录完整</v>
      </c>
      <c r="N14" s="8" t="s">
        <v>149</v>
      </c>
    </row>
    <row r="15" spans="1:14" ht="46.05" customHeight="1">
      <c r="A15" s="16" t="s">
        <v>72</v>
      </c>
      <c r="B15" s="16">
        <v>1</v>
      </c>
      <c r="C15" s="17" t="str">
        <f>三案例选用!B6</f>
        <v>SC-001</v>
      </c>
      <c r="D15" s="16" t="s">
        <v>225</v>
      </c>
      <c r="E15" s="16" t="str">
        <f t="shared" si="1"/>
        <v>适用</v>
      </c>
      <c r="F15" s="17" t="str">
        <f>IF(TRUE,IF(COUNTIFS(资产清单!$A$6:$A$25,A15)&lt;&gt;1,"",IF(INDEX(资产清单!$I$6:$I$25,MATCH(A15,资产清单!$A$6:$A$25,0))="","",INDEX(资产清单!$I$6:$I$25,MATCH(A15,资产清单!$A$6:$A$25,0)))),"不适用")</f>
        <v>临街商铺</v>
      </c>
      <c r="G15" s="17" t="str">
        <f>IF(TRUE,IF(COUNTIFS(市场案例库!$A$6:$A$35,C15)&lt;&gt;1,"",IF(INDEX(市场案例库!$O$6:$O$35,MATCH(C15,市场案例库!$A$6:$A$35,0))="","",INDEX(市场案例库!$O$6:$O$35,MATCH(C15,市场案例库!$A$6:$A$35,0)))),"不适用")</f>
        <v>临街商铺</v>
      </c>
      <c r="H15" s="19">
        <f>测算参数!$B$6</f>
        <v>100</v>
      </c>
      <c r="I15" s="10">
        <v>100</v>
      </c>
      <c r="J15" s="20">
        <f t="shared" si="2"/>
        <v>1</v>
      </c>
      <c r="K15" s="16" t="s">
        <v>210</v>
      </c>
      <c r="L15" s="16" t="s">
        <v>215</v>
      </c>
      <c r="M15" s="16" t="str">
        <f t="shared" si="0"/>
        <v>模拟评分记录完整</v>
      </c>
      <c r="N15" s="8" t="s">
        <v>149</v>
      </c>
    </row>
    <row r="16" spans="1:14" ht="46.05" customHeight="1">
      <c r="A16" s="16" t="s">
        <v>72</v>
      </c>
      <c r="B16" s="16">
        <v>1</v>
      </c>
      <c r="C16" s="17" t="str">
        <f>三案例选用!B6</f>
        <v>SC-001</v>
      </c>
      <c r="D16" s="16" t="s">
        <v>226</v>
      </c>
      <c r="E16" s="16" t="str">
        <f t="shared" si="1"/>
        <v>适用</v>
      </c>
      <c r="F16" s="17" t="str">
        <f>IF(TRUE,IF(COUNTIFS(资产清单!$A$6:$A$25,A16)&lt;&gt;1,"",IF(INDEX(资产清单!$I$6:$I$25,MATCH(A16,资产清单!$A$6:$A$25,0))="","",INDEX(资产清单!$I$6:$I$25,MATCH(A16,资产清单!$A$6:$A$25,0)))),"不适用")</f>
        <v>临街商铺</v>
      </c>
      <c r="G16" s="17" t="str">
        <f>IF(TRUE,IF(COUNTIFS(市场案例库!$A$6:$A$35,C16)&lt;&gt;1,"",IF(INDEX(市场案例库!$O$6:$O$35,MATCH(C16,市场案例库!$A$6:$A$35,0))="","",INDEX(市场案例库!$O$6:$O$35,MATCH(C16,市场案例库!$A$6:$A$35,0)))),"不适用")</f>
        <v>临街商铺</v>
      </c>
      <c r="H16" s="19">
        <f>测算参数!$B$6</f>
        <v>100</v>
      </c>
      <c r="I16" s="10">
        <v>100</v>
      </c>
      <c r="J16" s="20">
        <f t="shared" si="2"/>
        <v>1</v>
      </c>
      <c r="K16" s="16" t="s">
        <v>210</v>
      </c>
      <c r="L16" s="16" t="s">
        <v>215</v>
      </c>
      <c r="M16" s="16" t="str">
        <f t="shared" si="0"/>
        <v>模拟评分记录完整</v>
      </c>
      <c r="N16" s="8" t="s">
        <v>149</v>
      </c>
    </row>
    <row r="17" spans="1:14" ht="46.05" customHeight="1">
      <c r="A17" s="16" t="s">
        <v>72</v>
      </c>
      <c r="B17" s="16">
        <v>1</v>
      </c>
      <c r="C17" s="17" t="str">
        <f>三案例选用!B6</f>
        <v>SC-001</v>
      </c>
      <c r="D17" s="16" t="s">
        <v>227</v>
      </c>
      <c r="E17" s="16" t="str">
        <f t="shared" si="1"/>
        <v>适用</v>
      </c>
      <c r="F17" s="17" t="str">
        <f>IF(TRUE,IF(COUNTIFS(资产清单!$A$6:$A$25,A17)&lt;&gt;1,"",IF(INDEX(资产清单!$I$6:$I$25,MATCH(A17,资产清单!$A$6:$A$25,0))="","",INDEX(资产清单!$I$6:$I$25,MATCH(A17,资产清单!$A$6:$A$25,0)))),"不适用")</f>
        <v>临街商铺</v>
      </c>
      <c r="G17" s="17" t="str">
        <f>IF(TRUE,IF(COUNTIFS(市场案例库!$A$6:$A$35,C17)&lt;&gt;1,"",IF(INDEX(市场案例库!$O$6:$O$35,MATCH(C17,市场案例库!$A$6:$A$35,0))="","",INDEX(市场案例库!$O$6:$O$35,MATCH(C17,市场案例库!$A$6:$A$35,0)))),"不适用")</f>
        <v>临街商铺</v>
      </c>
      <c r="H17" s="19">
        <f>测算参数!$B$6</f>
        <v>100</v>
      </c>
      <c r="I17" s="10">
        <v>100</v>
      </c>
      <c r="J17" s="20">
        <f t="shared" si="2"/>
        <v>1</v>
      </c>
      <c r="K17" s="16" t="s">
        <v>210</v>
      </c>
      <c r="L17" s="16" t="s">
        <v>215</v>
      </c>
      <c r="M17" s="16" t="str">
        <f t="shared" si="0"/>
        <v>模拟评分记录完整</v>
      </c>
      <c r="N17" s="8" t="s">
        <v>149</v>
      </c>
    </row>
    <row r="18" spans="1:14" ht="46.05" customHeight="1">
      <c r="A18" s="16" t="s">
        <v>72</v>
      </c>
      <c r="B18" s="16">
        <v>1</v>
      </c>
      <c r="C18" s="17" t="str">
        <f>三案例选用!B6</f>
        <v>SC-001</v>
      </c>
      <c r="D18" s="16" t="s">
        <v>228</v>
      </c>
      <c r="E18" s="17" t="str">
        <f>IF(AND(IF(COUNTIFS(资产清单!$A$6:$A$25,A18)&lt;&gt;1,"",IF(INDEX(资产清单!$H$6:$H$25,MATCH(A18,资产清单!$A$6:$A$25,0))="","",INDEX(资产清单!$H$6:$H$25,MATCH(A18,资产清单!$A$6:$A$25,0))))&lt;&gt;"场地",IF(COUNTIFS(资产清单!$A$6:$A$25,A18)&lt;&gt;1,"",IF(INDEX(资产清单!$H$6:$H$25,MATCH(A18,资产清单!$A$6:$A$25,0))="","",INDEX(资产清单!$H$6:$H$25,MATCH(A18,资产清单!$A$6:$A$25,0))))&lt;&gt;"车位",IF(COUNTIFS(资产清单!$A$6:$A$25,A18)&lt;&gt;1,"",IF(INDEX(资产清单!$H$6:$H$25,MATCH(A18,资产清单!$A$6:$A$25,0))="","",INDEX(资产清单!$H$6:$H$25,MATCH(A18,资产清单!$A$6:$A$25,0))))&lt;&gt;"通信基站"),"适用","不适用采用100/100")</f>
        <v>适用</v>
      </c>
      <c r="F18" s="17" t="str">
        <f>IF(AND(IF(COUNTIFS(资产清单!$A$6:$A$25,A18)&lt;&gt;1,"",IF(INDEX(资产清单!$H$6:$H$25,MATCH(A18,资产清单!$A$6:$A$25,0))="","",INDEX(资产清单!$H$6:$H$25,MATCH(A18,资产清单!$A$6:$A$25,0))))&lt;&gt;"场地",IF(COUNTIFS(资产清单!$A$6:$A$25,A18)&lt;&gt;1,"",IF(INDEX(资产清单!$H$6:$H$25,MATCH(A18,资产清单!$A$6:$A$25,0))="","",INDEX(资产清单!$H$6:$H$25,MATCH(A18,资产清单!$A$6:$A$25,0))))&lt;&gt;"车位",IF(COUNTIFS(资产清单!$A$6:$A$25,A18)&lt;&gt;1,"",IF(INDEX(资产清单!$H$6:$H$25,MATCH(A18,资产清单!$A$6:$A$25,0))="","",INDEX(资产清单!$H$6:$H$25,MATCH(A18,资产清单!$A$6:$A$25,0))))&lt;&gt;"通信基站"),IF(COUNTIFS(资产清单!$A$6:$A$25,A18)&lt;&gt;1,"",IF(INDEX(资产清单!$I$6:$I$25,MATCH(A18,资产清单!$A$6:$A$25,0))="","",INDEX(资产清单!$I$6:$I$25,MATCH(A18,资产清单!$A$6:$A$25,0)))),"不适用")</f>
        <v>临街商铺</v>
      </c>
      <c r="G18" s="17" t="str">
        <f>IF(AND(IF(COUNTIFS(资产清单!$A$6:$A$25,A18)&lt;&gt;1,"",IF(INDEX(资产清单!$H$6:$H$25,MATCH(A18,资产清单!$A$6:$A$25,0))="","",INDEX(资产清单!$H$6:$H$25,MATCH(A18,资产清单!$A$6:$A$25,0))))&lt;&gt;"场地",IF(COUNTIFS(资产清单!$A$6:$A$25,A18)&lt;&gt;1,"",IF(INDEX(资产清单!$H$6:$H$25,MATCH(A18,资产清单!$A$6:$A$25,0))="","",INDEX(资产清单!$H$6:$H$25,MATCH(A18,资产清单!$A$6:$A$25,0))))&lt;&gt;"车位",IF(COUNTIFS(资产清单!$A$6:$A$25,A18)&lt;&gt;1,"",IF(INDEX(资产清单!$H$6:$H$25,MATCH(A18,资产清单!$A$6:$A$25,0))="","",INDEX(资产清单!$H$6:$H$25,MATCH(A18,资产清单!$A$6:$A$25,0))))&lt;&gt;"通信基站"),IF(COUNTIFS(市场案例库!$A$6:$A$35,C18)&lt;&gt;1,"",IF(INDEX(市场案例库!$O$6:$O$35,MATCH(C18,市场案例库!$A$6:$A$35,0))="","",INDEX(市场案例库!$O$6:$O$35,MATCH(C18,市场案例库!$A$6:$A$35,0)))),"不适用")</f>
        <v>临街商铺</v>
      </c>
      <c r="H18" s="19">
        <f>测算参数!$B$6</f>
        <v>100</v>
      </c>
      <c r="I18" s="10">
        <v>100</v>
      </c>
      <c r="J18" s="21">
        <f>IF(OR(C18&lt;&gt;N18,COUNT(H18:I18)&lt;&gt;2,H18&lt;=0,I18&lt;=0),"",IF(AND(IF(COUNTIFS(资产清单!$A$6:$A$25,A18)&lt;&gt;1,"",IF(INDEX(资产清单!$H$6:$H$25,MATCH(A18,资产清单!$A$6:$A$25,0))="","",INDEX(资产清单!$H$6:$H$25,MATCH(A18,资产清单!$A$6:$A$25,0))))&lt;&gt;"场地",IF(COUNTIFS(资产清单!$A$6:$A$25,A18)&lt;&gt;1,"",IF(INDEX(资产清单!$H$6:$H$25,MATCH(A18,资产清单!$A$6:$A$25,0))="","",INDEX(资产清单!$H$6:$H$25,MATCH(A18,资产清单!$A$6:$A$25,0))))&lt;&gt;"车位",IF(COUNTIFS(资产清单!$A$6:$A$25,A18)&lt;&gt;1,"",IF(INDEX(资产清单!$H$6:$H$25,MATCH(A18,资产清单!$A$6:$A$25,0))="","",INDEX(资产清单!$H$6:$H$25,MATCH(A18,资产清单!$A$6:$A$25,0))))&lt;&gt;"通信基站"),H18/I18,H18/H18))</f>
        <v>1</v>
      </c>
      <c r="K18" s="16" t="s">
        <v>210</v>
      </c>
      <c r="L18" s="16" t="s">
        <v>215</v>
      </c>
      <c r="M18" s="16" t="str">
        <f t="shared" si="0"/>
        <v>模拟评分记录完整</v>
      </c>
      <c r="N18" s="8" t="s">
        <v>149</v>
      </c>
    </row>
    <row r="19" spans="1:14" ht="46.05" customHeight="1">
      <c r="A19" s="16" t="s">
        <v>72</v>
      </c>
      <c r="B19" s="16">
        <v>1</v>
      </c>
      <c r="C19" s="17" t="str">
        <f>三案例选用!B6</f>
        <v>SC-001</v>
      </c>
      <c r="D19" s="16" t="s">
        <v>229</v>
      </c>
      <c r="E19" s="17" t="str">
        <f>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"适用","不适用采用100/100")</f>
        <v>适用</v>
      </c>
      <c r="F19" s="17">
        <f>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IF(COUNTIFS(资产清单!$A$6:$A$25,A19)&lt;&gt;1,"",IF(COUNT(INDEX(资产清单!$N$6:$N$25,MATCH(A19,资产清单!$A$6:$A$25,0)))&lt;&gt;1,"",INDEX(资产清单!$N$6:$N$25,MATCH(A19,资产清单!$A$6:$A$25,0)))),"不适用")</f>
        <v>2</v>
      </c>
      <c r="G19" s="17">
        <f>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IF(COUNTIFS(市场案例库!$A$6:$A$35,C19)&lt;&gt;1,"",IF(COUNT(INDEX(市场案例库!$I$6:$I$35,MATCH(C19,市场案例库!$A$6:$A$35,0)))&lt;&gt;1,"",INDEX(市场案例库!$I$6:$I$35,MATCH(C19,市场案例库!$A$6:$A$35,0)))),"不适用")</f>
        <v>2</v>
      </c>
      <c r="H19" s="19">
        <f>测算参数!$B$6</f>
        <v>100</v>
      </c>
      <c r="I19" s="19">
        <f>IF(OR(COUNTIFS(市场案例库!$A$6:$A$35,C19)&lt;&gt;1,AND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OR(COUNT(IF(COUNTIFS(资产清单!$A$6:$A$25,A19)&lt;&gt;1,"",IF(COUNT(INDEX(资产清单!$N$6:$N$25,MATCH(A19,资产清单!$A$6:$A$25,0)))&lt;&gt;1,"",INDEX(资产清单!$N$6:$N$25,MATCH(A19,资产清单!$A$6:$A$25,0)))),IF(COUNTIFS(市场案例库!$A$6:$A$35,C19)&lt;&gt;1,"",IF(COUNT(INDEX(市场案例库!$I$6:$I$35,MATCH(C19,市场案例库!$A$6:$A$35,0)))&lt;&gt;1,"",INDEX(市场案例库!$I$6:$I$35,MATCH(C19,市场案例库!$A$6:$A$35,0)))))&lt;&gt;2,IF(COUNTIFS(资产清单!$A$6:$A$25,A19)&lt;&gt;1,"",IF(COUNT(INDEX(资产清单!$N$6:$N$25,MATCH(A19,资产清单!$A$6:$A$25,0)))&lt;&gt;1,"",INDEX(资产清单!$N$6:$N$25,MATCH(A19,资产清单!$A$6:$A$25,0))))&lt;1,IF(COUNTIFS(资产清单!$A$6:$A$25,A19)&lt;&gt;1,"",IF(COUNT(INDEX(资产清单!$N$6:$N$25,MATCH(A19,资产清单!$A$6:$A$25,0)))&lt;&gt;1,"",INDEX(资产清单!$N$6:$N$25,MATCH(A19,资产清单!$A$6:$A$25,0))))&gt;4,IF(COUNTIFS(市场案例库!$A$6:$A$35,C19)&lt;&gt;1,"",IF(COUNT(INDEX(市场案例库!$I$6:$I$35,MATCH(C19,市场案例库!$A$6:$A$35,0)))&lt;&gt;1,"",INDEX(市场案例库!$I$6:$I$35,MATCH(C19,市场案例库!$A$6:$A$35,0))))&lt;1,IF(COUNTIFS(市场案例库!$A$6:$A$35,C19)&lt;&gt;1,"",IF(COUNT(INDEX(市场案例库!$I$6:$I$35,MATCH(C19,市场案例库!$A$6:$A$35,0)))&lt;&gt;1,"",INDEX(市场案例库!$I$6:$I$35,MATCH(C19,市场案例库!$A$6:$A$35,0))))&gt;4))),"",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INDEX(测算参数!$B$35:$B$41,MATCH(IF(COUNTIFS(市场案例库!$A$6:$A$35,C19)&lt;&gt;1,"",IF(COUNT(INDEX(市场案例库!$I$6:$I$35,MATCH(C19,市场案例库!$A$6:$A$35,0)))&lt;&gt;1,"",INDEX(市场案例库!$I$6:$I$35,MATCH(C19,市场案例库!$A$6:$A$35,0))))-IF(COUNTIFS(资产清单!$A$6:$A$25,A19)&lt;&gt;1,"",IF(COUNT(INDEX(资产清单!$N$6:$N$25,MATCH(A19,资产清单!$A$6:$A$25,0)))&lt;&gt;1,"",INDEX(资产清单!$N$6:$N$25,MATCH(A19,资产清单!$A$6:$A$25,0)))),测算参数!$A$35:$A$41,0)),测算参数!$B$6))</f>
        <v>100</v>
      </c>
      <c r="J19" s="21">
        <f>IF(OR(C19&lt;&gt;N19,COUNT(H19:I19)&lt;&gt;2,H19&lt;=0,I19&lt;=0),"",IF(AND(IF(COUNTIFS(资产清单!$A$6:$A$25,A19)&lt;&gt;1,"",IF(INDEX(资产清单!$H$6:$H$25,MATCH(A19,资产清单!$A$6:$A$25,0))="","",INDEX(资产清单!$H$6:$H$25,MATCH(A19,资产清单!$A$6:$A$25,0))))&lt;&gt;"场地",IF(COUNTIFS(资产清单!$A$6:$A$25,A19)&lt;&gt;1,"",IF(INDEX(资产清单!$H$6:$H$25,MATCH(A19,资产清单!$A$6:$A$25,0))="","",INDEX(资产清单!$H$6:$H$25,MATCH(A19,资产清单!$A$6:$A$25,0))))&lt;&gt;"车位",IF(COUNTIFS(资产清单!$A$6:$A$25,A19)&lt;&gt;1,"",IF(INDEX(资产清单!$H$6:$H$25,MATCH(A19,资产清单!$A$6:$A$25,0))="","",INDEX(资产清单!$H$6:$H$25,MATCH(A19,资产清单!$A$6:$A$25,0))))&lt;&gt;"通信基站"),H19/I19,H19/H19))</f>
        <v>1</v>
      </c>
      <c r="K19" s="16" t="s">
        <v>210</v>
      </c>
      <c r="L19" s="16" t="s">
        <v>230</v>
      </c>
      <c r="M19" s="16" t="str">
        <f t="shared" si="0"/>
        <v>模拟评分记录完整</v>
      </c>
      <c r="N19" s="8" t="s">
        <v>149</v>
      </c>
    </row>
    <row r="20" spans="1:14" ht="46.05" customHeight="1">
      <c r="A20" s="16" t="s">
        <v>72</v>
      </c>
      <c r="B20" s="16">
        <v>1</v>
      </c>
      <c r="C20" s="17" t="str">
        <f>三案例选用!B6</f>
        <v>SC-001</v>
      </c>
      <c r="D20" s="16" t="s">
        <v>231</v>
      </c>
      <c r="E20" s="17" t="str">
        <f>IF(AND(IF(COUNTIFS(资产清单!$A$6:$A$25,A20)&lt;&gt;1,"",IF(INDEX(资产清单!$H$6:$H$25,MATCH(A20,资产清单!$A$6:$A$25,0))="","",INDEX(资产清单!$H$6:$H$25,MATCH(A20,资产清单!$A$6:$A$25,0))))&lt;&gt;"场地",IF(COUNTIFS(资产清单!$A$6:$A$25,A20)&lt;&gt;1,"",IF(INDEX(资产清单!$H$6:$H$25,MATCH(A20,资产清单!$A$6:$A$25,0))="","",INDEX(资产清单!$H$6:$H$25,MATCH(A20,资产清单!$A$6:$A$25,0))))&lt;&gt;"车位",IF(COUNTIFS(资产清单!$A$6:$A$25,A20)&lt;&gt;1,"",IF(INDEX(资产清单!$H$6:$H$25,MATCH(A20,资产清单!$A$6:$A$25,0))="","",INDEX(资产清单!$H$6:$H$25,MATCH(A20,资产清单!$A$6:$A$25,0))))&lt;&gt;"通信基站"),"适用","不适用采用100/100")</f>
        <v>适用</v>
      </c>
      <c r="F20" s="17" t="str">
        <f>IF(AND(IF(COUNTIFS(资产清单!$A$6:$A$25,A20)&lt;&gt;1,"",IF(INDEX(资产清单!$H$6:$H$25,MATCH(A20,资产清单!$A$6:$A$25,0))="","",INDEX(资产清单!$H$6:$H$25,MATCH(A20,资产清单!$A$6:$A$25,0))))&lt;&gt;"场地",IF(COUNTIFS(资产清单!$A$6:$A$25,A20)&lt;&gt;1,"",IF(INDEX(资产清单!$H$6:$H$25,MATCH(A20,资产清单!$A$6:$A$25,0))="","",INDEX(资产清单!$H$6:$H$25,MATCH(A20,资产清单!$A$6:$A$25,0))))&lt;&gt;"车位",IF(COUNTIFS(资产清单!$A$6:$A$25,A20)&lt;&gt;1,"",IF(INDEX(资产清单!$H$6:$H$25,MATCH(A20,资产清单!$A$6:$A$25,0))="","",INDEX(资产清单!$H$6:$H$25,MATCH(A20,资产清单!$A$6:$A$25,0))))&lt;&gt;"通信基站"),IF(COUNTIFS(资产清单!$A$6:$A$25,A20)&lt;&gt;1,"",IF(INDEX(资产清单!$I$6:$I$25,MATCH(A20,资产清单!$A$6:$A$25,0))="","",INDEX(资产清单!$I$6:$I$25,MATCH(A20,资产清单!$A$6:$A$25,0)))),"不适用")</f>
        <v>临街商铺</v>
      </c>
      <c r="G20" s="17" t="str">
        <f>IF(AND(IF(COUNTIFS(资产清单!$A$6:$A$25,A20)&lt;&gt;1,"",IF(INDEX(资产清单!$H$6:$H$25,MATCH(A20,资产清单!$A$6:$A$25,0))="","",INDEX(资产清单!$H$6:$H$25,MATCH(A20,资产清单!$A$6:$A$25,0))))&lt;&gt;"场地",IF(COUNTIFS(资产清单!$A$6:$A$25,A20)&lt;&gt;1,"",IF(INDEX(资产清单!$H$6:$H$25,MATCH(A20,资产清单!$A$6:$A$25,0))="","",INDEX(资产清单!$H$6:$H$25,MATCH(A20,资产清单!$A$6:$A$25,0))))&lt;&gt;"车位",IF(COUNTIFS(资产清单!$A$6:$A$25,A20)&lt;&gt;1,"",IF(INDEX(资产清单!$H$6:$H$25,MATCH(A20,资产清单!$A$6:$A$25,0))="","",INDEX(资产清单!$H$6:$H$25,MATCH(A20,资产清单!$A$6:$A$25,0))))&lt;&gt;"通信基站"),IF(COUNTIFS(市场案例库!$A$6:$A$35,C20)&lt;&gt;1,"",IF(INDEX(市场案例库!$O$6:$O$35,MATCH(C20,市场案例库!$A$6:$A$35,0))="","",INDEX(市场案例库!$O$6:$O$35,MATCH(C20,市场案例库!$A$6:$A$35,0)))),"不适用")</f>
        <v>临街商铺</v>
      </c>
      <c r="H20" s="19">
        <f>测算参数!$B$6</f>
        <v>100</v>
      </c>
      <c r="I20" s="10">
        <v>100</v>
      </c>
      <c r="J20" s="21">
        <f>IF(OR(C20&lt;&gt;N20,COUNT(H20:I20)&lt;&gt;2,H20&lt;=0,I20&lt;=0),"",IF(AND(IF(COUNTIFS(资产清单!$A$6:$A$25,A20)&lt;&gt;1,"",IF(INDEX(资产清单!$H$6:$H$25,MATCH(A20,资产清单!$A$6:$A$25,0))="","",INDEX(资产清单!$H$6:$H$25,MATCH(A20,资产清单!$A$6:$A$25,0))))&lt;&gt;"场地",IF(COUNTIFS(资产清单!$A$6:$A$25,A20)&lt;&gt;1,"",IF(INDEX(资产清单!$H$6:$H$25,MATCH(A20,资产清单!$A$6:$A$25,0))="","",INDEX(资产清单!$H$6:$H$25,MATCH(A20,资产清单!$A$6:$A$25,0))))&lt;&gt;"车位",IF(COUNTIFS(资产清单!$A$6:$A$25,A20)&lt;&gt;1,"",IF(INDEX(资产清单!$H$6:$H$25,MATCH(A20,资产清单!$A$6:$A$25,0))="","",INDEX(资产清单!$H$6:$H$25,MATCH(A20,资产清单!$A$6:$A$25,0))))&lt;&gt;"通信基站"),H20/I20,H20/H20))</f>
        <v>1</v>
      </c>
      <c r="K20" s="16" t="s">
        <v>210</v>
      </c>
      <c r="L20" s="16" t="s">
        <v>215</v>
      </c>
      <c r="M20" s="16" t="str">
        <f t="shared" si="0"/>
        <v>模拟评分记录完整</v>
      </c>
      <c r="N20" s="8" t="s">
        <v>149</v>
      </c>
    </row>
    <row r="21" spans="1:14" ht="46.05" customHeight="1">
      <c r="A21" s="16" t="s">
        <v>72</v>
      </c>
      <c r="B21" s="16">
        <v>1</v>
      </c>
      <c r="C21" s="17" t="str">
        <f>三案例选用!B6</f>
        <v>SC-001</v>
      </c>
      <c r="D21" s="16" t="s">
        <v>232</v>
      </c>
      <c r="E21" s="16" t="str">
        <f>IF(TRUE,"适用","不适用采用100/100")</f>
        <v>适用</v>
      </c>
      <c r="F21" s="17" t="str">
        <f>IF(TRUE,IF(COUNTIFS(资产清单!$A$6:$A$25,A21)&lt;&gt;1,"",IF(INDEX(资产清单!$I$6:$I$25,MATCH(A21,资产清单!$A$6:$A$25,0))="","",INDEX(资产清单!$I$6:$I$25,MATCH(A21,资产清单!$A$6:$A$25,0)))),"不适用")</f>
        <v>临街商铺</v>
      </c>
      <c r="G21" s="17" t="str">
        <f>IF(TRUE,IF(COUNTIFS(市场案例库!$A$6:$A$35,C21)&lt;&gt;1,"",IF(INDEX(市场案例库!$O$6:$O$35,MATCH(C21,市场案例库!$A$6:$A$35,0))="","",INDEX(市场案例库!$O$6:$O$35,MATCH(C21,市场案例库!$A$6:$A$35,0)))),"不适用")</f>
        <v>临街商铺</v>
      </c>
      <c r="H21" s="19">
        <f>测算参数!$B$6</f>
        <v>100</v>
      </c>
      <c r="I21" s="10">
        <v>100</v>
      </c>
      <c r="J21" s="20">
        <f>IF(OR(C21&lt;&gt;N21,COUNT(H21:I21)&lt;&gt;2,H21&lt;=0,I21&lt;=0),"",IF(TRUE,H21/I21,H21/H21))</f>
        <v>1</v>
      </c>
      <c r="K21" s="16" t="s">
        <v>210</v>
      </c>
      <c r="L21" s="16" t="s">
        <v>215</v>
      </c>
      <c r="M21" s="16" t="str">
        <f t="shared" si="0"/>
        <v>模拟评分记录完整</v>
      </c>
      <c r="N21" s="8" t="s">
        <v>149</v>
      </c>
    </row>
    <row r="22" spans="1:14" ht="46.05" customHeight="1">
      <c r="A22" s="16" t="s">
        <v>72</v>
      </c>
      <c r="B22" s="16">
        <v>2</v>
      </c>
      <c r="C22" s="17" t="str">
        <f>三案例选用!C6</f>
        <v>SC-002</v>
      </c>
      <c r="D22" s="16" t="s">
        <v>209</v>
      </c>
      <c r="E22" s="16" t="str">
        <f>IF(TRUE,"适用","不适用采用100/100")</f>
        <v>适用</v>
      </c>
      <c r="F22" s="17" t="str">
        <f>IF(TRUE,IF(COUNTIFS(资产清单!$A$6:$A$25,A22)&lt;&gt;1,"",IF(INDEX(资产清单!$I$6:$I$25,MATCH(A22,资产清单!$A$6:$A$25,0))="","",INDEX(资产清单!$I$6:$I$25,MATCH(A22,资产清单!$A$6:$A$25,0)))),"不适用")</f>
        <v>临街商铺</v>
      </c>
      <c r="G22" s="17" t="str">
        <f>IF(TRUE,IF(COUNTIFS(市场案例库!$A$6:$A$35,C22)&lt;&gt;1,"",IF(INDEX(市场案例库!$O$6:$O$35,MATCH(C22,市场案例库!$A$6:$A$35,0))="","",INDEX(市场案例库!$O$6:$O$35,MATCH(C22,市场案例库!$A$6:$A$35,0)))),"不适用")</f>
        <v>临街商铺</v>
      </c>
      <c r="H22" s="19">
        <f>测算参数!$B$6</f>
        <v>100</v>
      </c>
      <c r="I22" s="19">
        <f>IF(OR(COUNTIFS(市场案例库!$A$6:$A$35,C22)&lt;&gt;1),"",IF(COUNTIFS(市场案例库!$A$6:$A$35,C22)&lt;&gt;1,"",IF(COUNT(INDEX(市场案例库!$M$6:$M$35,MATCH(C22,市场案例库!$A$6:$A$35,0)))&lt;&gt;1,"",INDEX(市场案例库!$M$6:$M$35,MATCH(C22,市场案例库!$A$6:$A$35,0)))))</f>
        <v>102</v>
      </c>
      <c r="J22" s="20">
        <f>IF(OR(C22&lt;&gt;N22,COUNT(H22:I22)&lt;&gt;2,H22&lt;=0,I22&lt;=0),"",IF(TRUE,H22/I22,H22/H22))</f>
        <v>0.98039215686274506</v>
      </c>
      <c r="K22" s="16" t="s">
        <v>210</v>
      </c>
      <c r="L22" s="16" t="s">
        <v>211</v>
      </c>
      <c r="M22" s="16" t="str">
        <f t="shared" si="0"/>
        <v>模拟评分记录完整</v>
      </c>
      <c r="N22" s="8" t="s">
        <v>150</v>
      </c>
    </row>
    <row r="23" spans="1:14" ht="46.05" customHeight="1">
      <c r="A23" s="16" t="s">
        <v>72</v>
      </c>
      <c r="B23" s="16">
        <v>2</v>
      </c>
      <c r="C23" s="17" t="str">
        <f>三案例选用!C6</f>
        <v>SC-002</v>
      </c>
      <c r="D23" s="16" t="s">
        <v>212</v>
      </c>
      <c r="E23" s="16" t="str">
        <f>IF(TRUE,"适用","不适用采用100/100")</f>
        <v>适用</v>
      </c>
      <c r="F23" s="17" t="str">
        <f>IF(TRUE,IF(COUNTIFS(资产清单!$A$6:$A$25,A23)&lt;&gt;1,"",IF(INDEX(资产清单!$I$6:$I$25,MATCH(A23,资产清单!$A$6:$A$25,0))="","",INDEX(资产清单!$I$6:$I$25,MATCH(A23,资产清单!$A$6:$A$25,0)))),"不适用")</f>
        <v>临街商铺</v>
      </c>
      <c r="G23" s="17" t="str">
        <f>IF(TRUE,IF(COUNTIFS(市场案例库!$A$6:$A$35,C23)&lt;&gt;1,"",IF(INDEX(市场案例库!$O$6:$O$35,MATCH(C23,市场案例库!$A$6:$A$35,0))="","",INDEX(市场案例库!$O$6:$O$35,MATCH(C23,市场案例库!$A$6:$A$35,0)))),"不适用")</f>
        <v>临街商铺</v>
      </c>
      <c r="H23" s="19">
        <f>测算参数!$B$6</f>
        <v>100</v>
      </c>
      <c r="I23" s="19">
        <f>IF(OR(COUNTIFS(市场案例库!$A$6:$A$35,C23)&lt;&gt;1),"",IF(COUNTIFS(市场案例库!$A$6:$A$35,C23)&lt;&gt;1,"",IF(COUNT(INDEX(市场案例库!$N$6:$N$35,MATCH(C23,市场案例库!$A$6:$A$35,0)))&lt;&gt;1,"",INDEX(市场案例库!$N$6:$N$35,MATCH(C23,市场案例库!$A$6:$A$35,0)))))</f>
        <v>100</v>
      </c>
      <c r="J23" s="20">
        <f>IF(OR(C23&lt;&gt;N23,COUNT(H23:I23)&lt;&gt;2,H23&lt;=0,I23&lt;=0),"",IF(TRUE,H23/I23,H23/H23))</f>
        <v>1</v>
      </c>
      <c r="K23" s="16" t="s">
        <v>210</v>
      </c>
      <c r="L23" s="16" t="s">
        <v>213</v>
      </c>
      <c r="M23" s="16" t="str">
        <f t="shared" si="0"/>
        <v>模拟评分记录完整</v>
      </c>
      <c r="N23" s="8" t="s">
        <v>150</v>
      </c>
    </row>
    <row r="24" spans="1:14" ht="46.05" customHeight="1">
      <c r="A24" s="16" t="s">
        <v>72</v>
      </c>
      <c r="B24" s="16">
        <v>2</v>
      </c>
      <c r="C24" s="17" t="str">
        <f>三案例选用!C6</f>
        <v>SC-002</v>
      </c>
      <c r="D24" s="16" t="s">
        <v>214</v>
      </c>
      <c r="E24" s="16" t="str">
        <f>IF(TRUE,"适用","不适用采用100/100")</f>
        <v>适用</v>
      </c>
      <c r="F24" s="17" t="str">
        <f>IF(TRUE,IF(COUNTIFS(资产清单!$A$6:$A$25,A24)&lt;&gt;1,"",IF(INDEX(资产清单!$I$6:$I$25,MATCH(A24,资产清单!$A$6:$A$25,0))="","",INDEX(资产清单!$I$6:$I$25,MATCH(A24,资产清单!$A$6:$A$25,0)))),"不适用")</f>
        <v>临街商铺</v>
      </c>
      <c r="G24" s="17" t="str">
        <f>IF(TRUE,IF(COUNTIFS(市场案例库!$A$6:$A$35,C24)&lt;&gt;1,"",IF(INDEX(市场案例库!$O$6:$O$35,MATCH(C24,市场案例库!$A$6:$A$35,0))="","",INDEX(市场案例库!$O$6:$O$35,MATCH(C24,市场案例库!$A$6:$A$35,0)))),"不适用")</f>
        <v>临街商铺</v>
      </c>
      <c r="H24" s="19">
        <f>测算参数!$B$6</f>
        <v>100</v>
      </c>
      <c r="I24" s="10">
        <v>100</v>
      </c>
      <c r="J24" s="20">
        <f>IF(OR(C24&lt;&gt;N24,COUNT(H24:I24)&lt;&gt;2,H24&lt;=0,I24&lt;=0),"",IF(TRUE,H24/I24,H24/H24))</f>
        <v>1</v>
      </c>
      <c r="K24" s="16" t="s">
        <v>210</v>
      </c>
      <c r="L24" s="16" t="s">
        <v>215</v>
      </c>
      <c r="M24" s="16" t="str">
        <f t="shared" si="0"/>
        <v>模拟评分记录完整</v>
      </c>
      <c r="N24" s="8" t="s">
        <v>150</v>
      </c>
    </row>
    <row r="25" spans="1:14" ht="46.05" customHeight="1">
      <c r="A25" s="16" t="s">
        <v>72</v>
      </c>
      <c r="B25" s="16">
        <v>2</v>
      </c>
      <c r="C25" s="17" t="str">
        <f>三案例选用!C6</f>
        <v>SC-002</v>
      </c>
      <c r="D25" s="16" t="s">
        <v>216</v>
      </c>
      <c r="E25" s="16" t="str">
        <f>IF(TRUE,"适用","不适用采用100/100")</f>
        <v>适用</v>
      </c>
      <c r="F25" s="17" t="str">
        <f>IF(TRUE,IF(COUNTIFS(资产清单!$A$6:$A$25,A25)&lt;&gt;1,"",IF(INDEX(资产清单!$I$6:$I$25,MATCH(A25,资产清单!$A$6:$A$25,0))="","",INDEX(资产清单!$I$6:$I$25,MATCH(A25,资产清单!$A$6:$A$25,0)))),"不适用")</f>
        <v>临街商铺</v>
      </c>
      <c r="G25" s="17" t="str">
        <f>IF(TRUE,IF(COUNTIFS(市场案例库!$A$6:$A$35,C25)&lt;&gt;1,"",IF(INDEX(市场案例库!$O$6:$O$35,MATCH(C25,市场案例库!$A$6:$A$35,0))="","",INDEX(市场案例库!$O$6:$O$35,MATCH(C25,市场案例库!$A$6:$A$35,0)))),"不适用")</f>
        <v>临街商铺</v>
      </c>
      <c r="H25" s="19">
        <f>测算参数!$B$6</f>
        <v>100</v>
      </c>
      <c r="I25" s="10">
        <v>100</v>
      </c>
      <c r="J25" s="20">
        <f>IF(OR(C25&lt;&gt;N25,COUNT(H25:I25)&lt;&gt;2,H25&lt;=0,I25&lt;=0),"",IF(TRUE,H25/I25,H25/H25))</f>
        <v>1</v>
      </c>
      <c r="K25" s="16" t="s">
        <v>210</v>
      </c>
      <c r="L25" s="16" t="s">
        <v>215</v>
      </c>
      <c r="M25" s="16" t="str">
        <f t="shared" si="0"/>
        <v>模拟评分记录完整</v>
      </c>
      <c r="N25" s="8" t="s">
        <v>150</v>
      </c>
    </row>
    <row r="26" spans="1:14" ht="46.05" customHeight="1">
      <c r="A26" s="16" t="s">
        <v>72</v>
      </c>
      <c r="B26" s="16">
        <v>2</v>
      </c>
      <c r="C26" s="17" t="str">
        <f>三案例选用!C6</f>
        <v>SC-002</v>
      </c>
      <c r="D26" s="16" t="s">
        <v>217</v>
      </c>
      <c r="E26" s="17" t="str">
        <f>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"适用","不适用采用100/100")</f>
        <v>适用</v>
      </c>
      <c r="F26" s="17">
        <f>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IF(COUNTIFS(资产清单!$A$6:$A$25,A26)&lt;&gt;1,"",IF(COUNT(INDEX(资产清单!$M$6:$M$25,MATCH(A26,资产清单!$A$6:$A$25,0)))&lt;&gt;1,"",INDEX(资产清单!$M$6:$M$25,MATCH(A26,资产清单!$A$6:$A$25,0)))),"不适用")</f>
        <v>1</v>
      </c>
      <c r="G26" s="17">
        <f>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IF(COUNTIFS(市场案例库!$A$6:$A$35,C26)&lt;&gt;1,"",IF(COUNT(INDEX(市场案例库!$H$6:$H$35,MATCH(C26,市场案例库!$A$6:$A$35,0)))&lt;&gt;1,"",INDEX(市场案例库!$H$6:$H$35,MATCH(C26,市场案例库!$A$6:$A$35,0)))),"不适用")</f>
        <v>1</v>
      </c>
      <c r="H26" s="19">
        <f>测算参数!$B$6</f>
        <v>100</v>
      </c>
      <c r="I26" s="19">
        <f>IF(OR(COUNTIFS(市场案例库!$A$6:$A$35,C26)&lt;&gt;1,AND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COUNT(IF(COUNTIFS(资产清单!$A$6:$A$25,A26)&lt;&gt;1,"",IF(COUNT(INDEX(资产清单!$M$6:$M$25,MATCH(A26,资产清单!$A$6:$A$25,0)))&lt;&gt;1,"",INDEX(资产清单!$M$6:$M$25,MATCH(A26,资产清单!$A$6:$A$25,0)))),IF(COUNTIFS(市场案例库!$A$6:$A$35,C26)&lt;&gt;1,"",IF(COUNT(INDEX(市场案例库!$H$6:$H$35,MATCH(C26,市场案例库!$A$6:$A$35,0)))&lt;&gt;1,"",INDEX(市场案例库!$H$6:$H$35,MATCH(C26,市场案例库!$A$6:$A$35,0)))))&lt;&gt;2)),"",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INDEX(测算参数!$B$25:$B$31,MATCH(MAX(-测算参数!$B$11,MIN(测算参数!$B$11,IF(COUNTIFS(资产清单!$A$6:$A$25,A26)&lt;&gt;1,"",IF(COUNT(INDEX(资产清单!$M$6:$M$25,MATCH(A26,资产清单!$A$6:$A$25,0)))&lt;&gt;1,"",INDEX(资产清单!$M$6:$M$25,MATCH(A26,资产清单!$A$6:$A$25,0))))-IF(COUNTIFS(市场案例库!$A$6:$A$35,C26)&lt;&gt;1,"",IF(COUNT(INDEX(市场案例库!$H$6:$H$35,MATCH(C26,市场案例库!$A$6:$A$35,0)))&lt;&gt;1,"",INDEX(市场案例库!$H$6:$H$35,MATCH(C26,市场案例库!$A$6:$A$35,0)))))),测算参数!$A$25:$A$31,0)),测算参数!$B$6))</f>
        <v>100</v>
      </c>
      <c r="J26" s="21">
        <f>IF(OR(C26&lt;&gt;N26,COUNT(H26:I26)&lt;&gt;2,H26&lt;=0,I26&lt;=0),"",IF(OR(IF(COUNTIFS(资产清单!$A$6:$A$25,A26)&lt;&gt;1,"",IF(INDEX(资产清单!$H$6:$H$25,MATCH(A26,资产清单!$A$6:$A$25,0))="","",INDEX(资产清单!$H$6:$H$25,MATCH(A26,资产清单!$A$6:$A$25,0))))="商业",IF(COUNTIFS(资产清单!$A$6:$A$25,A26)&lt;&gt;1,"",IF(INDEX(资产清单!$H$6:$H$25,MATCH(A26,资产清单!$A$6:$A$25,0))="","",INDEX(资产清单!$H$6:$H$25,MATCH(A26,资产清单!$A$6:$A$25,0))))="办公",IF(COUNTIFS(资产清单!$A$6:$A$25,A26)&lt;&gt;1,"",IF(INDEX(资产清单!$H$6:$H$25,MATCH(A26,资产清单!$A$6:$A$25,0))="","",INDEX(资产清单!$H$6:$H$25,MATCH(A26,资产清单!$A$6:$A$25,0))))="住宅"),H26/I26,H26/H26))</f>
        <v>1</v>
      </c>
      <c r="K26" s="16" t="s">
        <v>210</v>
      </c>
      <c r="L26" s="16" t="s">
        <v>218</v>
      </c>
      <c r="M26" s="16" t="str">
        <f t="shared" si="0"/>
        <v>模拟评分记录完整</v>
      </c>
      <c r="N26" s="8" t="s">
        <v>150</v>
      </c>
    </row>
    <row r="27" spans="1:14" ht="46.05" customHeight="1">
      <c r="A27" s="16" t="s">
        <v>72</v>
      </c>
      <c r="B27" s="16">
        <v>2</v>
      </c>
      <c r="C27" s="17" t="str">
        <f>三案例选用!C6</f>
        <v>SC-002</v>
      </c>
      <c r="D27" s="16" t="s">
        <v>219</v>
      </c>
      <c r="E27" s="17" t="str">
        <f>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"适用","不适用采用100/100")</f>
        <v>适用</v>
      </c>
      <c r="F27" s="17">
        <f>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IF(COUNTIFS(资产清单!$A$6:$A$25,A27)&lt;&gt;1,"",IF(COUNT(INDEX(资产清单!$L$6:$L$25,MATCH(A27,资产清单!$A$6:$A$25,0)))&lt;&gt;1,"",INDEX(资产清单!$L$6:$L$25,MATCH(A27,资产清单!$A$6:$A$25,0)))),"不适用")</f>
        <v>60</v>
      </c>
      <c r="G27" s="17">
        <f>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IF(COUNTIFS(市场案例库!$A$6:$A$35,C27)&lt;&gt;1,"",IF(COUNT(INDEX(市场案例库!$G$6:$G$35,MATCH(C27,市场案例库!$A$6:$A$35,0)))&lt;&gt;1,"",INDEX(市场案例库!$G$6:$G$35,MATCH(C27,市场案例库!$A$6:$A$35,0)))),"不适用")</f>
        <v>75</v>
      </c>
      <c r="H27" s="19">
        <f>测算参数!$B$6</f>
        <v>100</v>
      </c>
      <c r="I27" s="19">
        <f>IF(OR(COUNTIFS(市场案例库!$A$6:$A$35,C27)&lt;&gt;1,AND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OR(COUNT(IF(COUNTIFS(资产清单!$A$6:$A$25,A27)&lt;&gt;1,"",IF(COUNT(INDEX(资产清单!$L$6:$L$25,MATCH(A27,资产清单!$A$6:$A$25,0)))&lt;&gt;1,"",INDEX(资产清单!$L$6:$L$25,MATCH(A27,资产清单!$A$6:$A$25,0)))),IF(COUNTIFS(市场案例库!$A$6:$A$35,C27)&lt;&gt;1,"",IF(COUNT(INDEX(市场案例库!$G$6:$G$35,MATCH(C27,市场案例库!$A$6:$A$35,0)))&lt;&gt;1,"",INDEX(市场案例库!$G$6:$G$35,MATCH(C27,市场案例库!$A$6:$A$35,0)))))&lt;&gt;2,IF(COUNTIFS(资产清单!$A$6:$A$25,A27)&lt;&gt;1,"",IF(COUNT(INDEX(资产清单!$L$6:$L$25,MATCH(A27,资产清单!$A$6:$A$25,0)))&lt;&gt;1,"",INDEX(资产清单!$L$6:$L$25,MATCH(A27,资产清单!$A$6:$A$25,0))))&lt;=0,IF(COUNTIFS(市场案例库!$A$6:$A$35,C27)&lt;&gt;1,"",IF(COUNT(INDEX(市场案例库!$G$6:$G$35,MATCH(C27,市场案例库!$A$6:$A$35,0)))&lt;&gt;1,"",INDEX(市场案例库!$G$6:$G$35,MATCH(C27,市场案例库!$A$6:$A$35,0))))&lt;=0))),"",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LOOKUP(IF(COUNTIFS(市场案例库!$A$6:$A$35,C27)&lt;&gt;1,"",IF(COUNT(INDEX(市场案例库!$G$6:$G$35,MATCH(C27,市场案例库!$A$6:$A$35,0)))&lt;&gt;1,"",INDEX(市场案例库!$G$6:$G$35,MATCH(C27,市场案例库!$A$6:$A$35,0))))/IF(COUNTIFS(资产清单!$A$6:$A$25,A27)&lt;&gt;1,"",IF(COUNT(INDEX(资产清单!$L$6:$L$25,MATCH(A27,资产清单!$A$6:$A$25,0)))&lt;&gt;1,"",INDEX(资产清单!$L$6:$L$25,MATCH(A27,资产清单!$A$6:$A$25,0)))),测算参数!$A$15:$A$21,测算参数!$C$15:$C$21),测算参数!$B$6))</f>
        <v>98</v>
      </c>
      <c r="J27" s="21">
        <f>IF(OR(C27&lt;&gt;N27,COUNT(H27:I27)&lt;&gt;2,H27&lt;=0,I27&lt;=0),"",IF(AND(IF(COUNTIFS(资产清单!$A$6:$A$25,A27)&lt;&gt;1,"",IF(INDEX(资产清单!$J$6:$J$25,MATCH(A27,资产清单!$A$6:$A$25,0))="","",INDEX(资产清单!$J$6:$J$25,MATCH(A27,资产清单!$A$6:$A$25,0))))="元/㎡/月",IF(COUNTIFS(资产清单!$A$6:$A$25,A27)&lt;&gt;1,"",IF(INDEX(资产清单!$H$6:$H$25,MATCH(A27,资产清单!$A$6:$A$25,0))="","",INDEX(资产清单!$H$6:$H$25,MATCH(A27,资产清单!$A$6:$A$25,0))))&lt;&gt;"场地"),H27/I27,H27/H27))</f>
        <v>1.0204081632653061</v>
      </c>
      <c r="K27" s="16" t="s">
        <v>210</v>
      </c>
      <c r="L27" s="16" t="s">
        <v>220</v>
      </c>
      <c r="M27" s="16" t="str">
        <f t="shared" si="0"/>
        <v>模拟评分记录完整</v>
      </c>
      <c r="N27" s="8" t="s">
        <v>150</v>
      </c>
    </row>
    <row r="28" spans="1:14" ht="46.05" customHeight="1">
      <c r="A28" s="16" t="s">
        <v>72</v>
      </c>
      <c r="B28" s="16">
        <v>2</v>
      </c>
      <c r="C28" s="17" t="str">
        <f>三案例选用!C6</f>
        <v>SC-002</v>
      </c>
      <c r="D28" s="16" t="s">
        <v>221</v>
      </c>
      <c r="E28" s="16" t="str">
        <f t="shared" ref="E28:E33" si="3">IF(TRUE,"适用","不适用采用100/100")</f>
        <v>适用</v>
      </c>
      <c r="F28" s="17" t="str">
        <f>IF(TRUE,IF(COUNTIFS(资产清单!$A$6:$A$25,A28)&lt;&gt;1,"",IF(INDEX(资产清单!$I$6:$I$25,MATCH(A28,资产清单!$A$6:$A$25,0))="","",INDEX(资产清单!$I$6:$I$25,MATCH(A28,资产清单!$A$6:$A$25,0)))),"不适用")</f>
        <v>临街商铺</v>
      </c>
      <c r="G28" s="17" t="str">
        <f>IF(TRUE,IF(COUNTIFS(市场案例库!$A$6:$A$35,C28)&lt;&gt;1,"",IF(INDEX(市场案例库!$O$6:$O$35,MATCH(C28,市场案例库!$A$6:$A$35,0))="","",INDEX(市场案例库!$O$6:$O$35,MATCH(C28,市场案例库!$A$6:$A$35,0)))),"不适用")</f>
        <v>临街商铺</v>
      </c>
      <c r="H28" s="19">
        <f>测算参数!$B$6</f>
        <v>100</v>
      </c>
      <c r="I28" s="10">
        <v>100</v>
      </c>
      <c r="J28" s="20">
        <f t="shared" ref="J28:J33" si="4">IF(OR(C28&lt;&gt;N28,COUNT(H28:I28)&lt;&gt;2,H28&lt;=0,I28&lt;=0),"",IF(TRUE,H28/I28,H28/H28))</f>
        <v>1</v>
      </c>
      <c r="K28" s="16" t="s">
        <v>210</v>
      </c>
      <c r="L28" s="16" t="s">
        <v>215</v>
      </c>
      <c r="M28" s="16" t="str">
        <f t="shared" si="0"/>
        <v>模拟评分记录完整</v>
      </c>
      <c r="N28" s="8" t="s">
        <v>150</v>
      </c>
    </row>
    <row r="29" spans="1:14" ht="46.05" customHeight="1">
      <c r="A29" s="16" t="s">
        <v>72</v>
      </c>
      <c r="B29" s="16">
        <v>2</v>
      </c>
      <c r="C29" s="17" t="str">
        <f>三案例选用!C6</f>
        <v>SC-002</v>
      </c>
      <c r="D29" s="16" t="s">
        <v>222</v>
      </c>
      <c r="E29" s="16" t="str">
        <f t="shared" si="3"/>
        <v>适用</v>
      </c>
      <c r="F29" s="17" t="str">
        <f>IF(TRUE,IF(COUNTIFS(资产清单!$A$6:$A$25,A29)&lt;&gt;1,"",IF(INDEX(资产清单!$I$6:$I$25,MATCH(A29,资产清单!$A$6:$A$25,0))="","",INDEX(资产清单!$I$6:$I$25,MATCH(A29,资产清单!$A$6:$A$25,0)))),"不适用")</f>
        <v>临街商铺</v>
      </c>
      <c r="G29" s="17" t="str">
        <f>IF(TRUE,IF(COUNTIFS(市场案例库!$A$6:$A$35,C29)&lt;&gt;1,"",IF(INDEX(市场案例库!$O$6:$O$35,MATCH(C29,市场案例库!$A$6:$A$35,0))="","",INDEX(市场案例库!$O$6:$O$35,MATCH(C29,市场案例库!$A$6:$A$35,0)))),"不适用")</f>
        <v>临街商铺</v>
      </c>
      <c r="H29" s="19">
        <f>测算参数!$B$6</f>
        <v>100</v>
      </c>
      <c r="I29" s="10">
        <v>99</v>
      </c>
      <c r="J29" s="20">
        <f t="shared" si="4"/>
        <v>1.0101010101010102</v>
      </c>
      <c r="K29" s="16" t="s">
        <v>210</v>
      </c>
      <c r="L29" s="16" t="s">
        <v>223</v>
      </c>
      <c r="M29" s="16" t="str">
        <f t="shared" si="0"/>
        <v>模拟评分记录完整</v>
      </c>
      <c r="N29" s="8" t="s">
        <v>150</v>
      </c>
    </row>
    <row r="30" spans="1:14" ht="46.05" customHeight="1">
      <c r="A30" s="16" t="s">
        <v>72</v>
      </c>
      <c r="B30" s="16">
        <v>2</v>
      </c>
      <c r="C30" s="17" t="str">
        <f>三案例选用!C6</f>
        <v>SC-002</v>
      </c>
      <c r="D30" s="16" t="s">
        <v>224</v>
      </c>
      <c r="E30" s="16" t="str">
        <f t="shared" si="3"/>
        <v>适用</v>
      </c>
      <c r="F30" s="17" t="str">
        <f>IF(TRUE,IF(COUNTIFS(资产清单!$A$6:$A$25,A30)&lt;&gt;1,"",IF(INDEX(资产清单!$I$6:$I$25,MATCH(A30,资产清单!$A$6:$A$25,0))="","",INDEX(资产清单!$I$6:$I$25,MATCH(A30,资产清单!$A$6:$A$25,0)))),"不适用")</f>
        <v>临街商铺</v>
      </c>
      <c r="G30" s="17" t="str">
        <f>IF(TRUE,IF(COUNTIFS(市场案例库!$A$6:$A$35,C30)&lt;&gt;1,"",IF(INDEX(市场案例库!$O$6:$O$35,MATCH(C30,市场案例库!$A$6:$A$35,0))="","",INDEX(市场案例库!$O$6:$O$35,MATCH(C30,市场案例库!$A$6:$A$35,0)))),"不适用")</f>
        <v>临街商铺</v>
      </c>
      <c r="H30" s="19">
        <f>测算参数!$B$6</f>
        <v>100</v>
      </c>
      <c r="I30" s="10">
        <v>100</v>
      </c>
      <c r="J30" s="20">
        <f t="shared" si="4"/>
        <v>1</v>
      </c>
      <c r="K30" s="16" t="s">
        <v>210</v>
      </c>
      <c r="L30" s="16" t="s">
        <v>215</v>
      </c>
      <c r="M30" s="16" t="str">
        <f t="shared" si="0"/>
        <v>模拟评分记录完整</v>
      </c>
      <c r="N30" s="8" t="s">
        <v>150</v>
      </c>
    </row>
    <row r="31" spans="1:14" ht="46.05" customHeight="1">
      <c r="A31" s="16" t="s">
        <v>72</v>
      </c>
      <c r="B31" s="16">
        <v>2</v>
      </c>
      <c r="C31" s="17" t="str">
        <f>三案例选用!C6</f>
        <v>SC-002</v>
      </c>
      <c r="D31" s="16" t="s">
        <v>225</v>
      </c>
      <c r="E31" s="16" t="str">
        <f t="shared" si="3"/>
        <v>适用</v>
      </c>
      <c r="F31" s="17" t="str">
        <f>IF(TRUE,IF(COUNTIFS(资产清单!$A$6:$A$25,A31)&lt;&gt;1,"",IF(INDEX(资产清单!$I$6:$I$25,MATCH(A31,资产清单!$A$6:$A$25,0))="","",INDEX(资产清单!$I$6:$I$25,MATCH(A31,资产清单!$A$6:$A$25,0)))),"不适用")</f>
        <v>临街商铺</v>
      </c>
      <c r="G31" s="17" t="str">
        <f>IF(TRUE,IF(COUNTIFS(市场案例库!$A$6:$A$35,C31)&lt;&gt;1,"",IF(INDEX(市场案例库!$O$6:$O$35,MATCH(C31,市场案例库!$A$6:$A$35,0))="","",INDEX(市场案例库!$O$6:$O$35,MATCH(C31,市场案例库!$A$6:$A$35,0)))),"不适用")</f>
        <v>临街商铺</v>
      </c>
      <c r="H31" s="19">
        <f>测算参数!$B$6</f>
        <v>100</v>
      </c>
      <c r="I31" s="10">
        <v>100</v>
      </c>
      <c r="J31" s="20">
        <f t="shared" si="4"/>
        <v>1</v>
      </c>
      <c r="K31" s="16" t="s">
        <v>210</v>
      </c>
      <c r="L31" s="16" t="s">
        <v>215</v>
      </c>
      <c r="M31" s="16" t="str">
        <f t="shared" si="0"/>
        <v>模拟评分记录完整</v>
      </c>
      <c r="N31" s="8" t="s">
        <v>150</v>
      </c>
    </row>
    <row r="32" spans="1:14" ht="46.05" customHeight="1">
      <c r="A32" s="16" t="s">
        <v>72</v>
      </c>
      <c r="B32" s="16">
        <v>2</v>
      </c>
      <c r="C32" s="17" t="str">
        <f>三案例选用!C6</f>
        <v>SC-002</v>
      </c>
      <c r="D32" s="16" t="s">
        <v>226</v>
      </c>
      <c r="E32" s="16" t="str">
        <f t="shared" si="3"/>
        <v>适用</v>
      </c>
      <c r="F32" s="17" t="str">
        <f>IF(TRUE,IF(COUNTIFS(资产清单!$A$6:$A$25,A32)&lt;&gt;1,"",IF(INDEX(资产清单!$I$6:$I$25,MATCH(A32,资产清单!$A$6:$A$25,0))="","",INDEX(资产清单!$I$6:$I$25,MATCH(A32,资产清单!$A$6:$A$25,0)))),"不适用")</f>
        <v>临街商铺</v>
      </c>
      <c r="G32" s="17" t="str">
        <f>IF(TRUE,IF(COUNTIFS(市场案例库!$A$6:$A$35,C32)&lt;&gt;1,"",IF(INDEX(市场案例库!$O$6:$O$35,MATCH(C32,市场案例库!$A$6:$A$35,0))="","",INDEX(市场案例库!$O$6:$O$35,MATCH(C32,市场案例库!$A$6:$A$35,0)))),"不适用")</f>
        <v>临街商铺</v>
      </c>
      <c r="H32" s="19">
        <f>测算参数!$B$6</f>
        <v>100</v>
      </c>
      <c r="I32" s="10">
        <v>100</v>
      </c>
      <c r="J32" s="20">
        <f t="shared" si="4"/>
        <v>1</v>
      </c>
      <c r="K32" s="16" t="s">
        <v>210</v>
      </c>
      <c r="L32" s="16" t="s">
        <v>215</v>
      </c>
      <c r="M32" s="16" t="str">
        <f t="shared" si="0"/>
        <v>模拟评分记录完整</v>
      </c>
      <c r="N32" s="8" t="s">
        <v>150</v>
      </c>
    </row>
    <row r="33" spans="1:14" ht="46.05" customHeight="1">
      <c r="A33" s="16" t="s">
        <v>72</v>
      </c>
      <c r="B33" s="16">
        <v>2</v>
      </c>
      <c r="C33" s="17" t="str">
        <f>三案例选用!C6</f>
        <v>SC-002</v>
      </c>
      <c r="D33" s="16" t="s">
        <v>227</v>
      </c>
      <c r="E33" s="16" t="str">
        <f t="shared" si="3"/>
        <v>适用</v>
      </c>
      <c r="F33" s="17" t="str">
        <f>IF(TRUE,IF(COUNTIFS(资产清单!$A$6:$A$25,A33)&lt;&gt;1,"",IF(INDEX(资产清单!$I$6:$I$25,MATCH(A33,资产清单!$A$6:$A$25,0))="","",INDEX(资产清单!$I$6:$I$25,MATCH(A33,资产清单!$A$6:$A$25,0)))),"不适用")</f>
        <v>临街商铺</v>
      </c>
      <c r="G33" s="17" t="str">
        <f>IF(TRUE,IF(COUNTIFS(市场案例库!$A$6:$A$35,C33)&lt;&gt;1,"",IF(INDEX(市场案例库!$O$6:$O$35,MATCH(C33,市场案例库!$A$6:$A$35,0))="","",INDEX(市场案例库!$O$6:$O$35,MATCH(C33,市场案例库!$A$6:$A$35,0)))),"不适用")</f>
        <v>临街商铺</v>
      </c>
      <c r="H33" s="19">
        <f>测算参数!$B$6</f>
        <v>100</v>
      </c>
      <c r="I33" s="10">
        <v>100</v>
      </c>
      <c r="J33" s="20">
        <f t="shared" si="4"/>
        <v>1</v>
      </c>
      <c r="K33" s="16" t="s">
        <v>210</v>
      </c>
      <c r="L33" s="16" t="s">
        <v>215</v>
      </c>
      <c r="M33" s="16" t="str">
        <f t="shared" si="0"/>
        <v>模拟评分记录完整</v>
      </c>
      <c r="N33" s="8" t="s">
        <v>150</v>
      </c>
    </row>
    <row r="34" spans="1:14" ht="46.05" customHeight="1">
      <c r="A34" s="16" t="s">
        <v>72</v>
      </c>
      <c r="B34" s="16">
        <v>2</v>
      </c>
      <c r="C34" s="17" t="str">
        <f>三案例选用!C6</f>
        <v>SC-002</v>
      </c>
      <c r="D34" s="16" t="s">
        <v>228</v>
      </c>
      <c r="E34" s="17" t="str">
        <f>IF(AND(IF(COUNTIFS(资产清单!$A$6:$A$25,A34)&lt;&gt;1,"",IF(INDEX(资产清单!$H$6:$H$25,MATCH(A34,资产清单!$A$6:$A$25,0))="","",INDEX(资产清单!$H$6:$H$25,MATCH(A34,资产清单!$A$6:$A$25,0))))&lt;&gt;"场地",IF(COUNTIFS(资产清单!$A$6:$A$25,A34)&lt;&gt;1,"",IF(INDEX(资产清单!$H$6:$H$25,MATCH(A34,资产清单!$A$6:$A$25,0))="","",INDEX(资产清单!$H$6:$H$25,MATCH(A34,资产清单!$A$6:$A$25,0))))&lt;&gt;"车位",IF(COUNTIFS(资产清单!$A$6:$A$25,A34)&lt;&gt;1,"",IF(INDEX(资产清单!$H$6:$H$25,MATCH(A34,资产清单!$A$6:$A$25,0))="","",INDEX(资产清单!$H$6:$H$25,MATCH(A34,资产清单!$A$6:$A$25,0))))&lt;&gt;"通信基站"),"适用","不适用采用100/100")</f>
        <v>适用</v>
      </c>
      <c r="F34" s="17" t="str">
        <f>IF(AND(IF(COUNTIFS(资产清单!$A$6:$A$25,A34)&lt;&gt;1,"",IF(INDEX(资产清单!$H$6:$H$25,MATCH(A34,资产清单!$A$6:$A$25,0))="","",INDEX(资产清单!$H$6:$H$25,MATCH(A34,资产清单!$A$6:$A$25,0))))&lt;&gt;"场地",IF(COUNTIFS(资产清单!$A$6:$A$25,A34)&lt;&gt;1,"",IF(INDEX(资产清单!$H$6:$H$25,MATCH(A34,资产清单!$A$6:$A$25,0))="","",INDEX(资产清单!$H$6:$H$25,MATCH(A34,资产清单!$A$6:$A$25,0))))&lt;&gt;"车位",IF(COUNTIFS(资产清单!$A$6:$A$25,A34)&lt;&gt;1,"",IF(INDEX(资产清单!$H$6:$H$25,MATCH(A34,资产清单!$A$6:$A$25,0))="","",INDEX(资产清单!$H$6:$H$25,MATCH(A34,资产清单!$A$6:$A$25,0))))&lt;&gt;"通信基站"),IF(COUNTIFS(资产清单!$A$6:$A$25,A34)&lt;&gt;1,"",IF(INDEX(资产清单!$I$6:$I$25,MATCH(A34,资产清单!$A$6:$A$25,0))="","",INDEX(资产清单!$I$6:$I$25,MATCH(A34,资产清单!$A$6:$A$25,0)))),"不适用")</f>
        <v>临街商铺</v>
      </c>
      <c r="G34" s="17" t="str">
        <f>IF(AND(IF(COUNTIFS(资产清单!$A$6:$A$25,A34)&lt;&gt;1,"",IF(INDEX(资产清单!$H$6:$H$25,MATCH(A34,资产清单!$A$6:$A$25,0))="","",INDEX(资产清单!$H$6:$H$25,MATCH(A34,资产清单!$A$6:$A$25,0))))&lt;&gt;"场地",IF(COUNTIFS(资产清单!$A$6:$A$25,A34)&lt;&gt;1,"",IF(INDEX(资产清单!$H$6:$H$25,MATCH(A34,资产清单!$A$6:$A$25,0))="","",INDEX(资产清单!$H$6:$H$25,MATCH(A34,资产清单!$A$6:$A$25,0))))&lt;&gt;"车位",IF(COUNTIFS(资产清单!$A$6:$A$25,A34)&lt;&gt;1,"",IF(INDEX(资产清单!$H$6:$H$25,MATCH(A34,资产清单!$A$6:$A$25,0))="","",INDEX(资产清单!$H$6:$H$25,MATCH(A34,资产清单!$A$6:$A$25,0))))&lt;&gt;"通信基站"),IF(COUNTIFS(市场案例库!$A$6:$A$35,C34)&lt;&gt;1,"",IF(INDEX(市场案例库!$O$6:$O$35,MATCH(C34,市场案例库!$A$6:$A$35,0))="","",INDEX(市场案例库!$O$6:$O$35,MATCH(C34,市场案例库!$A$6:$A$35,0)))),"不适用")</f>
        <v>临街商铺</v>
      </c>
      <c r="H34" s="19">
        <f>测算参数!$B$6</f>
        <v>100</v>
      </c>
      <c r="I34" s="10">
        <v>100</v>
      </c>
      <c r="J34" s="21">
        <f>IF(OR(C34&lt;&gt;N34,COUNT(H34:I34)&lt;&gt;2,H34&lt;=0,I34&lt;=0),"",IF(AND(IF(COUNTIFS(资产清单!$A$6:$A$25,A34)&lt;&gt;1,"",IF(INDEX(资产清单!$H$6:$H$25,MATCH(A34,资产清单!$A$6:$A$25,0))="","",INDEX(资产清单!$H$6:$H$25,MATCH(A34,资产清单!$A$6:$A$25,0))))&lt;&gt;"场地",IF(COUNTIFS(资产清单!$A$6:$A$25,A34)&lt;&gt;1,"",IF(INDEX(资产清单!$H$6:$H$25,MATCH(A34,资产清单!$A$6:$A$25,0))="","",INDEX(资产清单!$H$6:$H$25,MATCH(A34,资产清单!$A$6:$A$25,0))))&lt;&gt;"车位",IF(COUNTIFS(资产清单!$A$6:$A$25,A34)&lt;&gt;1,"",IF(INDEX(资产清单!$H$6:$H$25,MATCH(A34,资产清单!$A$6:$A$25,0))="","",INDEX(资产清单!$H$6:$H$25,MATCH(A34,资产清单!$A$6:$A$25,0))))&lt;&gt;"通信基站"),H34/I34,H34/H34))</f>
        <v>1</v>
      </c>
      <c r="K34" s="16" t="s">
        <v>210</v>
      </c>
      <c r="L34" s="16" t="s">
        <v>215</v>
      </c>
      <c r="M34" s="16" t="str">
        <f t="shared" si="0"/>
        <v>模拟评分记录完整</v>
      </c>
      <c r="N34" s="8" t="s">
        <v>150</v>
      </c>
    </row>
    <row r="35" spans="1:14" ht="46.05" customHeight="1">
      <c r="A35" s="16" t="s">
        <v>72</v>
      </c>
      <c r="B35" s="16">
        <v>2</v>
      </c>
      <c r="C35" s="17" t="str">
        <f>三案例选用!C6</f>
        <v>SC-002</v>
      </c>
      <c r="D35" s="16" t="s">
        <v>229</v>
      </c>
      <c r="E35" s="17" t="str">
        <f>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"适用","不适用采用100/100")</f>
        <v>适用</v>
      </c>
      <c r="F35" s="17">
        <f>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IF(COUNTIFS(资产清单!$A$6:$A$25,A35)&lt;&gt;1,"",IF(COUNT(INDEX(资产清单!$N$6:$N$25,MATCH(A35,资产清单!$A$6:$A$25,0)))&lt;&gt;1,"",INDEX(资产清单!$N$6:$N$25,MATCH(A35,资产清单!$A$6:$A$25,0)))),"不适用")</f>
        <v>2</v>
      </c>
      <c r="G35" s="17">
        <f>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IF(COUNTIFS(市场案例库!$A$6:$A$35,C35)&lt;&gt;1,"",IF(COUNT(INDEX(市场案例库!$I$6:$I$35,MATCH(C35,市场案例库!$A$6:$A$35,0)))&lt;&gt;1,"",INDEX(市场案例库!$I$6:$I$35,MATCH(C35,市场案例库!$A$6:$A$35,0)))),"不适用")</f>
        <v>3</v>
      </c>
      <c r="H35" s="19">
        <f>测算参数!$B$6</f>
        <v>100</v>
      </c>
      <c r="I35" s="19">
        <f>IF(OR(COUNTIFS(市场案例库!$A$6:$A$35,C35)&lt;&gt;1,AND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OR(COUNT(IF(COUNTIFS(资产清单!$A$6:$A$25,A35)&lt;&gt;1,"",IF(COUNT(INDEX(资产清单!$N$6:$N$25,MATCH(A35,资产清单!$A$6:$A$25,0)))&lt;&gt;1,"",INDEX(资产清单!$N$6:$N$25,MATCH(A35,资产清单!$A$6:$A$25,0)))),IF(COUNTIFS(市场案例库!$A$6:$A$35,C35)&lt;&gt;1,"",IF(COUNT(INDEX(市场案例库!$I$6:$I$35,MATCH(C35,市场案例库!$A$6:$A$35,0)))&lt;&gt;1,"",INDEX(市场案例库!$I$6:$I$35,MATCH(C35,市场案例库!$A$6:$A$35,0)))))&lt;&gt;2,IF(COUNTIFS(资产清单!$A$6:$A$25,A35)&lt;&gt;1,"",IF(COUNT(INDEX(资产清单!$N$6:$N$25,MATCH(A35,资产清单!$A$6:$A$25,0)))&lt;&gt;1,"",INDEX(资产清单!$N$6:$N$25,MATCH(A35,资产清单!$A$6:$A$25,0))))&lt;1,IF(COUNTIFS(资产清单!$A$6:$A$25,A35)&lt;&gt;1,"",IF(COUNT(INDEX(资产清单!$N$6:$N$25,MATCH(A35,资产清单!$A$6:$A$25,0)))&lt;&gt;1,"",INDEX(资产清单!$N$6:$N$25,MATCH(A35,资产清单!$A$6:$A$25,0))))&gt;4,IF(COUNTIFS(市场案例库!$A$6:$A$35,C35)&lt;&gt;1,"",IF(COUNT(INDEX(市场案例库!$I$6:$I$35,MATCH(C35,市场案例库!$A$6:$A$35,0)))&lt;&gt;1,"",INDEX(市场案例库!$I$6:$I$35,MATCH(C35,市场案例库!$A$6:$A$35,0))))&lt;1,IF(COUNTIFS(市场案例库!$A$6:$A$35,C35)&lt;&gt;1,"",IF(COUNT(INDEX(市场案例库!$I$6:$I$35,MATCH(C35,市场案例库!$A$6:$A$35,0)))&lt;&gt;1,"",INDEX(市场案例库!$I$6:$I$35,MATCH(C35,市场案例库!$A$6:$A$35,0))))&gt;4))),"",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INDEX(测算参数!$B$35:$B$41,MATCH(IF(COUNTIFS(市场案例库!$A$6:$A$35,C35)&lt;&gt;1,"",IF(COUNT(INDEX(市场案例库!$I$6:$I$35,MATCH(C35,市场案例库!$A$6:$A$35,0)))&lt;&gt;1,"",INDEX(市场案例库!$I$6:$I$35,MATCH(C35,市场案例库!$A$6:$A$35,0))))-IF(COUNTIFS(资产清单!$A$6:$A$25,A35)&lt;&gt;1,"",IF(COUNT(INDEX(资产清单!$N$6:$N$25,MATCH(A35,资产清单!$A$6:$A$25,0)))&lt;&gt;1,"",INDEX(资产清单!$N$6:$N$25,MATCH(A35,资产清单!$A$6:$A$25,0)))),测算参数!$A$35:$A$41,0)),测算参数!$B$6))</f>
        <v>102</v>
      </c>
      <c r="J35" s="21">
        <f>IF(OR(C35&lt;&gt;N35,COUNT(H35:I35)&lt;&gt;2,H35&lt;=0,I35&lt;=0),"",IF(AND(IF(COUNTIFS(资产清单!$A$6:$A$25,A35)&lt;&gt;1,"",IF(INDEX(资产清单!$H$6:$H$25,MATCH(A35,资产清单!$A$6:$A$25,0))="","",INDEX(资产清单!$H$6:$H$25,MATCH(A35,资产清单!$A$6:$A$25,0))))&lt;&gt;"场地",IF(COUNTIFS(资产清单!$A$6:$A$25,A35)&lt;&gt;1,"",IF(INDEX(资产清单!$H$6:$H$25,MATCH(A35,资产清单!$A$6:$A$25,0))="","",INDEX(资产清单!$H$6:$H$25,MATCH(A35,资产清单!$A$6:$A$25,0))))&lt;&gt;"车位",IF(COUNTIFS(资产清单!$A$6:$A$25,A35)&lt;&gt;1,"",IF(INDEX(资产清单!$H$6:$H$25,MATCH(A35,资产清单!$A$6:$A$25,0))="","",INDEX(资产清单!$H$6:$H$25,MATCH(A35,资产清单!$A$6:$A$25,0))))&lt;&gt;"通信基站"),H35/I35,H35/H35))</f>
        <v>0.98039215686274506</v>
      </c>
      <c r="K35" s="16" t="s">
        <v>210</v>
      </c>
      <c r="L35" s="16" t="s">
        <v>230</v>
      </c>
      <c r="M35" s="16" t="str">
        <f t="shared" si="0"/>
        <v>模拟评分记录完整</v>
      </c>
      <c r="N35" s="8" t="s">
        <v>150</v>
      </c>
    </row>
    <row r="36" spans="1:14" ht="46.05" customHeight="1">
      <c r="A36" s="16" t="s">
        <v>72</v>
      </c>
      <c r="B36" s="16">
        <v>2</v>
      </c>
      <c r="C36" s="17" t="str">
        <f>三案例选用!C6</f>
        <v>SC-002</v>
      </c>
      <c r="D36" s="16" t="s">
        <v>231</v>
      </c>
      <c r="E36" s="17" t="str">
        <f>IF(AND(IF(COUNTIFS(资产清单!$A$6:$A$25,A36)&lt;&gt;1,"",IF(INDEX(资产清单!$H$6:$H$25,MATCH(A36,资产清单!$A$6:$A$25,0))="","",INDEX(资产清单!$H$6:$H$25,MATCH(A36,资产清单!$A$6:$A$25,0))))&lt;&gt;"场地",IF(COUNTIFS(资产清单!$A$6:$A$25,A36)&lt;&gt;1,"",IF(INDEX(资产清单!$H$6:$H$25,MATCH(A36,资产清单!$A$6:$A$25,0))="","",INDEX(资产清单!$H$6:$H$25,MATCH(A36,资产清单!$A$6:$A$25,0))))&lt;&gt;"车位",IF(COUNTIFS(资产清单!$A$6:$A$25,A36)&lt;&gt;1,"",IF(INDEX(资产清单!$H$6:$H$25,MATCH(A36,资产清单!$A$6:$A$25,0))="","",INDEX(资产清单!$H$6:$H$25,MATCH(A36,资产清单!$A$6:$A$25,0))))&lt;&gt;"通信基站"),"适用","不适用采用100/100")</f>
        <v>适用</v>
      </c>
      <c r="F36" s="17" t="str">
        <f>IF(AND(IF(COUNTIFS(资产清单!$A$6:$A$25,A36)&lt;&gt;1,"",IF(INDEX(资产清单!$H$6:$H$25,MATCH(A36,资产清单!$A$6:$A$25,0))="","",INDEX(资产清单!$H$6:$H$25,MATCH(A36,资产清单!$A$6:$A$25,0))))&lt;&gt;"场地",IF(COUNTIFS(资产清单!$A$6:$A$25,A36)&lt;&gt;1,"",IF(INDEX(资产清单!$H$6:$H$25,MATCH(A36,资产清单!$A$6:$A$25,0))="","",INDEX(资产清单!$H$6:$H$25,MATCH(A36,资产清单!$A$6:$A$25,0))))&lt;&gt;"车位",IF(COUNTIFS(资产清单!$A$6:$A$25,A36)&lt;&gt;1,"",IF(INDEX(资产清单!$H$6:$H$25,MATCH(A36,资产清单!$A$6:$A$25,0))="","",INDEX(资产清单!$H$6:$H$25,MATCH(A36,资产清单!$A$6:$A$25,0))))&lt;&gt;"通信基站"),IF(COUNTIFS(资产清单!$A$6:$A$25,A36)&lt;&gt;1,"",IF(INDEX(资产清单!$I$6:$I$25,MATCH(A36,资产清单!$A$6:$A$25,0))="","",INDEX(资产清单!$I$6:$I$25,MATCH(A36,资产清单!$A$6:$A$25,0)))),"不适用")</f>
        <v>临街商铺</v>
      </c>
      <c r="G36" s="17" t="str">
        <f>IF(AND(IF(COUNTIFS(资产清单!$A$6:$A$25,A36)&lt;&gt;1,"",IF(INDEX(资产清单!$H$6:$H$25,MATCH(A36,资产清单!$A$6:$A$25,0))="","",INDEX(资产清单!$H$6:$H$25,MATCH(A36,资产清单!$A$6:$A$25,0))))&lt;&gt;"场地",IF(COUNTIFS(资产清单!$A$6:$A$25,A36)&lt;&gt;1,"",IF(INDEX(资产清单!$H$6:$H$25,MATCH(A36,资产清单!$A$6:$A$25,0))="","",INDEX(资产清单!$H$6:$H$25,MATCH(A36,资产清单!$A$6:$A$25,0))))&lt;&gt;"车位",IF(COUNTIFS(资产清单!$A$6:$A$25,A36)&lt;&gt;1,"",IF(INDEX(资产清单!$H$6:$H$25,MATCH(A36,资产清单!$A$6:$A$25,0))="","",INDEX(资产清单!$H$6:$H$25,MATCH(A36,资产清单!$A$6:$A$25,0))))&lt;&gt;"通信基站"),IF(COUNTIFS(市场案例库!$A$6:$A$35,C36)&lt;&gt;1,"",IF(INDEX(市场案例库!$O$6:$O$35,MATCH(C36,市场案例库!$A$6:$A$35,0))="","",INDEX(市场案例库!$O$6:$O$35,MATCH(C36,市场案例库!$A$6:$A$35,0)))),"不适用")</f>
        <v>临街商铺</v>
      </c>
      <c r="H36" s="19">
        <f>测算参数!$B$6</f>
        <v>100</v>
      </c>
      <c r="I36" s="10">
        <v>100</v>
      </c>
      <c r="J36" s="21">
        <f>IF(OR(C36&lt;&gt;N36,COUNT(H36:I36)&lt;&gt;2,H36&lt;=0,I36&lt;=0),"",IF(AND(IF(COUNTIFS(资产清单!$A$6:$A$25,A36)&lt;&gt;1,"",IF(INDEX(资产清单!$H$6:$H$25,MATCH(A36,资产清单!$A$6:$A$25,0))="","",INDEX(资产清单!$H$6:$H$25,MATCH(A36,资产清单!$A$6:$A$25,0))))&lt;&gt;"场地",IF(COUNTIFS(资产清单!$A$6:$A$25,A36)&lt;&gt;1,"",IF(INDEX(资产清单!$H$6:$H$25,MATCH(A36,资产清单!$A$6:$A$25,0))="","",INDEX(资产清单!$H$6:$H$25,MATCH(A36,资产清单!$A$6:$A$25,0))))&lt;&gt;"车位",IF(COUNTIFS(资产清单!$A$6:$A$25,A36)&lt;&gt;1,"",IF(INDEX(资产清单!$H$6:$H$25,MATCH(A36,资产清单!$A$6:$A$25,0))="","",INDEX(资产清单!$H$6:$H$25,MATCH(A36,资产清单!$A$6:$A$25,0))))&lt;&gt;"通信基站"),H36/I36,H36/H36))</f>
        <v>1</v>
      </c>
      <c r="K36" s="16" t="s">
        <v>210</v>
      </c>
      <c r="L36" s="16" t="s">
        <v>215</v>
      </c>
      <c r="M36" s="16" t="str">
        <f t="shared" si="0"/>
        <v>模拟评分记录完整</v>
      </c>
      <c r="N36" s="8" t="s">
        <v>150</v>
      </c>
    </row>
    <row r="37" spans="1:14" ht="46.05" customHeight="1">
      <c r="A37" s="16" t="s">
        <v>72</v>
      </c>
      <c r="B37" s="16">
        <v>2</v>
      </c>
      <c r="C37" s="17" t="str">
        <f>三案例选用!C6</f>
        <v>SC-002</v>
      </c>
      <c r="D37" s="16" t="s">
        <v>232</v>
      </c>
      <c r="E37" s="16" t="str">
        <f>IF(TRUE,"适用","不适用采用100/100")</f>
        <v>适用</v>
      </c>
      <c r="F37" s="17" t="str">
        <f>IF(TRUE,IF(COUNTIFS(资产清单!$A$6:$A$25,A37)&lt;&gt;1,"",IF(INDEX(资产清单!$I$6:$I$25,MATCH(A37,资产清单!$A$6:$A$25,0))="","",INDEX(资产清单!$I$6:$I$25,MATCH(A37,资产清单!$A$6:$A$25,0)))),"不适用")</f>
        <v>临街商铺</v>
      </c>
      <c r="G37" s="17" t="str">
        <f>IF(TRUE,IF(COUNTIFS(市场案例库!$A$6:$A$35,C37)&lt;&gt;1,"",IF(INDEX(市场案例库!$O$6:$O$35,MATCH(C37,市场案例库!$A$6:$A$35,0))="","",INDEX(市场案例库!$O$6:$O$35,MATCH(C37,市场案例库!$A$6:$A$35,0)))),"不适用")</f>
        <v>临街商铺</v>
      </c>
      <c r="H37" s="19">
        <f>测算参数!$B$6</f>
        <v>100</v>
      </c>
      <c r="I37" s="10">
        <v>100</v>
      </c>
      <c r="J37" s="20">
        <f>IF(OR(C37&lt;&gt;N37,COUNT(H37:I37)&lt;&gt;2,H37&lt;=0,I37&lt;=0),"",IF(TRUE,H37/I37,H37/H37))</f>
        <v>1</v>
      </c>
      <c r="K37" s="16" t="s">
        <v>210</v>
      </c>
      <c r="L37" s="16" t="s">
        <v>215</v>
      </c>
      <c r="M37" s="16" t="str">
        <f t="shared" si="0"/>
        <v>模拟评分记录完整</v>
      </c>
      <c r="N37" s="8" t="s">
        <v>150</v>
      </c>
    </row>
    <row r="38" spans="1:14" ht="46.05" customHeight="1">
      <c r="A38" s="16" t="s">
        <v>72</v>
      </c>
      <c r="B38" s="16">
        <v>3</v>
      </c>
      <c r="C38" s="17" t="str">
        <f>三案例选用!D6</f>
        <v>SC-003</v>
      </c>
      <c r="D38" s="16" t="s">
        <v>209</v>
      </c>
      <c r="E38" s="16" t="str">
        <f>IF(TRUE,"适用","不适用采用100/100")</f>
        <v>适用</v>
      </c>
      <c r="F38" s="17" t="str">
        <f>IF(TRUE,IF(COUNTIFS(资产清单!$A$6:$A$25,A38)&lt;&gt;1,"",IF(INDEX(资产清单!$I$6:$I$25,MATCH(A38,资产清单!$A$6:$A$25,0))="","",INDEX(资产清单!$I$6:$I$25,MATCH(A38,资产清单!$A$6:$A$25,0)))),"不适用")</f>
        <v>临街商铺</v>
      </c>
      <c r="G38" s="17" t="str">
        <f>IF(TRUE,IF(COUNTIFS(市场案例库!$A$6:$A$35,C38)&lt;&gt;1,"",IF(INDEX(市场案例库!$O$6:$O$35,MATCH(C38,市场案例库!$A$6:$A$35,0))="","",INDEX(市场案例库!$O$6:$O$35,MATCH(C38,市场案例库!$A$6:$A$35,0)))),"不适用")</f>
        <v>临街商铺</v>
      </c>
      <c r="H38" s="19">
        <f>测算参数!$B$6</f>
        <v>100</v>
      </c>
      <c r="I38" s="19">
        <f>IF(OR(COUNTIFS(市场案例库!$A$6:$A$35,C38)&lt;&gt;1),"",IF(COUNTIFS(市场案例库!$A$6:$A$35,C38)&lt;&gt;1,"",IF(COUNT(INDEX(市场案例库!$M$6:$M$35,MATCH(C38,市场案例库!$A$6:$A$35,0)))&lt;&gt;1,"",INDEX(市场案例库!$M$6:$M$35,MATCH(C38,市场案例库!$A$6:$A$35,0)))))</f>
        <v>102</v>
      </c>
      <c r="J38" s="20">
        <f>IF(OR(C38&lt;&gt;N38,COUNT(H38:I38)&lt;&gt;2,H38&lt;=0,I38&lt;=0),"",IF(TRUE,H38/I38,H38/H38))</f>
        <v>0.98039215686274506</v>
      </c>
      <c r="K38" s="16" t="s">
        <v>210</v>
      </c>
      <c r="L38" s="16" t="s">
        <v>211</v>
      </c>
      <c r="M38" s="16" t="str">
        <f t="shared" si="0"/>
        <v>模拟评分记录完整</v>
      </c>
      <c r="N38" s="8" t="s">
        <v>151</v>
      </c>
    </row>
    <row r="39" spans="1:14" ht="46.05" customHeight="1">
      <c r="A39" s="16" t="s">
        <v>72</v>
      </c>
      <c r="B39" s="16">
        <v>3</v>
      </c>
      <c r="C39" s="17" t="str">
        <f>三案例选用!D6</f>
        <v>SC-003</v>
      </c>
      <c r="D39" s="16" t="s">
        <v>212</v>
      </c>
      <c r="E39" s="16" t="str">
        <f>IF(TRUE,"适用","不适用采用100/100")</f>
        <v>适用</v>
      </c>
      <c r="F39" s="17" t="str">
        <f>IF(TRUE,IF(COUNTIFS(资产清单!$A$6:$A$25,A39)&lt;&gt;1,"",IF(INDEX(资产清单!$I$6:$I$25,MATCH(A39,资产清单!$A$6:$A$25,0))="","",INDEX(资产清单!$I$6:$I$25,MATCH(A39,资产清单!$A$6:$A$25,0)))),"不适用")</f>
        <v>临街商铺</v>
      </c>
      <c r="G39" s="17" t="str">
        <f>IF(TRUE,IF(COUNTIFS(市场案例库!$A$6:$A$35,C39)&lt;&gt;1,"",IF(INDEX(市场案例库!$O$6:$O$35,MATCH(C39,市场案例库!$A$6:$A$35,0))="","",INDEX(市场案例库!$O$6:$O$35,MATCH(C39,市场案例库!$A$6:$A$35,0)))),"不适用")</f>
        <v>临街商铺</v>
      </c>
      <c r="H39" s="19">
        <f>测算参数!$B$6</f>
        <v>100</v>
      </c>
      <c r="I39" s="19">
        <f>IF(OR(COUNTIFS(市场案例库!$A$6:$A$35,C39)&lt;&gt;1),"",IF(COUNTIFS(市场案例库!$A$6:$A$35,C39)&lt;&gt;1,"",IF(COUNT(INDEX(市场案例库!$N$6:$N$35,MATCH(C39,市场案例库!$A$6:$A$35,0)))&lt;&gt;1,"",INDEX(市场案例库!$N$6:$N$35,MATCH(C39,市场案例库!$A$6:$A$35,0)))))</f>
        <v>100</v>
      </c>
      <c r="J39" s="20">
        <f>IF(OR(C39&lt;&gt;N39,COUNT(H39:I39)&lt;&gt;2,H39&lt;=0,I39&lt;=0),"",IF(TRUE,H39/I39,H39/H39))</f>
        <v>1</v>
      </c>
      <c r="K39" s="16" t="s">
        <v>210</v>
      </c>
      <c r="L39" s="16" t="s">
        <v>213</v>
      </c>
      <c r="M39" s="16" t="str">
        <f t="shared" si="0"/>
        <v>模拟评分记录完整</v>
      </c>
      <c r="N39" s="8" t="s">
        <v>151</v>
      </c>
    </row>
    <row r="40" spans="1:14" ht="46.05" customHeight="1">
      <c r="A40" s="16" t="s">
        <v>72</v>
      </c>
      <c r="B40" s="16">
        <v>3</v>
      </c>
      <c r="C40" s="17" t="str">
        <f>三案例选用!D6</f>
        <v>SC-003</v>
      </c>
      <c r="D40" s="16" t="s">
        <v>214</v>
      </c>
      <c r="E40" s="16" t="str">
        <f>IF(TRUE,"适用","不适用采用100/100")</f>
        <v>适用</v>
      </c>
      <c r="F40" s="17" t="str">
        <f>IF(TRUE,IF(COUNTIFS(资产清单!$A$6:$A$25,A40)&lt;&gt;1,"",IF(INDEX(资产清单!$I$6:$I$25,MATCH(A40,资产清单!$A$6:$A$25,0))="","",INDEX(资产清单!$I$6:$I$25,MATCH(A40,资产清单!$A$6:$A$25,0)))),"不适用")</f>
        <v>临街商铺</v>
      </c>
      <c r="G40" s="17" t="str">
        <f>IF(TRUE,IF(COUNTIFS(市场案例库!$A$6:$A$35,C40)&lt;&gt;1,"",IF(INDEX(市场案例库!$O$6:$O$35,MATCH(C40,市场案例库!$A$6:$A$35,0))="","",INDEX(市场案例库!$O$6:$O$35,MATCH(C40,市场案例库!$A$6:$A$35,0)))),"不适用")</f>
        <v>临街商铺</v>
      </c>
      <c r="H40" s="19">
        <f>测算参数!$B$6</f>
        <v>100</v>
      </c>
      <c r="I40" s="10">
        <v>100</v>
      </c>
      <c r="J40" s="20">
        <f>IF(OR(C40&lt;&gt;N40,COUNT(H40:I40)&lt;&gt;2,H40&lt;=0,I40&lt;=0),"",IF(TRUE,H40/I40,H40/H40))</f>
        <v>1</v>
      </c>
      <c r="K40" s="16" t="s">
        <v>210</v>
      </c>
      <c r="L40" s="16" t="s">
        <v>215</v>
      </c>
      <c r="M40" s="16" t="str">
        <f t="shared" si="0"/>
        <v>模拟评分记录完整</v>
      </c>
      <c r="N40" s="8" t="s">
        <v>151</v>
      </c>
    </row>
    <row r="41" spans="1:14" ht="46.05" customHeight="1">
      <c r="A41" s="16" t="s">
        <v>72</v>
      </c>
      <c r="B41" s="16">
        <v>3</v>
      </c>
      <c r="C41" s="17" t="str">
        <f>三案例选用!D6</f>
        <v>SC-003</v>
      </c>
      <c r="D41" s="16" t="s">
        <v>216</v>
      </c>
      <c r="E41" s="16" t="str">
        <f>IF(TRUE,"适用","不适用采用100/100")</f>
        <v>适用</v>
      </c>
      <c r="F41" s="17" t="str">
        <f>IF(TRUE,IF(COUNTIFS(资产清单!$A$6:$A$25,A41)&lt;&gt;1,"",IF(INDEX(资产清单!$I$6:$I$25,MATCH(A41,资产清单!$A$6:$A$25,0))="","",INDEX(资产清单!$I$6:$I$25,MATCH(A41,资产清单!$A$6:$A$25,0)))),"不适用")</f>
        <v>临街商铺</v>
      </c>
      <c r="G41" s="17" t="str">
        <f>IF(TRUE,IF(COUNTIFS(市场案例库!$A$6:$A$35,C41)&lt;&gt;1,"",IF(INDEX(市场案例库!$O$6:$O$35,MATCH(C41,市场案例库!$A$6:$A$35,0))="","",INDEX(市场案例库!$O$6:$O$35,MATCH(C41,市场案例库!$A$6:$A$35,0)))),"不适用")</f>
        <v>临街商铺</v>
      </c>
      <c r="H41" s="19">
        <f>测算参数!$B$6</f>
        <v>100</v>
      </c>
      <c r="I41" s="10">
        <v>100</v>
      </c>
      <c r="J41" s="20">
        <f>IF(OR(C41&lt;&gt;N41,COUNT(H41:I41)&lt;&gt;2,H41&lt;=0,I41&lt;=0),"",IF(TRUE,H41/I41,H41/H41))</f>
        <v>1</v>
      </c>
      <c r="K41" s="16" t="s">
        <v>210</v>
      </c>
      <c r="L41" s="16" t="s">
        <v>215</v>
      </c>
      <c r="M41" s="16" t="str">
        <f t="shared" si="0"/>
        <v>模拟评分记录完整</v>
      </c>
      <c r="N41" s="8" t="s">
        <v>151</v>
      </c>
    </row>
    <row r="42" spans="1:14" ht="46.05" customHeight="1">
      <c r="A42" s="16" t="s">
        <v>72</v>
      </c>
      <c r="B42" s="16">
        <v>3</v>
      </c>
      <c r="C42" s="17" t="str">
        <f>三案例选用!D6</f>
        <v>SC-003</v>
      </c>
      <c r="D42" s="16" t="s">
        <v>217</v>
      </c>
      <c r="E42" s="17" t="str">
        <f>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"适用","不适用采用100/100")</f>
        <v>适用</v>
      </c>
      <c r="F42" s="17">
        <f>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IF(COUNTIFS(资产清单!$A$6:$A$25,A42)&lt;&gt;1,"",IF(COUNT(INDEX(资产清单!$M$6:$M$25,MATCH(A42,资产清单!$A$6:$A$25,0)))&lt;&gt;1,"",INDEX(资产清单!$M$6:$M$25,MATCH(A42,资产清单!$A$6:$A$25,0)))),"不适用")</f>
        <v>1</v>
      </c>
      <c r="G42" s="17">
        <f>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IF(COUNTIFS(市场案例库!$A$6:$A$35,C42)&lt;&gt;1,"",IF(COUNT(INDEX(市场案例库!$H$6:$H$35,MATCH(C42,市场案例库!$A$6:$A$35,0)))&lt;&gt;1,"",INDEX(市场案例库!$H$6:$H$35,MATCH(C42,市场案例库!$A$6:$A$35,0)))),"不适用")</f>
        <v>2</v>
      </c>
      <c r="H42" s="19">
        <f>测算参数!$B$6</f>
        <v>100</v>
      </c>
      <c r="I42" s="19">
        <f>IF(OR(COUNTIFS(市场案例库!$A$6:$A$35,C42)&lt;&gt;1,AND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COUNT(IF(COUNTIFS(资产清单!$A$6:$A$25,A42)&lt;&gt;1,"",IF(COUNT(INDEX(资产清单!$M$6:$M$25,MATCH(A42,资产清单!$A$6:$A$25,0)))&lt;&gt;1,"",INDEX(资产清单!$M$6:$M$25,MATCH(A42,资产清单!$A$6:$A$25,0)))),IF(COUNTIFS(市场案例库!$A$6:$A$35,C42)&lt;&gt;1,"",IF(COUNT(INDEX(市场案例库!$H$6:$H$35,MATCH(C42,市场案例库!$A$6:$A$35,0)))&lt;&gt;1,"",INDEX(市场案例库!$H$6:$H$35,MATCH(C42,市场案例库!$A$6:$A$35,0)))))&lt;&gt;2)),"",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INDEX(测算参数!$B$25:$B$31,MATCH(MAX(-测算参数!$B$11,MIN(测算参数!$B$11,IF(COUNTIFS(资产清单!$A$6:$A$25,A42)&lt;&gt;1,"",IF(COUNT(INDEX(资产清单!$M$6:$M$25,MATCH(A42,资产清单!$A$6:$A$25,0)))&lt;&gt;1,"",INDEX(资产清单!$M$6:$M$25,MATCH(A42,资产清单!$A$6:$A$25,0))))-IF(COUNTIFS(市场案例库!$A$6:$A$35,C42)&lt;&gt;1,"",IF(COUNT(INDEX(市场案例库!$H$6:$H$35,MATCH(C42,市场案例库!$A$6:$A$35,0)))&lt;&gt;1,"",INDEX(市场案例库!$H$6:$H$35,MATCH(C42,市场案例库!$A$6:$A$35,0)))))),测算参数!$A$25:$A$31,0)),测算参数!$B$6))</f>
        <v>99</v>
      </c>
      <c r="J42" s="21">
        <f>IF(OR(C42&lt;&gt;N42,COUNT(H42:I42)&lt;&gt;2,H42&lt;=0,I42&lt;=0),"",IF(OR(IF(COUNTIFS(资产清单!$A$6:$A$25,A42)&lt;&gt;1,"",IF(INDEX(资产清单!$H$6:$H$25,MATCH(A42,资产清单!$A$6:$A$25,0))="","",INDEX(资产清单!$H$6:$H$25,MATCH(A42,资产清单!$A$6:$A$25,0))))="商业",IF(COUNTIFS(资产清单!$A$6:$A$25,A42)&lt;&gt;1,"",IF(INDEX(资产清单!$H$6:$H$25,MATCH(A42,资产清单!$A$6:$A$25,0))="","",INDEX(资产清单!$H$6:$H$25,MATCH(A42,资产清单!$A$6:$A$25,0))))="办公",IF(COUNTIFS(资产清单!$A$6:$A$25,A42)&lt;&gt;1,"",IF(INDEX(资产清单!$H$6:$H$25,MATCH(A42,资产清单!$A$6:$A$25,0))="","",INDEX(资产清单!$H$6:$H$25,MATCH(A42,资产清单!$A$6:$A$25,0))))="住宅"),H42/I42,H42/H42))</f>
        <v>1.0101010101010102</v>
      </c>
      <c r="K42" s="16" t="s">
        <v>210</v>
      </c>
      <c r="L42" s="16" t="s">
        <v>218</v>
      </c>
      <c r="M42" s="16" t="str">
        <f t="shared" si="0"/>
        <v>模拟评分记录完整</v>
      </c>
      <c r="N42" s="8" t="s">
        <v>151</v>
      </c>
    </row>
    <row r="43" spans="1:14" ht="46.05" customHeight="1">
      <c r="A43" s="16" t="s">
        <v>72</v>
      </c>
      <c r="B43" s="16">
        <v>3</v>
      </c>
      <c r="C43" s="17" t="str">
        <f>三案例选用!D6</f>
        <v>SC-003</v>
      </c>
      <c r="D43" s="16" t="s">
        <v>219</v>
      </c>
      <c r="E43" s="17" t="str">
        <f>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"适用","不适用采用100/100")</f>
        <v>适用</v>
      </c>
      <c r="F43" s="17">
        <f>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IF(COUNTIFS(资产清单!$A$6:$A$25,A43)&lt;&gt;1,"",IF(COUNT(INDEX(资产清单!$L$6:$L$25,MATCH(A43,资产清单!$A$6:$A$25,0)))&lt;&gt;1,"",INDEX(资产清单!$L$6:$L$25,MATCH(A43,资产清单!$A$6:$A$25,0)))),"不适用")</f>
        <v>60</v>
      </c>
      <c r="G43" s="17">
        <f>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IF(COUNTIFS(市场案例库!$A$6:$A$35,C43)&lt;&gt;1,"",IF(COUNT(INDEX(市场案例库!$G$6:$G$35,MATCH(C43,市场案例库!$A$6:$A$35,0)))&lt;&gt;1,"",INDEX(市场案例库!$G$6:$G$35,MATCH(C43,市场案例库!$A$6:$A$35,0)))),"不适用")</f>
        <v>90</v>
      </c>
      <c r="H43" s="19">
        <f>测算参数!$B$6</f>
        <v>100</v>
      </c>
      <c r="I43" s="19">
        <f>IF(OR(COUNTIFS(市场案例库!$A$6:$A$35,C43)&lt;&gt;1,AND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OR(COUNT(IF(COUNTIFS(资产清单!$A$6:$A$25,A43)&lt;&gt;1,"",IF(COUNT(INDEX(资产清单!$L$6:$L$25,MATCH(A43,资产清单!$A$6:$A$25,0)))&lt;&gt;1,"",INDEX(资产清单!$L$6:$L$25,MATCH(A43,资产清单!$A$6:$A$25,0)))),IF(COUNTIFS(市场案例库!$A$6:$A$35,C43)&lt;&gt;1,"",IF(COUNT(INDEX(市场案例库!$G$6:$G$35,MATCH(C43,市场案例库!$A$6:$A$35,0)))&lt;&gt;1,"",INDEX(市场案例库!$G$6:$G$35,MATCH(C43,市场案例库!$A$6:$A$35,0)))))&lt;&gt;2,IF(COUNTIFS(资产清单!$A$6:$A$25,A43)&lt;&gt;1,"",IF(COUNT(INDEX(资产清单!$L$6:$L$25,MATCH(A43,资产清单!$A$6:$A$25,0)))&lt;&gt;1,"",INDEX(资产清单!$L$6:$L$25,MATCH(A43,资产清单!$A$6:$A$25,0))))&lt;=0,IF(COUNTIFS(市场案例库!$A$6:$A$35,C43)&lt;&gt;1,"",IF(COUNT(INDEX(市场案例库!$G$6:$G$35,MATCH(C43,市场案例库!$A$6:$A$35,0)))&lt;&gt;1,"",INDEX(市场案例库!$G$6:$G$35,MATCH(C43,市场案例库!$A$6:$A$35,0))))&lt;=0))),"",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LOOKUP(IF(COUNTIFS(市场案例库!$A$6:$A$35,C43)&lt;&gt;1,"",IF(COUNT(INDEX(市场案例库!$G$6:$G$35,MATCH(C43,市场案例库!$A$6:$A$35,0)))&lt;&gt;1,"",INDEX(市场案例库!$G$6:$G$35,MATCH(C43,市场案例库!$A$6:$A$35,0))))/IF(COUNTIFS(资产清单!$A$6:$A$25,A43)&lt;&gt;1,"",IF(COUNT(INDEX(资产清单!$L$6:$L$25,MATCH(A43,资产清单!$A$6:$A$25,0)))&lt;&gt;1,"",INDEX(资产清单!$L$6:$L$25,MATCH(A43,资产清单!$A$6:$A$25,0)))),测算参数!$A$15:$A$21,测算参数!$C$15:$C$21),测算参数!$B$6))</f>
        <v>96</v>
      </c>
      <c r="J43" s="21">
        <f>IF(OR(C43&lt;&gt;N43,COUNT(H43:I43)&lt;&gt;2,H43&lt;=0,I43&lt;=0),"",IF(AND(IF(COUNTIFS(资产清单!$A$6:$A$25,A43)&lt;&gt;1,"",IF(INDEX(资产清单!$J$6:$J$25,MATCH(A43,资产清单!$A$6:$A$25,0))="","",INDEX(资产清单!$J$6:$J$25,MATCH(A43,资产清单!$A$6:$A$25,0))))="元/㎡/月",IF(COUNTIFS(资产清单!$A$6:$A$25,A43)&lt;&gt;1,"",IF(INDEX(资产清单!$H$6:$H$25,MATCH(A43,资产清单!$A$6:$A$25,0))="","",INDEX(资产清单!$H$6:$H$25,MATCH(A43,资产清单!$A$6:$A$25,0))))&lt;&gt;"场地"),H43/I43,H43/H43))</f>
        <v>1.0416666666666667</v>
      </c>
      <c r="K43" s="16" t="s">
        <v>210</v>
      </c>
      <c r="L43" s="16" t="s">
        <v>220</v>
      </c>
      <c r="M43" s="16" t="str">
        <f t="shared" si="0"/>
        <v>模拟评分记录完整</v>
      </c>
      <c r="N43" s="8" t="s">
        <v>151</v>
      </c>
    </row>
    <row r="44" spans="1:14" ht="46.05" customHeight="1">
      <c r="A44" s="16" t="s">
        <v>72</v>
      </c>
      <c r="B44" s="16">
        <v>3</v>
      </c>
      <c r="C44" s="17" t="str">
        <f>三案例选用!D6</f>
        <v>SC-003</v>
      </c>
      <c r="D44" s="16" t="s">
        <v>221</v>
      </c>
      <c r="E44" s="16" t="str">
        <f t="shared" ref="E44:E49" si="5">IF(TRUE,"适用","不适用采用100/100")</f>
        <v>适用</v>
      </c>
      <c r="F44" s="17" t="str">
        <f>IF(TRUE,IF(COUNTIFS(资产清单!$A$6:$A$25,A44)&lt;&gt;1,"",IF(INDEX(资产清单!$I$6:$I$25,MATCH(A44,资产清单!$A$6:$A$25,0))="","",INDEX(资产清单!$I$6:$I$25,MATCH(A44,资产清单!$A$6:$A$25,0)))),"不适用")</f>
        <v>临街商铺</v>
      </c>
      <c r="G44" s="17" t="str">
        <f>IF(TRUE,IF(COUNTIFS(市场案例库!$A$6:$A$35,C44)&lt;&gt;1,"",IF(INDEX(市场案例库!$O$6:$O$35,MATCH(C44,市场案例库!$A$6:$A$35,0))="","",INDEX(市场案例库!$O$6:$O$35,MATCH(C44,市场案例库!$A$6:$A$35,0)))),"不适用")</f>
        <v>临街商铺</v>
      </c>
      <c r="H44" s="19">
        <f>测算参数!$B$6</f>
        <v>100</v>
      </c>
      <c r="I44" s="10">
        <v>100</v>
      </c>
      <c r="J44" s="20">
        <f t="shared" ref="J44:J49" si="6">IF(OR(C44&lt;&gt;N44,COUNT(H44:I44)&lt;&gt;2,H44&lt;=0,I44&lt;=0),"",IF(TRUE,H44/I44,H44/H44))</f>
        <v>1</v>
      </c>
      <c r="K44" s="16" t="s">
        <v>210</v>
      </c>
      <c r="L44" s="16" t="s">
        <v>215</v>
      </c>
      <c r="M44" s="16" t="str">
        <f t="shared" si="0"/>
        <v>模拟评分记录完整</v>
      </c>
      <c r="N44" s="8" t="s">
        <v>151</v>
      </c>
    </row>
    <row r="45" spans="1:14" ht="46.05" customHeight="1">
      <c r="A45" s="16" t="s">
        <v>72</v>
      </c>
      <c r="B45" s="16">
        <v>3</v>
      </c>
      <c r="C45" s="17" t="str">
        <f>三案例选用!D6</f>
        <v>SC-003</v>
      </c>
      <c r="D45" s="16" t="s">
        <v>222</v>
      </c>
      <c r="E45" s="16" t="str">
        <f t="shared" si="5"/>
        <v>适用</v>
      </c>
      <c r="F45" s="17" t="str">
        <f>IF(TRUE,IF(COUNTIFS(资产清单!$A$6:$A$25,A45)&lt;&gt;1,"",IF(INDEX(资产清单!$I$6:$I$25,MATCH(A45,资产清单!$A$6:$A$25,0))="","",INDEX(资产清单!$I$6:$I$25,MATCH(A45,资产清单!$A$6:$A$25,0)))),"不适用")</f>
        <v>临街商铺</v>
      </c>
      <c r="G45" s="17" t="str">
        <f>IF(TRUE,IF(COUNTIFS(市场案例库!$A$6:$A$35,C45)&lt;&gt;1,"",IF(INDEX(市场案例库!$O$6:$O$35,MATCH(C45,市场案例库!$A$6:$A$35,0))="","",INDEX(市场案例库!$O$6:$O$35,MATCH(C45,市场案例库!$A$6:$A$35,0)))),"不适用")</f>
        <v>临街商铺</v>
      </c>
      <c r="H45" s="19">
        <f>测算参数!$B$6</f>
        <v>100</v>
      </c>
      <c r="I45" s="10">
        <v>99</v>
      </c>
      <c r="J45" s="20">
        <f t="shared" si="6"/>
        <v>1.0101010101010102</v>
      </c>
      <c r="K45" s="16" t="s">
        <v>210</v>
      </c>
      <c r="L45" s="16" t="s">
        <v>223</v>
      </c>
      <c r="M45" s="16" t="str">
        <f t="shared" si="0"/>
        <v>模拟评分记录完整</v>
      </c>
      <c r="N45" s="8" t="s">
        <v>151</v>
      </c>
    </row>
    <row r="46" spans="1:14" ht="46.05" customHeight="1">
      <c r="A46" s="16" t="s">
        <v>72</v>
      </c>
      <c r="B46" s="16">
        <v>3</v>
      </c>
      <c r="C46" s="17" t="str">
        <f>三案例选用!D6</f>
        <v>SC-003</v>
      </c>
      <c r="D46" s="16" t="s">
        <v>224</v>
      </c>
      <c r="E46" s="16" t="str">
        <f t="shared" si="5"/>
        <v>适用</v>
      </c>
      <c r="F46" s="17" t="str">
        <f>IF(TRUE,IF(COUNTIFS(资产清单!$A$6:$A$25,A46)&lt;&gt;1,"",IF(INDEX(资产清单!$I$6:$I$25,MATCH(A46,资产清单!$A$6:$A$25,0))="","",INDEX(资产清单!$I$6:$I$25,MATCH(A46,资产清单!$A$6:$A$25,0)))),"不适用")</f>
        <v>临街商铺</v>
      </c>
      <c r="G46" s="17" t="str">
        <f>IF(TRUE,IF(COUNTIFS(市场案例库!$A$6:$A$35,C46)&lt;&gt;1,"",IF(INDEX(市场案例库!$O$6:$O$35,MATCH(C46,市场案例库!$A$6:$A$35,0))="","",INDEX(市场案例库!$O$6:$O$35,MATCH(C46,市场案例库!$A$6:$A$35,0)))),"不适用")</f>
        <v>临街商铺</v>
      </c>
      <c r="H46" s="19">
        <f>测算参数!$B$6</f>
        <v>100</v>
      </c>
      <c r="I46" s="10">
        <v>100</v>
      </c>
      <c r="J46" s="20">
        <f t="shared" si="6"/>
        <v>1</v>
      </c>
      <c r="K46" s="16" t="s">
        <v>210</v>
      </c>
      <c r="L46" s="16" t="s">
        <v>215</v>
      </c>
      <c r="M46" s="16" t="str">
        <f t="shared" si="0"/>
        <v>模拟评分记录完整</v>
      </c>
      <c r="N46" s="8" t="s">
        <v>151</v>
      </c>
    </row>
    <row r="47" spans="1:14" ht="46.05" customHeight="1">
      <c r="A47" s="16" t="s">
        <v>72</v>
      </c>
      <c r="B47" s="16">
        <v>3</v>
      </c>
      <c r="C47" s="17" t="str">
        <f>三案例选用!D6</f>
        <v>SC-003</v>
      </c>
      <c r="D47" s="16" t="s">
        <v>225</v>
      </c>
      <c r="E47" s="16" t="str">
        <f t="shared" si="5"/>
        <v>适用</v>
      </c>
      <c r="F47" s="17" t="str">
        <f>IF(TRUE,IF(COUNTIFS(资产清单!$A$6:$A$25,A47)&lt;&gt;1,"",IF(INDEX(资产清单!$I$6:$I$25,MATCH(A47,资产清单!$A$6:$A$25,0))="","",INDEX(资产清单!$I$6:$I$25,MATCH(A47,资产清单!$A$6:$A$25,0)))),"不适用")</f>
        <v>临街商铺</v>
      </c>
      <c r="G47" s="17" t="str">
        <f>IF(TRUE,IF(COUNTIFS(市场案例库!$A$6:$A$35,C47)&lt;&gt;1,"",IF(INDEX(市场案例库!$O$6:$O$35,MATCH(C47,市场案例库!$A$6:$A$35,0))="","",INDEX(市场案例库!$O$6:$O$35,MATCH(C47,市场案例库!$A$6:$A$35,0)))),"不适用")</f>
        <v>临街商铺</v>
      </c>
      <c r="H47" s="19">
        <f>测算参数!$B$6</f>
        <v>100</v>
      </c>
      <c r="I47" s="10">
        <v>100</v>
      </c>
      <c r="J47" s="20">
        <f t="shared" si="6"/>
        <v>1</v>
      </c>
      <c r="K47" s="16" t="s">
        <v>210</v>
      </c>
      <c r="L47" s="16" t="s">
        <v>215</v>
      </c>
      <c r="M47" s="16" t="str">
        <f t="shared" si="0"/>
        <v>模拟评分记录完整</v>
      </c>
      <c r="N47" s="8" t="s">
        <v>151</v>
      </c>
    </row>
    <row r="48" spans="1:14" ht="46.05" customHeight="1">
      <c r="A48" s="16" t="s">
        <v>72</v>
      </c>
      <c r="B48" s="16">
        <v>3</v>
      </c>
      <c r="C48" s="17" t="str">
        <f>三案例选用!D6</f>
        <v>SC-003</v>
      </c>
      <c r="D48" s="16" t="s">
        <v>226</v>
      </c>
      <c r="E48" s="16" t="str">
        <f t="shared" si="5"/>
        <v>适用</v>
      </c>
      <c r="F48" s="17" t="str">
        <f>IF(TRUE,IF(COUNTIFS(资产清单!$A$6:$A$25,A48)&lt;&gt;1,"",IF(INDEX(资产清单!$I$6:$I$25,MATCH(A48,资产清单!$A$6:$A$25,0))="","",INDEX(资产清单!$I$6:$I$25,MATCH(A48,资产清单!$A$6:$A$25,0)))),"不适用")</f>
        <v>临街商铺</v>
      </c>
      <c r="G48" s="17" t="str">
        <f>IF(TRUE,IF(COUNTIFS(市场案例库!$A$6:$A$35,C48)&lt;&gt;1,"",IF(INDEX(市场案例库!$O$6:$O$35,MATCH(C48,市场案例库!$A$6:$A$35,0))="","",INDEX(市场案例库!$O$6:$O$35,MATCH(C48,市场案例库!$A$6:$A$35,0)))),"不适用")</f>
        <v>临街商铺</v>
      </c>
      <c r="H48" s="19">
        <f>测算参数!$B$6</f>
        <v>100</v>
      </c>
      <c r="I48" s="10">
        <v>100</v>
      </c>
      <c r="J48" s="20">
        <f t="shared" si="6"/>
        <v>1</v>
      </c>
      <c r="K48" s="16" t="s">
        <v>210</v>
      </c>
      <c r="L48" s="16" t="s">
        <v>215</v>
      </c>
      <c r="M48" s="16" t="str">
        <f t="shared" si="0"/>
        <v>模拟评分记录完整</v>
      </c>
      <c r="N48" s="8" t="s">
        <v>151</v>
      </c>
    </row>
    <row r="49" spans="1:14" ht="46.05" customHeight="1">
      <c r="A49" s="16" t="s">
        <v>72</v>
      </c>
      <c r="B49" s="16">
        <v>3</v>
      </c>
      <c r="C49" s="17" t="str">
        <f>三案例选用!D6</f>
        <v>SC-003</v>
      </c>
      <c r="D49" s="16" t="s">
        <v>227</v>
      </c>
      <c r="E49" s="16" t="str">
        <f t="shared" si="5"/>
        <v>适用</v>
      </c>
      <c r="F49" s="17" t="str">
        <f>IF(TRUE,IF(COUNTIFS(资产清单!$A$6:$A$25,A49)&lt;&gt;1,"",IF(INDEX(资产清单!$I$6:$I$25,MATCH(A49,资产清单!$A$6:$A$25,0))="","",INDEX(资产清单!$I$6:$I$25,MATCH(A49,资产清单!$A$6:$A$25,0)))),"不适用")</f>
        <v>临街商铺</v>
      </c>
      <c r="G49" s="17" t="str">
        <f>IF(TRUE,IF(COUNTIFS(市场案例库!$A$6:$A$35,C49)&lt;&gt;1,"",IF(INDEX(市场案例库!$O$6:$O$35,MATCH(C49,市场案例库!$A$6:$A$35,0))="","",INDEX(市场案例库!$O$6:$O$35,MATCH(C49,市场案例库!$A$6:$A$35,0)))),"不适用")</f>
        <v>临街商铺</v>
      </c>
      <c r="H49" s="19">
        <f>测算参数!$B$6</f>
        <v>100</v>
      </c>
      <c r="I49" s="10">
        <v>100</v>
      </c>
      <c r="J49" s="20">
        <f t="shared" si="6"/>
        <v>1</v>
      </c>
      <c r="K49" s="16" t="s">
        <v>210</v>
      </c>
      <c r="L49" s="16" t="s">
        <v>215</v>
      </c>
      <c r="M49" s="16" t="str">
        <f t="shared" si="0"/>
        <v>模拟评分记录完整</v>
      </c>
      <c r="N49" s="8" t="s">
        <v>151</v>
      </c>
    </row>
    <row r="50" spans="1:14" ht="46.05" customHeight="1">
      <c r="A50" s="16" t="s">
        <v>72</v>
      </c>
      <c r="B50" s="16">
        <v>3</v>
      </c>
      <c r="C50" s="17" t="str">
        <f>三案例选用!D6</f>
        <v>SC-003</v>
      </c>
      <c r="D50" s="16" t="s">
        <v>228</v>
      </c>
      <c r="E50" s="17" t="str">
        <f>IF(AND(IF(COUNTIFS(资产清单!$A$6:$A$25,A50)&lt;&gt;1,"",IF(INDEX(资产清单!$H$6:$H$25,MATCH(A50,资产清单!$A$6:$A$25,0))="","",INDEX(资产清单!$H$6:$H$25,MATCH(A50,资产清单!$A$6:$A$25,0))))&lt;&gt;"场地",IF(COUNTIFS(资产清单!$A$6:$A$25,A50)&lt;&gt;1,"",IF(INDEX(资产清单!$H$6:$H$25,MATCH(A50,资产清单!$A$6:$A$25,0))="","",INDEX(资产清单!$H$6:$H$25,MATCH(A50,资产清单!$A$6:$A$25,0))))&lt;&gt;"车位",IF(COUNTIFS(资产清单!$A$6:$A$25,A50)&lt;&gt;1,"",IF(INDEX(资产清单!$H$6:$H$25,MATCH(A50,资产清单!$A$6:$A$25,0))="","",INDEX(资产清单!$H$6:$H$25,MATCH(A50,资产清单!$A$6:$A$25,0))))&lt;&gt;"通信基站"),"适用","不适用采用100/100")</f>
        <v>适用</v>
      </c>
      <c r="F50" s="17" t="str">
        <f>IF(AND(IF(COUNTIFS(资产清单!$A$6:$A$25,A50)&lt;&gt;1,"",IF(INDEX(资产清单!$H$6:$H$25,MATCH(A50,资产清单!$A$6:$A$25,0))="","",INDEX(资产清单!$H$6:$H$25,MATCH(A50,资产清单!$A$6:$A$25,0))))&lt;&gt;"场地",IF(COUNTIFS(资产清单!$A$6:$A$25,A50)&lt;&gt;1,"",IF(INDEX(资产清单!$H$6:$H$25,MATCH(A50,资产清单!$A$6:$A$25,0))="","",INDEX(资产清单!$H$6:$H$25,MATCH(A50,资产清单!$A$6:$A$25,0))))&lt;&gt;"车位",IF(COUNTIFS(资产清单!$A$6:$A$25,A50)&lt;&gt;1,"",IF(INDEX(资产清单!$H$6:$H$25,MATCH(A50,资产清单!$A$6:$A$25,0))="","",INDEX(资产清单!$H$6:$H$25,MATCH(A50,资产清单!$A$6:$A$25,0))))&lt;&gt;"通信基站"),IF(COUNTIFS(资产清单!$A$6:$A$25,A50)&lt;&gt;1,"",IF(INDEX(资产清单!$I$6:$I$25,MATCH(A50,资产清单!$A$6:$A$25,0))="","",INDEX(资产清单!$I$6:$I$25,MATCH(A50,资产清单!$A$6:$A$25,0)))),"不适用")</f>
        <v>临街商铺</v>
      </c>
      <c r="G50" s="17" t="str">
        <f>IF(AND(IF(COUNTIFS(资产清单!$A$6:$A$25,A50)&lt;&gt;1,"",IF(INDEX(资产清单!$H$6:$H$25,MATCH(A50,资产清单!$A$6:$A$25,0))="","",INDEX(资产清单!$H$6:$H$25,MATCH(A50,资产清单!$A$6:$A$25,0))))&lt;&gt;"场地",IF(COUNTIFS(资产清单!$A$6:$A$25,A50)&lt;&gt;1,"",IF(INDEX(资产清单!$H$6:$H$25,MATCH(A50,资产清单!$A$6:$A$25,0))="","",INDEX(资产清单!$H$6:$H$25,MATCH(A50,资产清单!$A$6:$A$25,0))))&lt;&gt;"车位",IF(COUNTIFS(资产清单!$A$6:$A$25,A50)&lt;&gt;1,"",IF(INDEX(资产清单!$H$6:$H$25,MATCH(A50,资产清单!$A$6:$A$25,0))="","",INDEX(资产清单!$H$6:$H$25,MATCH(A50,资产清单!$A$6:$A$25,0))))&lt;&gt;"通信基站"),IF(COUNTIFS(市场案例库!$A$6:$A$35,C50)&lt;&gt;1,"",IF(INDEX(市场案例库!$O$6:$O$35,MATCH(C50,市场案例库!$A$6:$A$35,0))="","",INDEX(市场案例库!$O$6:$O$35,MATCH(C50,市场案例库!$A$6:$A$35,0)))),"不适用")</f>
        <v>临街商铺</v>
      </c>
      <c r="H50" s="19">
        <f>测算参数!$B$6</f>
        <v>100</v>
      </c>
      <c r="I50" s="10">
        <v>100</v>
      </c>
      <c r="J50" s="21">
        <f>IF(OR(C50&lt;&gt;N50,COUNT(H50:I50)&lt;&gt;2,H50&lt;=0,I50&lt;=0),"",IF(AND(IF(COUNTIFS(资产清单!$A$6:$A$25,A50)&lt;&gt;1,"",IF(INDEX(资产清单!$H$6:$H$25,MATCH(A50,资产清单!$A$6:$A$25,0))="","",INDEX(资产清单!$H$6:$H$25,MATCH(A50,资产清单!$A$6:$A$25,0))))&lt;&gt;"场地",IF(COUNTIFS(资产清单!$A$6:$A$25,A50)&lt;&gt;1,"",IF(INDEX(资产清单!$H$6:$H$25,MATCH(A50,资产清单!$A$6:$A$25,0))="","",INDEX(资产清单!$H$6:$H$25,MATCH(A50,资产清单!$A$6:$A$25,0))))&lt;&gt;"车位",IF(COUNTIFS(资产清单!$A$6:$A$25,A50)&lt;&gt;1,"",IF(INDEX(资产清单!$H$6:$H$25,MATCH(A50,资产清单!$A$6:$A$25,0))="","",INDEX(资产清单!$H$6:$H$25,MATCH(A50,资产清单!$A$6:$A$25,0))))&lt;&gt;"通信基站"),H50/I50,H50/H50))</f>
        <v>1</v>
      </c>
      <c r="K50" s="16" t="s">
        <v>210</v>
      </c>
      <c r="L50" s="16" t="s">
        <v>215</v>
      </c>
      <c r="M50" s="16" t="str">
        <f t="shared" si="0"/>
        <v>模拟评分记录完整</v>
      </c>
      <c r="N50" s="8" t="s">
        <v>151</v>
      </c>
    </row>
    <row r="51" spans="1:14" ht="46.05" customHeight="1">
      <c r="A51" s="16" t="s">
        <v>72</v>
      </c>
      <c r="B51" s="16">
        <v>3</v>
      </c>
      <c r="C51" s="17" t="str">
        <f>三案例选用!D6</f>
        <v>SC-003</v>
      </c>
      <c r="D51" s="16" t="s">
        <v>229</v>
      </c>
      <c r="E51" s="17" t="str">
        <f>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"适用","不适用采用100/100")</f>
        <v>适用</v>
      </c>
      <c r="F51" s="17">
        <f>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IF(COUNTIFS(资产清单!$A$6:$A$25,A51)&lt;&gt;1,"",IF(COUNT(INDEX(资产清单!$N$6:$N$25,MATCH(A51,资产清单!$A$6:$A$25,0)))&lt;&gt;1,"",INDEX(资产清单!$N$6:$N$25,MATCH(A51,资产清单!$A$6:$A$25,0)))),"不适用")</f>
        <v>2</v>
      </c>
      <c r="G51" s="17">
        <f>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IF(COUNTIFS(市场案例库!$A$6:$A$35,C51)&lt;&gt;1,"",IF(COUNT(INDEX(市场案例库!$I$6:$I$35,MATCH(C51,市场案例库!$A$6:$A$35,0)))&lt;&gt;1,"",INDEX(市场案例库!$I$6:$I$35,MATCH(C51,市场案例库!$A$6:$A$35,0)))),"不适用")</f>
        <v>2</v>
      </c>
      <c r="H51" s="19">
        <f>测算参数!$B$6</f>
        <v>100</v>
      </c>
      <c r="I51" s="19">
        <f>IF(OR(COUNTIFS(市场案例库!$A$6:$A$35,C51)&lt;&gt;1,AND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OR(COUNT(IF(COUNTIFS(资产清单!$A$6:$A$25,A51)&lt;&gt;1,"",IF(COUNT(INDEX(资产清单!$N$6:$N$25,MATCH(A51,资产清单!$A$6:$A$25,0)))&lt;&gt;1,"",INDEX(资产清单!$N$6:$N$25,MATCH(A51,资产清单!$A$6:$A$25,0)))),IF(COUNTIFS(市场案例库!$A$6:$A$35,C51)&lt;&gt;1,"",IF(COUNT(INDEX(市场案例库!$I$6:$I$35,MATCH(C51,市场案例库!$A$6:$A$35,0)))&lt;&gt;1,"",INDEX(市场案例库!$I$6:$I$35,MATCH(C51,市场案例库!$A$6:$A$35,0)))))&lt;&gt;2,IF(COUNTIFS(资产清单!$A$6:$A$25,A51)&lt;&gt;1,"",IF(COUNT(INDEX(资产清单!$N$6:$N$25,MATCH(A51,资产清单!$A$6:$A$25,0)))&lt;&gt;1,"",INDEX(资产清单!$N$6:$N$25,MATCH(A51,资产清单!$A$6:$A$25,0))))&lt;1,IF(COUNTIFS(资产清单!$A$6:$A$25,A51)&lt;&gt;1,"",IF(COUNT(INDEX(资产清单!$N$6:$N$25,MATCH(A51,资产清单!$A$6:$A$25,0)))&lt;&gt;1,"",INDEX(资产清单!$N$6:$N$25,MATCH(A51,资产清单!$A$6:$A$25,0))))&gt;4,IF(COUNTIFS(市场案例库!$A$6:$A$35,C51)&lt;&gt;1,"",IF(COUNT(INDEX(市场案例库!$I$6:$I$35,MATCH(C51,市场案例库!$A$6:$A$35,0)))&lt;&gt;1,"",INDEX(市场案例库!$I$6:$I$35,MATCH(C51,市场案例库!$A$6:$A$35,0))))&lt;1,IF(COUNTIFS(市场案例库!$A$6:$A$35,C51)&lt;&gt;1,"",IF(COUNT(INDEX(市场案例库!$I$6:$I$35,MATCH(C51,市场案例库!$A$6:$A$35,0)))&lt;&gt;1,"",INDEX(市场案例库!$I$6:$I$35,MATCH(C51,市场案例库!$A$6:$A$35,0))))&gt;4))),"",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INDEX(测算参数!$B$35:$B$41,MATCH(IF(COUNTIFS(市场案例库!$A$6:$A$35,C51)&lt;&gt;1,"",IF(COUNT(INDEX(市场案例库!$I$6:$I$35,MATCH(C51,市场案例库!$A$6:$A$35,0)))&lt;&gt;1,"",INDEX(市场案例库!$I$6:$I$35,MATCH(C51,市场案例库!$A$6:$A$35,0))))-IF(COUNTIFS(资产清单!$A$6:$A$25,A51)&lt;&gt;1,"",IF(COUNT(INDEX(资产清单!$N$6:$N$25,MATCH(A51,资产清单!$A$6:$A$25,0)))&lt;&gt;1,"",INDEX(资产清单!$N$6:$N$25,MATCH(A51,资产清单!$A$6:$A$25,0)))),测算参数!$A$35:$A$41,0)),测算参数!$B$6))</f>
        <v>100</v>
      </c>
      <c r="J51" s="21">
        <f>IF(OR(C51&lt;&gt;N51,COUNT(H51:I51)&lt;&gt;2,H51&lt;=0,I51&lt;=0),"",IF(AND(IF(COUNTIFS(资产清单!$A$6:$A$25,A51)&lt;&gt;1,"",IF(INDEX(资产清单!$H$6:$H$25,MATCH(A51,资产清单!$A$6:$A$25,0))="","",INDEX(资产清单!$H$6:$H$25,MATCH(A51,资产清单!$A$6:$A$25,0))))&lt;&gt;"场地",IF(COUNTIFS(资产清单!$A$6:$A$25,A51)&lt;&gt;1,"",IF(INDEX(资产清单!$H$6:$H$25,MATCH(A51,资产清单!$A$6:$A$25,0))="","",INDEX(资产清单!$H$6:$H$25,MATCH(A51,资产清单!$A$6:$A$25,0))))&lt;&gt;"车位",IF(COUNTIFS(资产清单!$A$6:$A$25,A51)&lt;&gt;1,"",IF(INDEX(资产清单!$H$6:$H$25,MATCH(A51,资产清单!$A$6:$A$25,0))="","",INDEX(资产清单!$H$6:$H$25,MATCH(A51,资产清单!$A$6:$A$25,0))))&lt;&gt;"通信基站"),H51/I51,H51/H51))</f>
        <v>1</v>
      </c>
      <c r="K51" s="16" t="s">
        <v>210</v>
      </c>
      <c r="L51" s="16" t="s">
        <v>230</v>
      </c>
      <c r="M51" s="16" t="str">
        <f t="shared" si="0"/>
        <v>模拟评分记录完整</v>
      </c>
      <c r="N51" s="8" t="s">
        <v>151</v>
      </c>
    </row>
    <row r="52" spans="1:14" ht="46.05" customHeight="1">
      <c r="A52" s="16" t="s">
        <v>72</v>
      </c>
      <c r="B52" s="16">
        <v>3</v>
      </c>
      <c r="C52" s="17" t="str">
        <f>三案例选用!D6</f>
        <v>SC-003</v>
      </c>
      <c r="D52" s="16" t="s">
        <v>231</v>
      </c>
      <c r="E52" s="17" t="str">
        <f>IF(AND(IF(COUNTIFS(资产清单!$A$6:$A$25,A52)&lt;&gt;1,"",IF(INDEX(资产清单!$H$6:$H$25,MATCH(A52,资产清单!$A$6:$A$25,0))="","",INDEX(资产清单!$H$6:$H$25,MATCH(A52,资产清单!$A$6:$A$25,0))))&lt;&gt;"场地",IF(COUNTIFS(资产清单!$A$6:$A$25,A52)&lt;&gt;1,"",IF(INDEX(资产清单!$H$6:$H$25,MATCH(A52,资产清单!$A$6:$A$25,0))="","",INDEX(资产清单!$H$6:$H$25,MATCH(A52,资产清单!$A$6:$A$25,0))))&lt;&gt;"车位",IF(COUNTIFS(资产清单!$A$6:$A$25,A52)&lt;&gt;1,"",IF(INDEX(资产清单!$H$6:$H$25,MATCH(A52,资产清单!$A$6:$A$25,0))="","",INDEX(资产清单!$H$6:$H$25,MATCH(A52,资产清单!$A$6:$A$25,0))))&lt;&gt;"通信基站"),"适用","不适用采用100/100")</f>
        <v>适用</v>
      </c>
      <c r="F52" s="17" t="str">
        <f>IF(AND(IF(COUNTIFS(资产清单!$A$6:$A$25,A52)&lt;&gt;1,"",IF(INDEX(资产清单!$H$6:$H$25,MATCH(A52,资产清单!$A$6:$A$25,0))="","",INDEX(资产清单!$H$6:$H$25,MATCH(A52,资产清单!$A$6:$A$25,0))))&lt;&gt;"场地",IF(COUNTIFS(资产清单!$A$6:$A$25,A52)&lt;&gt;1,"",IF(INDEX(资产清单!$H$6:$H$25,MATCH(A52,资产清单!$A$6:$A$25,0))="","",INDEX(资产清单!$H$6:$H$25,MATCH(A52,资产清单!$A$6:$A$25,0))))&lt;&gt;"车位",IF(COUNTIFS(资产清单!$A$6:$A$25,A52)&lt;&gt;1,"",IF(INDEX(资产清单!$H$6:$H$25,MATCH(A52,资产清单!$A$6:$A$25,0))="","",INDEX(资产清单!$H$6:$H$25,MATCH(A52,资产清单!$A$6:$A$25,0))))&lt;&gt;"通信基站"),IF(COUNTIFS(资产清单!$A$6:$A$25,A52)&lt;&gt;1,"",IF(INDEX(资产清单!$I$6:$I$25,MATCH(A52,资产清单!$A$6:$A$25,0))="","",INDEX(资产清单!$I$6:$I$25,MATCH(A52,资产清单!$A$6:$A$25,0)))),"不适用")</f>
        <v>临街商铺</v>
      </c>
      <c r="G52" s="17" t="str">
        <f>IF(AND(IF(COUNTIFS(资产清单!$A$6:$A$25,A52)&lt;&gt;1,"",IF(INDEX(资产清单!$H$6:$H$25,MATCH(A52,资产清单!$A$6:$A$25,0))="","",INDEX(资产清单!$H$6:$H$25,MATCH(A52,资产清单!$A$6:$A$25,0))))&lt;&gt;"场地",IF(COUNTIFS(资产清单!$A$6:$A$25,A52)&lt;&gt;1,"",IF(INDEX(资产清单!$H$6:$H$25,MATCH(A52,资产清单!$A$6:$A$25,0))="","",INDEX(资产清单!$H$6:$H$25,MATCH(A52,资产清单!$A$6:$A$25,0))))&lt;&gt;"车位",IF(COUNTIFS(资产清单!$A$6:$A$25,A52)&lt;&gt;1,"",IF(INDEX(资产清单!$H$6:$H$25,MATCH(A52,资产清单!$A$6:$A$25,0))="","",INDEX(资产清单!$H$6:$H$25,MATCH(A52,资产清单!$A$6:$A$25,0))))&lt;&gt;"通信基站"),IF(COUNTIFS(市场案例库!$A$6:$A$35,C52)&lt;&gt;1,"",IF(INDEX(市场案例库!$O$6:$O$35,MATCH(C52,市场案例库!$A$6:$A$35,0))="","",INDEX(市场案例库!$O$6:$O$35,MATCH(C52,市场案例库!$A$6:$A$35,0)))),"不适用")</f>
        <v>临街商铺</v>
      </c>
      <c r="H52" s="19">
        <f>测算参数!$B$6</f>
        <v>100</v>
      </c>
      <c r="I52" s="10">
        <v>100</v>
      </c>
      <c r="J52" s="21">
        <f>IF(OR(C52&lt;&gt;N52,COUNT(H52:I52)&lt;&gt;2,H52&lt;=0,I52&lt;=0),"",IF(AND(IF(COUNTIFS(资产清单!$A$6:$A$25,A52)&lt;&gt;1,"",IF(INDEX(资产清单!$H$6:$H$25,MATCH(A52,资产清单!$A$6:$A$25,0))="","",INDEX(资产清单!$H$6:$H$25,MATCH(A52,资产清单!$A$6:$A$25,0))))&lt;&gt;"场地",IF(COUNTIFS(资产清单!$A$6:$A$25,A52)&lt;&gt;1,"",IF(INDEX(资产清单!$H$6:$H$25,MATCH(A52,资产清单!$A$6:$A$25,0))="","",INDEX(资产清单!$H$6:$H$25,MATCH(A52,资产清单!$A$6:$A$25,0))))&lt;&gt;"车位",IF(COUNTIFS(资产清单!$A$6:$A$25,A52)&lt;&gt;1,"",IF(INDEX(资产清单!$H$6:$H$25,MATCH(A52,资产清单!$A$6:$A$25,0))="","",INDEX(资产清单!$H$6:$H$25,MATCH(A52,资产清单!$A$6:$A$25,0))))&lt;&gt;"通信基站"),H52/I52,H52/H52))</f>
        <v>1</v>
      </c>
      <c r="K52" s="16" t="s">
        <v>210</v>
      </c>
      <c r="L52" s="16" t="s">
        <v>215</v>
      </c>
      <c r="M52" s="16" t="str">
        <f t="shared" si="0"/>
        <v>模拟评分记录完整</v>
      </c>
      <c r="N52" s="8" t="s">
        <v>151</v>
      </c>
    </row>
    <row r="53" spans="1:14" ht="46.05" customHeight="1">
      <c r="A53" s="16" t="s">
        <v>72</v>
      </c>
      <c r="B53" s="16">
        <v>3</v>
      </c>
      <c r="C53" s="17" t="str">
        <f>三案例选用!D6</f>
        <v>SC-003</v>
      </c>
      <c r="D53" s="16" t="s">
        <v>232</v>
      </c>
      <c r="E53" s="16" t="str">
        <f>IF(TRUE,"适用","不适用采用100/100")</f>
        <v>适用</v>
      </c>
      <c r="F53" s="17" t="str">
        <f>IF(TRUE,IF(COUNTIFS(资产清单!$A$6:$A$25,A53)&lt;&gt;1,"",IF(INDEX(资产清单!$I$6:$I$25,MATCH(A53,资产清单!$A$6:$A$25,0))="","",INDEX(资产清单!$I$6:$I$25,MATCH(A53,资产清单!$A$6:$A$25,0)))),"不适用")</f>
        <v>临街商铺</v>
      </c>
      <c r="G53" s="17" t="str">
        <f>IF(TRUE,IF(COUNTIFS(市场案例库!$A$6:$A$35,C53)&lt;&gt;1,"",IF(INDEX(市场案例库!$O$6:$O$35,MATCH(C53,市场案例库!$A$6:$A$35,0))="","",INDEX(市场案例库!$O$6:$O$35,MATCH(C53,市场案例库!$A$6:$A$35,0)))),"不适用")</f>
        <v>临街商铺</v>
      </c>
      <c r="H53" s="19">
        <f>测算参数!$B$6</f>
        <v>100</v>
      </c>
      <c r="I53" s="10">
        <v>100</v>
      </c>
      <c r="J53" s="20">
        <f>IF(OR(C53&lt;&gt;N53,COUNT(H53:I53)&lt;&gt;2,H53&lt;=0,I53&lt;=0),"",IF(TRUE,H53/I53,H53/H53))</f>
        <v>1</v>
      </c>
      <c r="K53" s="16" t="s">
        <v>210</v>
      </c>
      <c r="L53" s="16" t="s">
        <v>215</v>
      </c>
      <c r="M53" s="16" t="str">
        <f t="shared" si="0"/>
        <v>模拟评分记录完整</v>
      </c>
      <c r="N53" s="8" t="s">
        <v>151</v>
      </c>
    </row>
    <row r="54" spans="1:14" ht="46.05" customHeight="1">
      <c r="A54" s="16" t="s">
        <v>74</v>
      </c>
      <c r="B54" s="16">
        <v>1</v>
      </c>
      <c r="C54" s="17" t="str">
        <f>三案例选用!B7</f>
        <v>SC-001</v>
      </c>
      <c r="D54" s="16" t="s">
        <v>209</v>
      </c>
      <c r="E54" s="16" t="str">
        <f>IF(TRUE,"适用","不适用采用100/100")</f>
        <v>适用</v>
      </c>
      <c r="F54" s="17" t="str">
        <f>IF(TRUE,IF(COUNTIFS(资产清单!$A$6:$A$25,A54)&lt;&gt;1,"",IF(INDEX(资产清单!$I$6:$I$25,MATCH(A54,资产清单!$A$6:$A$25,0))="","",INDEX(资产清单!$I$6:$I$25,MATCH(A54,资产清单!$A$6:$A$25,0)))),"不适用")</f>
        <v>临街商铺</v>
      </c>
      <c r="G54" s="17" t="str">
        <f>IF(TRUE,IF(COUNTIFS(市场案例库!$A$6:$A$35,C54)&lt;&gt;1,"",IF(INDEX(市场案例库!$O$6:$O$35,MATCH(C54,市场案例库!$A$6:$A$35,0))="","",INDEX(市场案例库!$O$6:$O$35,MATCH(C54,市场案例库!$A$6:$A$35,0)))),"不适用")</f>
        <v>临街商铺</v>
      </c>
      <c r="H54" s="19">
        <f>测算参数!$B$6</f>
        <v>100</v>
      </c>
      <c r="I54" s="19">
        <f>IF(OR(COUNTIFS(市场案例库!$A$6:$A$35,C54)&lt;&gt;1),"",IF(COUNTIFS(市场案例库!$A$6:$A$35,C54)&lt;&gt;1,"",IF(COUNT(INDEX(市场案例库!$M$6:$M$35,MATCH(C54,市场案例库!$A$6:$A$35,0)))&lt;&gt;1,"",INDEX(市场案例库!$M$6:$M$35,MATCH(C54,市场案例库!$A$6:$A$35,0)))))</f>
        <v>102</v>
      </c>
      <c r="J54" s="20">
        <f>IF(OR(C54&lt;&gt;N54,COUNT(H54:I54)&lt;&gt;2,H54&lt;=0,I54&lt;=0),"",IF(TRUE,H54/I54,H54/H54))</f>
        <v>0.98039215686274506</v>
      </c>
      <c r="K54" s="16" t="s">
        <v>233</v>
      </c>
      <c r="L54" s="16" t="s">
        <v>211</v>
      </c>
      <c r="M54" s="16" t="str">
        <f t="shared" si="0"/>
        <v>模拟评分记录完整</v>
      </c>
      <c r="N54" s="8" t="s">
        <v>149</v>
      </c>
    </row>
    <row r="55" spans="1:14" ht="46.05" customHeight="1">
      <c r="A55" s="16" t="s">
        <v>74</v>
      </c>
      <c r="B55" s="16">
        <v>1</v>
      </c>
      <c r="C55" s="17" t="str">
        <f>三案例选用!B7</f>
        <v>SC-001</v>
      </c>
      <c r="D55" s="16" t="s">
        <v>212</v>
      </c>
      <c r="E55" s="16" t="str">
        <f>IF(TRUE,"适用","不适用采用100/100")</f>
        <v>适用</v>
      </c>
      <c r="F55" s="17" t="str">
        <f>IF(TRUE,IF(COUNTIFS(资产清单!$A$6:$A$25,A55)&lt;&gt;1,"",IF(INDEX(资产清单!$I$6:$I$25,MATCH(A55,资产清单!$A$6:$A$25,0))="","",INDEX(资产清单!$I$6:$I$25,MATCH(A55,资产清单!$A$6:$A$25,0)))),"不适用")</f>
        <v>临街商铺</v>
      </c>
      <c r="G55" s="17" t="str">
        <f>IF(TRUE,IF(COUNTIFS(市场案例库!$A$6:$A$35,C55)&lt;&gt;1,"",IF(INDEX(市场案例库!$O$6:$O$35,MATCH(C55,市场案例库!$A$6:$A$35,0))="","",INDEX(市场案例库!$O$6:$O$35,MATCH(C55,市场案例库!$A$6:$A$35,0)))),"不适用")</f>
        <v>临街商铺</v>
      </c>
      <c r="H55" s="19">
        <f>测算参数!$B$6</f>
        <v>100</v>
      </c>
      <c r="I55" s="19">
        <f>IF(OR(COUNTIFS(市场案例库!$A$6:$A$35,C55)&lt;&gt;1),"",IF(COUNTIFS(市场案例库!$A$6:$A$35,C55)&lt;&gt;1,"",IF(COUNT(INDEX(市场案例库!$N$6:$N$35,MATCH(C55,市场案例库!$A$6:$A$35,0)))&lt;&gt;1,"",INDEX(市场案例库!$N$6:$N$35,MATCH(C55,市场案例库!$A$6:$A$35,0)))))</f>
        <v>100</v>
      </c>
      <c r="J55" s="20">
        <f>IF(OR(C55&lt;&gt;N55,COUNT(H55:I55)&lt;&gt;2,H55&lt;=0,I55&lt;=0),"",IF(TRUE,H55/I55,H55/H55))</f>
        <v>1</v>
      </c>
      <c r="K55" s="16" t="s">
        <v>233</v>
      </c>
      <c r="L55" s="16" t="s">
        <v>213</v>
      </c>
      <c r="M55" s="16" t="str">
        <f t="shared" si="0"/>
        <v>模拟评分记录完整</v>
      </c>
      <c r="N55" s="8" t="s">
        <v>149</v>
      </c>
    </row>
    <row r="56" spans="1:14" ht="46.05" customHeight="1">
      <c r="A56" s="16" t="s">
        <v>74</v>
      </c>
      <c r="B56" s="16">
        <v>1</v>
      </c>
      <c r="C56" s="17" t="str">
        <f>三案例选用!B7</f>
        <v>SC-001</v>
      </c>
      <c r="D56" s="16" t="s">
        <v>214</v>
      </c>
      <c r="E56" s="16" t="str">
        <f>IF(TRUE,"适用","不适用采用100/100")</f>
        <v>适用</v>
      </c>
      <c r="F56" s="17" t="str">
        <f>IF(TRUE,IF(COUNTIFS(资产清单!$A$6:$A$25,A56)&lt;&gt;1,"",IF(INDEX(资产清单!$I$6:$I$25,MATCH(A56,资产清单!$A$6:$A$25,0))="","",INDEX(资产清单!$I$6:$I$25,MATCH(A56,资产清单!$A$6:$A$25,0)))),"不适用")</f>
        <v>临街商铺</v>
      </c>
      <c r="G56" s="17" t="str">
        <f>IF(TRUE,IF(COUNTIFS(市场案例库!$A$6:$A$35,C56)&lt;&gt;1,"",IF(INDEX(市场案例库!$O$6:$O$35,MATCH(C56,市场案例库!$A$6:$A$35,0))="","",INDEX(市场案例库!$O$6:$O$35,MATCH(C56,市场案例库!$A$6:$A$35,0)))),"不适用")</f>
        <v>临街商铺</v>
      </c>
      <c r="H56" s="19">
        <f>测算参数!$B$6</f>
        <v>100</v>
      </c>
      <c r="I56" s="10">
        <v>100</v>
      </c>
      <c r="J56" s="20">
        <f>IF(OR(C56&lt;&gt;N56,COUNT(H56:I56)&lt;&gt;2,H56&lt;=0,I56&lt;=0),"",IF(TRUE,H56/I56,H56/H56))</f>
        <v>1</v>
      </c>
      <c r="K56" s="16" t="s">
        <v>233</v>
      </c>
      <c r="L56" s="16" t="s">
        <v>215</v>
      </c>
      <c r="M56" s="16" t="str">
        <f t="shared" si="0"/>
        <v>模拟评分记录完整</v>
      </c>
      <c r="N56" s="8" t="s">
        <v>149</v>
      </c>
    </row>
    <row r="57" spans="1:14" ht="46.05" customHeight="1">
      <c r="A57" s="16" t="s">
        <v>74</v>
      </c>
      <c r="B57" s="16">
        <v>1</v>
      </c>
      <c r="C57" s="17" t="str">
        <f>三案例选用!B7</f>
        <v>SC-001</v>
      </c>
      <c r="D57" s="16" t="s">
        <v>216</v>
      </c>
      <c r="E57" s="16" t="str">
        <f>IF(TRUE,"适用","不适用采用100/100")</f>
        <v>适用</v>
      </c>
      <c r="F57" s="17" t="str">
        <f>IF(TRUE,IF(COUNTIFS(资产清单!$A$6:$A$25,A57)&lt;&gt;1,"",IF(INDEX(资产清单!$I$6:$I$25,MATCH(A57,资产清单!$A$6:$A$25,0))="","",INDEX(资产清单!$I$6:$I$25,MATCH(A57,资产清单!$A$6:$A$25,0)))),"不适用")</f>
        <v>临街商铺</v>
      </c>
      <c r="G57" s="17" t="str">
        <f>IF(TRUE,IF(COUNTIFS(市场案例库!$A$6:$A$35,C57)&lt;&gt;1,"",IF(INDEX(市场案例库!$O$6:$O$35,MATCH(C57,市场案例库!$A$6:$A$35,0))="","",INDEX(市场案例库!$O$6:$O$35,MATCH(C57,市场案例库!$A$6:$A$35,0)))),"不适用")</f>
        <v>临街商铺</v>
      </c>
      <c r="H57" s="19">
        <f>测算参数!$B$6</f>
        <v>100</v>
      </c>
      <c r="I57" s="10">
        <v>100</v>
      </c>
      <c r="J57" s="20">
        <f>IF(OR(C57&lt;&gt;N57,COUNT(H57:I57)&lt;&gt;2,H57&lt;=0,I57&lt;=0),"",IF(TRUE,H57/I57,H57/H57))</f>
        <v>1</v>
      </c>
      <c r="K57" s="16" t="s">
        <v>233</v>
      </c>
      <c r="L57" s="16" t="s">
        <v>215</v>
      </c>
      <c r="M57" s="16" t="str">
        <f t="shared" si="0"/>
        <v>模拟评分记录完整</v>
      </c>
      <c r="N57" s="8" t="s">
        <v>149</v>
      </c>
    </row>
    <row r="58" spans="1:14" ht="46.05" customHeight="1">
      <c r="A58" s="16" t="s">
        <v>74</v>
      </c>
      <c r="B58" s="16">
        <v>1</v>
      </c>
      <c r="C58" s="17" t="str">
        <f>三案例选用!B7</f>
        <v>SC-001</v>
      </c>
      <c r="D58" s="16" t="s">
        <v>217</v>
      </c>
      <c r="E58" s="17" t="str">
        <f>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"适用","不适用采用100/100")</f>
        <v>适用</v>
      </c>
      <c r="F58" s="17">
        <f>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IF(COUNTIFS(资产清单!$A$6:$A$25,A58)&lt;&gt;1,"",IF(COUNT(INDEX(资产清单!$M$6:$M$25,MATCH(A58,资产清单!$A$6:$A$25,0)))&lt;&gt;1,"",INDEX(资产清单!$M$6:$M$25,MATCH(A58,资产清单!$A$6:$A$25,0)))),"不适用")</f>
        <v>1</v>
      </c>
      <c r="G58" s="17">
        <f>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IF(COUNTIFS(市场案例库!$A$6:$A$35,C58)&lt;&gt;1,"",IF(COUNT(INDEX(市场案例库!$H$6:$H$35,MATCH(C58,市场案例库!$A$6:$A$35,0)))&lt;&gt;1,"",INDEX(市场案例库!$H$6:$H$35,MATCH(C58,市场案例库!$A$6:$A$35,0)))),"不适用")</f>
        <v>1</v>
      </c>
      <c r="H58" s="19">
        <f>测算参数!$B$6</f>
        <v>100</v>
      </c>
      <c r="I58" s="19">
        <f>IF(OR(COUNTIFS(市场案例库!$A$6:$A$35,C58)&lt;&gt;1,AND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COUNT(IF(COUNTIFS(资产清单!$A$6:$A$25,A58)&lt;&gt;1,"",IF(COUNT(INDEX(资产清单!$M$6:$M$25,MATCH(A58,资产清单!$A$6:$A$25,0)))&lt;&gt;1,"",INDEX(资产清单!$M$6:$M$25,MATCH(A58,资产清单!$A$6:$A$25,0)))),IF(COUNTIFS(市场案例库!$A$6:$A$35,C58)&lt;&gt;1,"",IF(COUNT(INDEX(市场案例库!$H$6:$H$35,MATCH(C58,市场案例库!$A$6:$A$35,0)))&lt;&gt;1,"",INDEX(市场案例库!$H$6:$H$35,MATCH(C58,市场案例库!$A$6:$A$35,0)))))&lt;&gt;2)),"",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INDEX(测算参数!$B$25:$B$31,MATCH(MAX(-测算参数!$B$11,MIN(测算参数!$B$11,IF(COUNTIFS(资产清单!$A$6:$A$25,A58)&lt;&gt;1,"",IF(COUNT(INDEX(资产清单!$M$6:$M$25,MATCH(A58,资产清单!$A$6:$A$25,0)))&lt;&gt;1,"",INDEX(资产清单!$M$6:$M$25,MATCH(A58,资产清单!$A$6:$A$25,0))))-IF(COUNTIFS(市场案例库!$A$6:$A$35,C58)&lt;&gt;1,"",IF(COUNT(INDEX(市场案例库!$H$6:$H$35,MATCH(C58,市场案例库!$A$6:$A$35,0)))&lt;&gt;1,"",INDEX(市场案例库!$H$6:$H$35,MATCH(C58,市场案例库!$A$6:$A$35,0)))))),测算参数!$A$25:$A$31,0)),测算参数!$B$6))</f>
        <v>100</v>
      </c>
      <c r="J58" s="21">
        <f>IF(OR(C58&lt;&gt;N58,COUNT(H58:I58)&lt;&gt;2,H58&lt;=0,I58&lt;=0),"",IF(OR(IF(COUNTIFS(资产清单!$A$6:$A$25,A58)&lt;&gt;1,"",IF(INDEX(资产清单!$H$6:$H$25,MATCH(A58,资产清单!$A$6:$A$25,0))="","",INDEX(资产清单!$H$6:$H$25,MATCH(A58,资产清单!$A$6:$A$25,0))))="商业",IF(COUNTIFS(资产清单!$A$6:$A$25,A58)&lt;&gt;1,"",IF(INDEX(资产清单!$H$6:$H$25,MATCH(A58,资产清单!$A$6:$A$25,0))="","",INDEX(资产清单!$H$6:$H$25,MATCH(A58,资产清单!$A$6:$A$25,0))))="办公",IF(COUNTIFS(资产清单!$A$6:$A$25,A58)&lt;&gt;1,"",IF(INDEX(资产清单!$H$6:$H$25,MATCH(A58,资产清单!$A$6:$A$25,0))="","",INDEX(资产清单!$H$6:$H$25,MATCH(A58,资产清单!$A$6:$A$25,0))))="住宅"),H58/I58,H58/H58))</f>
        <v>1</v>
      </c>
      <c r="K58" s="16" t="s">
        <v>233</v>
      </c>
      <c r="L58" s="16" t="s">
        <v>218</v>
      </c>
      <c r="M58" s="16" t="str">
        <f t="shared" si="0"/>
        <v>模拟评分记录完整</v>
      </c>
      <c r="N58" s="8" t="s">
        <v>149</v>
      </c>
    </row>
    <row r="59" spans="1:14" ht="46.05" customHeight="1">
      <c r="A59" s="16" t="s">
        <v>74</v>
      </c>
      <c r="B59" s="16">
        <v>1</v>
      </c>
      <c r="C59" s="17" t="str">
        <f>三案例选用!B7</f>
        <v>SC-001</v>
      </c>
      <c r="D59" s="16" t="s">
        <v>219</v>
      </c>
      <c r="E59" s="17" t="str">
        <f>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"适用","不适用采用100/100")</f>
        <v>适用</v>
      </c>
      <c r="F59" s="17">
        <f>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IF(COUNTIFS(资产清单!$A$6:$A$25,A59)&lt;&gt;1,"",IF(COUNT(INDEX(资产清单!$L$6:$L$25,MATCH(A59,资产清单!$A$6:$A$25,0)))&lt;&gt;1,"",INDEX(资产清单!$L$6:$L$25,MATCH(A59,资产清单!$A$6:$A$25,0)))),"不适用")</f>
        <v>110</v>
      </c>
      <c r="G59" s="17">
        <f>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IF(COUNTIFS(市场案例库!$A$6:$A$35,C59)&lt;&gt;1,"",IF(COUNT(INDEX(市场案例库!$G$6:$G$35,MATCH(C59,市场案例库!$A$6:$A$35,0)))&lt;&gt;1,"",INDEX(市场案例库!$G$6:$G$35,MATCH(C59,市场案例库!$A$6:$A$35,0)))),"不适用")</f>
        <v>44</v>
      </c>
      <c r="H59" s="19">
        <f>测算参数!$B$6</f>
        <v>100</v>
      </c>
      <c r="I59" s="19">
        <f>IF(OR(COUNTIFS(市场案例库!$A$6:$A$35,C59)&lt;&gt;1,AND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OR(COUNT(IF(COUNTIFS(资产清单!$A$6:$A$25,A59)&lt;&gt;1,"",IF(COUNT(INDEX(资产清单!$L$6:$L$25,MATCH(A59,资产清单!$A$6:$A$25,0)))&lt;&gt;1,"",INDEX(资产清单!$L$6:$L$25,MATCH(A59,资产清单!$A$6:$A$25,0)))),IF(COUNTIFS(市场案例库!$A$6:$A$35,C59)&lt;&gt;1,"",IF(COUNT(INDEX(市场案例库!$G$6:$G$35,MATCH(C59,市场案例库!$A$6:$A$35,0)))&lt;&gt;1,"",INDEX(市场案例库!$G$6:$G$35,MATCH(C59,市场案例库!$A$6:$A$35,0)))))&lt;&gt;2,IF(COUNTIFS(资产清单!$A$6:$A$25,A59)&lt;&gt;1,"",IF(COUNT(INDEX(资产清单!$L$6:$L$25,MATCH(A59,资产清单!$A$6:$A$25,0)))&lt;&gt;1,"",INDEX(资产清单!$L$6:$L$25,MATCH(A59,资产清单!$A$6:$A$25,0))))&lt;=0,IF(COUNTIFS(市场案例库!$A$6:$A$35,C59)&lt;&gt;1,"",IF(COUNT(INDEX(市场案例库!$G$6:$G$35,MATCH(C59,市场案例库!$A$6:$A$35,0)))&lt;&gt;1,"",INDEX(市场案例库!$G$6:$G$35,MATCH(C59,市场案例库!$A$6:$A$35,0))))&lt;=0))),"",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LOOKUP(IF(COUNTIFS(市场案例库!$A$6:$A$35,C59)&lt;&gt;1,"",IF(COUNT(INDEX(市场案例库!$G$6:$G$35,MATCH(C59,市场案例库!$A$6:$A$35,0)))&lt;&gt;1,"",INDEX(市场案例库!$G$6:$G$35,MATCH(C59,市场案例库!$A$6:$A$35,0))))/IF(COUNTIFS(资产清单!$A$6:$A$25,A59)&lt;&gt;1,"",IF(COUNT(INDEX(资产清单!$L$6:$L$25,MATCH(A59,资产清单!$A$6:$A$25,0)))&lt;&gt;1,"",INDEX(资产清单!$L$6:$L$25,MATCH(A59,资产清单!$A$6:$A$25,0)))),测算参数!$A$15:$A$21,测算参数!$C$15:$C$21),测算参数!$B$6))</f>
        <v>105</v>
      </c>
      <c r="J59" s="21">
        <f>IF(OR(C59&lt;&gt;N59,COUNT(H59:I59)&lt;&gt;2,H59&lt;=0,I59&lt;=0),"",IF(AND(IF(COUNTIFS(资产清单!$A$6:$A$25,A59)&lt;&gt;1,"",IF(INDEX(资产清单!$J$6:$J$25,MATCH(A59,资产清单!$A$6:$A$25,0))="","",INDEX(资产清单!$J$6:$J$25,MATCH(A59,资产清单!$A$6:$A$25,0))))="元/㎡/月",IF(COUNTIFS(资产清单!$A$6:$A$25,A59)&lt;&gt;1,"",IF(INDEX(资产清单!$H$6:$H$25,MATCH(A59,资产清单!$A$6:$A$25,0))="","",INDEX(资产清单!$H$6:$H$25,MATCH(A59,资产清单!$A$6:$A$25,0))))&lt;&gt;"场地"),H59/I59,H59/H59))</f>
        <v>0.95238095238095233</v>
      </c>
      <c r="K59" s="16" t="s">
        <v>233</v>
      </c>
      <c r="L59" s="16" t="s">
        <v>220</v>
      </c>
      <c r="M59" s="16" t="str">
        <f t="shared" si="0"/>
        <v>模拟评分记录完整</v>
      </c>
      <c r="N59" s="8" t="s">
        <v>149</v>
      </c>
    </row>
    <row r="60" spans="1:14" ht="46.05" customHeight="1">
      <c r="A60" s="16" t="s">
        <v>74</v>
      </c>
      <c r="B60" s="16">
        <v>1</v>
      </c>
      <c r="C60" s="17" t="str">
        <f>三案例选用!B7</f>
        <v>SC-001</v>
      </c>
      <c r="D60" s="16" t="s">
        <v>221</v>
      </c>
      <c r="E60" s="16" t="str">
        <f t="shared" ref="E60:E65" si="7">IF(TRUE,"适用","不适用采用100/100")</f>
        <v>适用</v>
      </c>
      <c r="F60" s="17" t="str">
        <f>IF(TRUE,IF(COUNTIFS(资产清单!$A$6:$A$25,A60)&lt;&gt;1,"",IF(INDEX(资产清单!$I$6:$I$25,MATCH(A60,资产清单!$A$6:$A$25,0))="","",INDEX(资产清单!$I$6:$I$25,MATCH(A60,资产清单!$A$6:$A$25,0)))),"不适用")</f>
        <v>临街商铺</v>
      </c>
      <c r="G60" s="17" t="str">
        <f>IF(TRUE,IF(COUNTIFS(市场案例库!$A$6:$A$35,C60)&lt;&gt;1,"",IF(INDEX(市场案例库!$O$6:$O$35,MATCH(C60,市场案例库!$A$6:$A$35,0))="","",INDEX(市场案例库!$O$6:$O$35,MATCH(C60,市场案例库!$A$6:$A$35,0)))),"不适用")</f>
        <v>临街商铺</v>
      </c>
      <c r="H60" s="19">
        <f>测算参数!$B$6</f>
        <v>100</v>
      </c>
      <c r="I60" s="10">
        <v>100</v>
      </c>
      <c r="J60" s="20">
        <f t="shared" ref="J60:J65" si="8">IF(OR(C60&lt;&gt;N60,COUNT(H60:I60)&lt;&gt;2,H60&lt;=0,I60&lt;=0),"",IF(TRUE,H60/I60,H60/H60))</f>
        <v>1</v>
      </c>
      <c r="K60" s="16" t="s">
        <v>233</v>
      </c>
      <c r="L60" s="16" t="s">
        <v>215</v>
      </c>
      <c r="M60" s="16" t="str">
        <f t="shared" si="0"/>
        <v>模拟评分记录完整</v>
      </c>
      <c r="N60" s="8" t="s">
        <v>149</v>
      </c>
    </row>
    <row r="61" spans="1:14" ht="46.05" customHeight="1">
      <c r="A61" s="16" t="s">
        <v>74</v>
      </c>
      <c r="B61" s="16">
        <v>1</v>
      </c>
      <c r="C61" s="17" t="str">
        <f>三案例选用!B7</f>
        <v>SC-001</v>
      </c>
      <c r="D61" s="16" t="s">
        <v>222</v>
      </c>
      <c r="E61" s="16" t="str">
        <f t="shared" si="7"/>
        <v>适用</v>
      </c>
      <c r="F61" s="17" t="str">
        <f>IF(TRUE,IF(COUNTIFS(资产清单!$A$6:$A$25,A61)&lt;&gt;1,"",IF(INDEX(资产清单!$I$6:$I$25,MATCH(A61,资产清单!$A$6:$A$25,0))="","",INDEX(资产清单!$I$6:$I$25,MATCH(A61,资产清单!$A$6:$A$25,0)))),"不适用")</f>
        <v>临街商铺</v>
      </c>
      <c r="G61" s="17" t="str">
        <f>IF(TRUE,IF(COUNTIFS(市场案例库!$A$6:$A$35,C61)&lt;&gt;1,"",IF(INDEX(市场案例库!$O$6:$O$35,MATCH(C61,市场案例库!$A$6:$A$35,0))="","",INDEX(市场案例库!$O$6:$O$35,MATCH(C61,市场案例库!$A$6:$A$35,0)))),"不适用")</f>
        <v>临街商铺</v>
      </c>
      <c r="H61" s="19">
        <f>测算参数!$B$6</f>
        <v>100</v>
      </c>
      <c r="I61" s="10">
        <v>100</v>
      </c>
      <c r="J61" s="20">
        <f t="shared" si="8"/>
        <v>1</v>
      </c>
      <c r="K61" s="16" t="s">
        <v>233</v>
      </c>
      <c r="L61" s="16" t="s">
        <v>215</v>
      </c>
      <c r="M61" s="16" t="str">
        <f t="shared" si="0"/>
        <v>模拟评分记录完整</v>
      </c>
      <c r="N61" s="8" t="s">
        <v>149</v>
      </c>
    </row>
    <row r="62" spans="1:14" ht="46.05" customHeight="1">
      <c r="A62" s="16" t="s">
        <v>74</v>
      </c>
      <c r="B62" s="16">
        <v>1</v>
      </c>
      <c r="C62" s="17" t="str">
        <f>三案例选用!B7</f>
        <v>SC-001</v>
      </c>
      <c r="D62" s="16" t="s">
        <v>224</v>
      </c>
      <c r="E62" s="16" t="str">
        <f t="shared" si="7"/>
        <v>适用</v>
      </c>
      <c r="F62" s="17" t="str">
        <f>IF(TRUE,IF(COUNTIFS(资产清单!$A$6:$A$25,A62)&lt;&gt;1,"",IF(INDEX(资产清单!$I$6:$I$25,MATCH(A62,资产清单!$A$6:$A$25,0))="","",INDEX(资产清单!$I$6:$I$25,MATCH(A62,资产清单!$A$6:$A$25,0)))),"不适用")</f>
        <v>临街商铺</v>
      </c>
      <c r="G62" s="17" t="str">
        <f>IF(TRUE,IF(COUNTIFS(市场案例库!$A$6:$A$35,C62)&lt;&gt;1,"",IF(INDEX(市场案例库!$O$6:$O$35,MATCH(C62,市场案例库!$A$6:$A$35,0))="","",INDEX(市场案例库!$O$6:$O$35,MATCH(C62,市场案例库!$A$6:$A$35,0)))),"不适用")</f>
        <v>临街商铺</v>
      </c>
      <c r="H62" s="19">
        <f>测算参数!$B$6</f>
        <v>100</v>
      </c>
      <c r="I62" s="10">
        <v>100</v>
      </c>
      <c r="J62" s="20">
        <f t="shared" si="8"/>
        <v>1</v>
      </c>
      <c r="K62" s="16" t="s">
        <v>233</v>
      </c>
      <c r="L62" s="16" t="s">
        <v>215</v>
      </c>
      <c r="M62" s="16" t="str">
        <f t="shared" si="0"/>
        <v>模拟评分记录完整</v>
      </c>
      <c r="N62" s="8" t="s">
        <v>149</v>
      </c>
    </row>
    <row r="63" spans="1:14" ht="46.05" customHeight="1">
      <c r="A63" s="16" t="s">
        <v>74</v>
      </c>
      <c r="B63" s="16">
        <v>1</v>
      </c>
      <c r="C63" s="17" t="str">
        <f>三案例选用!B7</f>
        <v>SC-001</v>
      </c>
      <c r="D63" s="16" t="s">
        <v>225</v>
      </c>
      <c r="E63" s="16" t="str">
        <f t="shared" si="7"/>
        <v>适用</v>
      </c>
      <c r="F63" s="17" t="str">
        <f>IF(TRUE,IF(COUNTIFS(资产清单!$A$6:$A$25,A63)&lt;&gt;1,"",IF(INDEX(资产清单!$I$6:$I$25,MATCH(A63,资产清单!$A$6:$A$25,0))="","",INDEX(资产清单!$I$6:$I$25,MATCH(A63,资产清单!$A$6:$A$25,0)))),"不适用")</f>
        <v>临街商铺</v>
      </c>
      <c r="G63" s="17" t="str">
        <f>IF(TRUE,IF(COUNTIFS(市场案例库!$A$6:$A$35,C63)&lt;&gt;1,"",IF(INDEX(市场案例库!$O$6:$O$35,MATCH(C63,市场案例库!$A$6:$A$35,0))="","",INDEX(市场案例库!$O$6:$O$35,MATCH(C63,市场案例库!$A$6:$A$35,0)))),"不适用")</f>
        <v>临街商铺</v>
      </c>
      <c r="H63" s="19">
        <f>测算参数!$B$6</f>
        <v>100</v>
      </c>
      <c r="I63" s="10">
        <v>100</v>
      </c>
      <c r="J63" s="20">
        <f t="shared" si="8"/>
        <v>1</v>
      </c>
      <c r="K63" s="16" t="s">
        <v>233</v>
      </c>
      <c r="L63" s="16" t="s">
        <v>215</v>
      </c>
      <c r="M63" s="16" t="str">
        <f t="shared" si="0"/>
        <v>模拟评分记录完整</v>
      </c>
      <c r="N63" s="8" t="s">
        <v>149</v>
      </c>
    </row>
    <row r="64" spans="1:14" ht="46.05" customHeight="1">
      <c r="A64" s="16" t="s">
        <v>74</v>
      </c>
      <c r="B64" s="16">
        <v>1</v>
      </c>
      <c r="C64" s="17" t="str">
        <f>三案例选用!B7</f>
        <v>SC-001</v>
      </c>
      <c r="D64" s="16" t="s">
        <v>226</v>
      </c>
      <c r="E64" s="16" t="str">
        <f t="shared" si="7"/>
        <v>适用</v>
      </c>
      <c r="F64" s="17" t="str">
        <f>IF(TRUE,IF(COUNTIFS(资产清单!$A$6:$A$25,A64)&lt;&gt;1,"",IF(INDEX(资产清单!$I$6:$I$25,MATCH(A64,资产清单!$A$6:$A$25,0))="","",INDEX(资产清单!$I$6:$I$25,MATCH(A64,资产清单!$A$6:$A$25,0)))),"不适用")</f>
        <v>临街商铺</v>
      </c>
      <c r="G64" s="17" t="str">
        <f>IF(TRUE,IF(COUNTIFS(市场案例库!$A$6:$A$35,C64)&lt;&gt;1,"",IF(INDEX(市场案例库!$O$6:$O$35,MATCH(C64,市场案例库!$A$6:$A$35,0))="","",INDEX(市场案例库!$O$6:$O$35,MATCH(C64,市场案例库!$A$6:$A$35,0)))),"不适用")</f>
        <v>临街商铺</v>
      </c>
      <c r="H64" s="19">
        <f>测算参数!$B$6</f>
        <v>100</v>
      </c>
      <c r="I64" s="10">
        <v>100</v>
      </c>
      <c r="J64" s="20">
        <f t="shared" si="8"/>
        <v>1</v>
      </c>
      <c r="K64" s="16" t="s">
        <v>233</v>
      </c>
      <c r="L64" s="16" t="s">
        <v>215</v>
      </c>
      <c r="M64" s="16" t="str">
        <f t="shared" si="0"/>
        <v>模拟评分记录完整</v>
      </c>
      <c r="N64" s="8" t="s">
        <v>149</v>
      </c>
    </row>
    <row r="65" spans="1:14" ht="46.05" customHeight="1">
      <c r="A65" s="16" t="s">
        <v>74</v>
      </c>
      <c r="B65" s="16">
        <v>1</v>
      </c>
      <c r="C65" s="17" t="str">
        <f>三案例选用!B7</f>
        <v>SC-001</v>
      </c>
      <c r="D65" s="16" t="s">
        <v>227</v>
      </c>
      <c r="E65" s="16" t="str">
        <f t="shared" si="7"/>
        <v>适用</v>
      </c>
      <c r="F65" s="17" t="str">
        <f>IF(TRUE,IF(COUNTIFS(资产清单!$A$6:$A$25,A65)&lt;&gt;1,"",IF(INDEX(资产清单!$I$6:$I$25,MATCH(A65,资产清单!$A$6:$A$25,0))="","",INDEX(资产清单!$I$6:$I$25,MATCH(A65,资产清单!$A$6:$A$25,0)))),"不适用")</f>
        <v>临街商铺</v>
      </c>
      <c r="G65" s="17" t="str">
        <f>IF(TRUE,IF(COUNTIFS(市场案例库!$A$6:$A$35,C65)&lt;&gt;1,"",IF(INDEX(市场案例库!$O$6:$O$35,MATCH(C65,市场案例库!$A$6:$A$35,0))="","",INDEX(市场案例库!$O$6:$O$35,MATCH(C65,市场案例库!$A$6:$A$35,0)))),"不适用")</f>
        <v>临街商铺</v>
      </c>
      <c r="H65" s="19">
        <f>测算参数!$B$6</f>
        <v>100</v>
      </c>
      <c r="I65" s="10">
        <v>100</v>
      </c>
      <c r="J65" s="20">
        <f t="shared" si="8"/>
        <v>1</v>
      </c>
      <c r="K65" s="16" t="s">
        <v>233</v>
      </c>
      <c r="L65" s="16" t="s">
        <v>215</v>
      </c>
      <c r="M65" s="16" t="str">
        <f t="shared" si="0"/>
        <v>模拟评分记录完整</v>
      </c>
      <c r="N65" s="8" t="s">
        <v>149</v>
      </c>
    </row>
    <row r="66" spans="1:14" ht="46.05" customHeight="1">
      <c r="A66" s="16" t="s">
        <v>74</v>
      </c>
      <c r="B66" s="16">
        <v>1</v>
      </c>
      <c r="C66" s="17" t="str">
        <f>三案例选用!B7</f>
        <v>SC-001</v>
      </c>
      <c r="D66" s="16" t="s">
        <v>228</v>
      </c>
      <c r="E66" s="17" t="str">
        <f>IF(AND(IF(COUNTIFS(资产清单!$A$6:$A$25,A66)&lt;&gt;1,"",IF(INDEX(资产清单!$H$6:$H$25,MATCH(A66,资产清单!$A$6:$A$25,0))="","",INDEX(资产清单!$H$6:$H$25,MATCH(A66,资产清单!$A$6:$A$25,0))))&lt;&gt;"场地",IF(COUNTIFS(资产清单!$A$6:$A$25,A66)&lt;&gt;1,"",IF(INDEX(资产清单!$H$6:$H$25,MATCH(A66,资产清单!$A$6:$A$25,0))="","",INDEX(资产清单!$H$6:$H$25,MATCH(A66,资产清单!$A$6:$A$25,0))))&lt;&gt;"车位",IF(COUNTIFS(资产清单!$A$6:$A$25,A66)&lt;&gt;1,"",IF(INDEX(资产清单!$H$6:$H$25,MATCH(A66,资产清单!$A$6:$A$25,0))="","",INDEX(资产清单!$H$6:$H$25,MATCH(A66,资产清单!$A$6:$A$25,0))))&lt;&gt;"通信基站"),"适用","不适用采用100/100")</f>
        <v>适用</v>
      </c>
      <c r="F66" s="17" t="str">
        <f>IF(AND(IF(COUNTIFS(资产清单!$A$6:$A$25,A66)&lt;&gt;1,"",IF(INDEX(资产清单!$H$6:$H$25,MATCH(A66,资产清单!$A$6:$A$25,0))="","",INDEX(资产清单!$H$6:$H$25,MATCH(A66,资产清单!$A$6:$A$25,0))))&lt;&gt;"场地",IF(COUNTIFS(资产清单!$A$6:$A$25,A66)&lt;&gt;1,"",IF(INDEX(资产清单!$H$6:$H$25,MATCH(A66,资产清单!$A$6:$A$25,0))="","",INDEX(资产清单!$H$6:$H$25,MATCH(A66,资产清单!$A$6:$A$25,0))))&lt;&gt;"车位",IF(COUNTIFS(资产清单!$A$6:$A$25,A66)&lt;&gt;1,"",IF(INDEX(资产清单!$H$6:$H$25,MATCH(A66,资产清单!$A$6:$A$25,0))="","",INDEX(资产清单!$H$6:$H$25,MATCH(A66,资产清单!$A$6:$A$25,0))))&lt;&gt;"通信基站"),IF(COUNTIFS(资产清单!$A$6:$A$25,A66)&lt;&gt;1,"",IF(INDEX(资产清单!$I$6:$I$25,MATCH(A66,资产清单!$A$6:$A$25,0))="","",INDEX(资产清单!$I$6:$I$25,MATCH(A66,资产清单!$A$6:$A$25,0)))),"不适用")</f>
        <v>临街商铺</v>
      </c>
      <c r="G66" s="17" t="str">
        <f>IF(AND(IF(COUNTIFS(资产清单!$A$6:$A$25,A66)&lt;&gt;1,"",IF(INDEX(资产清单!$H$6:$H$25,MATCH(A66,资产清单!$A$6:$A$25,0))="","",INDEX(资产清单!$H$6:$H$25,MATCH(A66,资产清单!$A$6:$A$25,0))))&lt;&gt;"场地",IF(COUNTIFS(资产清单!$A$6:$A$25,A66)&lt;&gt;1,"",IF(INDEX(资产清单!$H$6:$H$25,MATCH(A66,资产清单!$A$6:$A$25,0))="","",INDEX(资产清单!$H$6:$H$25,MATCH(A66,资产清单!$A$6:$A$25,0))))&lt;&gt;"车位",IF(COUNTIFS(资产清单!$A$6:$A$25,A66)&lt;&gt;1,"",IF(INDEX(资产清单!$H$6:$H$25,MATCH(A66,资产清单!$A$6:$A$25,0))="","",INDEX(资产清单!$H$6:$H$25,MATCH(A66,资产清单!$A$6:$A$25,0))))&lt;&gt;"通信基站"),IF(COUNTIFS(市场案例库!$A$6:$A$35,C66)&lt;&gt;1,"",IF(INDEX(市场案例库!$O$6:$O$35,MATCH(C66,市场案例库!$A$6:$A$35,0))="","",INDEX(市场案例库!$O$6:$O$35,MATCH(C66,市场案例库!$A$6:$A$35,0)))),"不适用")</f>
        <v>临街商铺</v>
      </c>
      <c r="H66" s="19">
        <f>测算参数!$B$6</f>
        <v>100</v>
      </c>
      <c r="I66" s="10">
        <v>100</v>
      </c>
      <c r="J66" s="21">
        <f>IF(OR(C66&lt;&gt;N66,COUNT(H66:I66)&lt;&gt;2,H66&lt;=0,I66&lt;=0),"",IF(AND(IF(COUNTIFS(资产清单!$A$6:$A$25,A66)&lt;&gt;1,"",IF(INDEX(资产清单!$H$6:$H$25,MATCH(A66,资产清单!$A$6:$A$25,0))="","",INDEX(资产清单!$H$6:$H$25,MATCH(A66,资产清单!$A$6:$A$25,0))))&lt;&gt;"场地",IF(COUNTIFS(资产清单!$A$6:$A$25,A66)&lt;&gt;1,"",IF(INDEX(资产清单!$H$6:$H$25,MATCH(A66,资产清单!$A$6:$A$25,0))="","",INDEX(资产清单!$H$6:$H$25,MATCH(A66,资产清单!$A$6:$A$25,0))))&lt;&gt;"车位",IF(COUNTIFS(资产清单!$A$6:$A$25,A66)&lt;&gt;1,"",IF(INDEX(资产清单!$H$6:$H$25,MATCH(A66,资产清单!$A$6:$A$25,0))="","",INDEX(资产清单!$H$6:$H$25,MATCH(A66,资产清单!$A$6:$A$25,0))))&lt;&gt;"通信基站"),H66/I66,H66/H66))</f>
        <v>1</v>
      </c>
      <c r="K66" s="16" t="s">
        <v>233</v>
      </c>
      <c r="L66" s="16" t="s">
        <v>215</v>
      </c>
      <c r="M66" s="16" t="str">
        <f t="shared" si="0"/>
        <v>模拟评分记录完整</v>
      </c>
      <c r="N66" s="8" t="s">
        <v>149</v>
      </c>
    </row>
    <row r="67" spans="1:14" ht="46.05" customHeight="1">
      <c r="A67" s="16" t="s">
        <v>74</v>
      </c>
      <c r="B67" s="16">
        <v>1</v>
      </c>
      <c r="C67" s="17" t="str">
        <f>三案例选用!B7</f>
        <v>SC-001</v>
      </c>
      <c r="D67" s="16" t="s">
        <v>229</v>
      </c>
      <c r="E67" s="17" t="str">
        <f>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"适用","不适用采用100/100")</f>
        <v>适用</v>
      </c>
      <c r="F67" s="17">
        <f>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IF(COUNTIFS(资产清单!$A$6:$A$25,A67)&lt;&gt;1,"",IF(COUNT(INDEX(资产清单!$N$6:$N$25,MATCH(A67,资产清单!$A$6:$A$25,0)))&lt;&gt;1,"",INDEX(资产清单!$N$6:$N$25,MATCH(A67,资产清单!$A$6:$A$25,0)))),"不适用")</f>
        <v>2</v>
      </c>
      <c r="G67" s="17">
        <f>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IF(COUNTIFS(市场案例库!$A$6:$A$35,C67)&lt;&gt;1,"",IF(COUNT(INDEX(市场案例库!$I$6:$I$35,MATCH(C67,市场案例库!$A$6:$A$35,0)))&lt;&gt;1,"",INDEX(市场案例库!$I$6:$I$35,MATCH(C67,市场案例库!$A$6:$A$35,0)))),"不适用")</f>
        <v>2</v>
      </c>
      <c r="H67" s="19">
        <f>测算参数!$B$6</f>
        <v>100</v>
      </c>
      <c r="I67" s="19">
        <f>IF(OR(COUNTIFS(市场案例库!$A$6:$A$35,C67)&lt;&gt;1,AND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OR(COUNT(IF(COUNTIFS(资产清单!$A$6:$A$25,A67)&lt;&gt;1,"",IF(COUNT(INDEX(资产清单!$N$6:$N$25,MATCH(A67,资产清单!$A$6:$A$25,0)))&lt;&gt;1,"",INDEX(资产清单!$N$6:$N$25,MATCH(A67,资产清单!$A$6:$A$25,0)))),IF(COUNTIFS(市场案例库!$A$6:$A$35,C67)&lt;&gt;1,"",IF(COUNT(INDEX(市场案例库!$I$6:$I$35,MATCH(C67,市场案例库!$A$6:$A$35,0)))&lt;&gt;1,"",INDEX(市场案例库!$I$6:$I$35,MATCH(C67,市场案例库!$A$6:$A$35,0)))))&lt;&gt;2,IF(COUNTIFS(资产清单!$A$6:$A$25,A67)&lt;&gt;1,"",IF(COUNT(INDEX(资产清单!$N$6:$N$25,MATCH(A67,资产清单!$A$6:$A$25,0)))&lt;&gt;1,"",INDEX(资产清单!$N$6:$N$25,MATCH(A67,资产清单!$A$6:$A$25,0))))&lt;1,IF(COUNTIFS(资产清单!$A$6:$A$25,A67)&lt;&gt;1,"",IF(COUNT(INDEX(资产清单!$N$6:$N$25,MATCH(A67,资产清单!$A$6:$A$25,0)))&lt;&gt;1,"",INDEX(资产清单!$N$6:$N$25,MATCH(A67,资产清单!$A$6:$A$25,0))))&gt;4,IF(COUNTIFS(市场案例库!$A$6:$A$35,C67)&lt;&gt;1,"",IF(COUNT(INDEX(市场案例库!$I$6:$I$35,MATCH(C67,市场案例库!$A$6:$A$35,0)))&lt;&gt;1,"",INDEX(市场案例库!$I$6:$I$35,MATCH(C67,市场案例库!$A$6:$A$35,0))))&lt;1,IF(COUNTIFS(市场案例库!$A$6:$A$35,C67)&lt;&gt;1,"",IF(COUNT(INDEX(市场案例库!$I$6:$I$35,MATCH(C67,市场案例库!$A$6:$A$35,0)))&lt;&gt;1,"",INDEX(市场案例库!$I$6:$I$35,MATCH(C67,市场案例库!$A$6:$A$35,0))))&gt;4))),"",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INDEX(测算参数!$B$35:$B$41,MATCH(IF(COUNTIFS(市场案例库!$A$6:$A$35,C67)&lt;&gt;1,"",IF(COUNT(INDEX(市场案例库!$I$6:$I$35,MATCH(C67,市场案例库!$A$6:$A$35,0)))&lt;&gt;1,"",INDEX(市场案例库!$I$6:$I$35,MATCH(C67,市场案例库!$A$6:$A$35,0))))-IF(COUNTIFS(资产清单!$A$6:$A$25,A67)&lt;&gt;1,"",IF(COUNT(INDEX(资产清单!$N$6:$N$25,MATCH(A67,资产清单!$A$6:$A$25,0)))&lt;&gt;1,"",INDEX(资产清单!$N$6:$N$25,MATCH(A67,资产清单!$A$6:$A$25,0)))),测算参数!$A$35:$A$41,0)),测算参数!$B$6))</f>
        <v>100</v>
      </c>
      <c r="J67" s="21">
        <f>IF(OR(C67&lt;&gt;N67,COUNT(H67:I67)&lt;&gt;2,H67&lt;=0,I67&lt;=0),"",IF(AND(IF(COUNTIFS(资产清单!$A$6:$A$25,A67)&lt;&gt;1,"",IF(INDEX(资产清单!$H$6:$H$25,MATCH(A67,资产清单!$A$6:$A$25,0))="","",INDEX(资产清单!$H$6:$H$25,MATCH(A67,资产清单!$A$6:$A$25,0))))&lt;&gt;"场地",IF(COUNTIFS(资产清单!$A$6:$A$25,A67)&lt;&gt;1,"",IF(INDEX(资产清单!$H$6:$H$25,MATCH(A67,资产清单!$A$6:$A$25,0))="","",INDEX(资产清单!$H$6:$H$25,MATCH(A67,资产清单!$A$6:$A$25,0))))&lt;&gt;"车位",IF(COUNTIFS(资产清单!$A$6:$A$25,A67)&lt;&gt;1,"",IF(INDEX(资产清单!$H$6:$H$25,MATCH(A67,资产清单!$A$6:$A$25,0))="","",INDEX(资产清单!$H$6:$H$25,MATCH(A67,资产清单!$A$6:$A$25,0))))&lt;&gt;"通信基站"),H67/I67,H67/H67))</f>
        <v>1</v>
      </c>
      <c r="K67" s="16" t="s">
        <v>233</v>
      </c>
      <c r="L67" s="16" t="s">
        <v>230</v>
      </c>
      <c r="M67" s="16" t="str">
        <f t="shared" si="0"/>
        <v>模拟评分记录完整</v>
      </c>
      <c r="N67" s="8" t="s">
        <v>149</v>
      </c>
    </row>
    <row r="68" spans="1:14" ht="46.05" customHeight="1">
      <c r="A68" s="16" t="s">
        <v>74</v>
      </c>
      <c r="B68" s="16">
        <v>1</v>
      </c>
      <c r="C68" s="17" t="str">
        <f>三案例选用!B7</f>
        <v>SC-001</v>
      </c>
      <c r="D68" s="16" t="s">
        <v>231</v>
      </c>
      <c r="E68" s="17" t="str">
        <f>IF(AND(IF(COUNTIFS(资产清单!$A$6:$A$25,A68)&lt;&gt;1,"",IF(INDEX(资产清单!$H$6:$H$25,MATCH(A68,资产清单!$A$6:$A$25,0))="","",INDEX(资产清单!$H$6:$H$25,MATCH(A68,资产清单!$A$6:$A$25,0))))&lt;&gt;"场地",IF(COUNTIFS(资产清单!$A$6:$A$25,A68)&lt;&gt;1,"",IF(INDEX(资产清单!$H$6:$H$25,MATCH(A68,资产清单!$A$6:$A$25,0))="","",INDEX(资产清单!$H$6:$H$25,MATCH(A68,资产清单!$A$6:$A$25,0))))&lt;&gt;"车位",IF(COUNTIFS(资产清单!$A$6:$A$25,A68)&lt;&gt;1,"",IF(INDEX(资产清单!$H$6:$H$25,MATCH(A68,资产清单!$A$6:$A$25,0))="","",INDEX(资产清单!$H$6:$H$25,MATCH(A68,资产清单!$A$6:$A$25,0))))&lt;&gt;"通信基站"),"适用","不适用采用100/100")</f>
        <v>适用</v>
      </c>
      <c r="F68" s="17" t="str">
        <f>IF(AND(IF(COUNTIFS(资产清单!$A$6:$A$25,A68)&lt;&gt;1,"",IF(INDEX(资产清单!$H$6:$H$25,MATCH(A68,资产清单!$A$6:$A$25,0))="","",INDEX(资产清单!$H$6:$H$25,MATCH(A68,资产清单!$A$6:$A$25,0))))&lt;&gt;"场地",IF(COUNTIFS(资产清单!$A$6:$A$25,A68)&lt;&gt;1,"",IF(INDEX(资产清单!$H$6:$H$25,MATCH(A68,资产清单!$A$6:$A$25,0))="","",INDEX(资产清单!$H$6:$H$25,MATCH(A68,资产清单!$A$6:$A$25,0))))&lt;&gt;"车位",IF(COUNTIFS(资产清单!$A$6:$A$25,A68)&lt;&gt;1,"",IF(INDEX(资产清单!$H$6:$H$25,MATCH(A68,资产清单!$A$6:$A$25,0))="","",INDEX(资产清单!$H$6:$H$25,MATCH(A68,资产清单!$A$6:$A$25,0))))&lt;&gt;"通信基站"),IF(COUNTIFS(资产清单!$A$6:$A$25,A68)&lt;&gt;1,"",IF(INDEX(资产清单!$I$6:$I$25,MATCH(A68,资产清单!$A$6:$A$25,0))="","",INDEX(资产清单!$I$6:$I$25,MATCH(A68,资产清单!$A$6:$A$25,0)))),"不适用")</f>
        <v>临街商铺</v>
      </c>
      <c r="G68" s="17" t="str">
        <f>IF(AND(IF(COUNTIFS(资产清单!$A$6:$A$25,A68)&lt;&gt;1,"",IF(INDEX(资产清单!$H$6:$H$25,MATCH(A68,资产清单!$A$6:$A$25,0))="","",INDEX(资产清单!$H$6:$H$25,MATCH(A68,资产清单!$A$6:$A$25,0))))&lt;&gt;"场地",IF(COUNTIFS(资产清单!$A$6:$A$25,A68)&lt;&gt;1,"",IF(INDEX(资产清单!$H$6:$H$25,MATCH(A68,资产清单!$A$6:$A$25,0))="","",INDEX(资产清单!$H$6:$H$25,MATCH(A68,资产清单!$A$6:$A$25,0))))&lt;&gt;"车位",IF(COUNTIFS(资产清单!$A$6:$A$25,A68)&lt;&gt;1,"",IF(INDEX(资产清单!$H$6:$H$25,MATCH(A68,资产清单!$A$6:$A$25,0))="","",INDEX(资产清单!$H$6:$H$25,MATCH(A68,资产清单!$A$6:$A$25,0))))&lt;&gt;"通信基站"),IF(COUNTIFS(市场案例库!$A$6:$A$35,C68)&lt;&gt;1,"",IF(INDEX(市场案例库!$O$6:$O$35,MATCH(C68,市场案例库!$A$6:$A$35,0))="","",INDEX(市场案例库!$O$6:$O$35,MATCH(C68,市场案例库!$A$6:$A$35,0)))),"不适用")</f>
        <v>临街商铺</v>
      </c>
      <c r="H68" s="19">
        <f>测算参数!$B$6</f>
        <v>100</v>
      </c>
      <c r="I68" s="10">
        <v>100</v>
      </c>
      <c r="J68" s="21">
        <f>IF(OR(C68&lt;&gt;N68,COUNT(H68:I68)&lt;&gt;2,H68&lt;=0,I68&lt;=0),"",IF(AND(IF(COUNTIFS(资产清单!$A$6:$A$25,A68)&lt;&gt;1,"",IF(INDEX(资产清单!$H$6:$H$25,MATCH(A68,资产清单!$A$6:$A$25,0))="","",INDEX(资产清单!$H$6:$H$25,MATCH(A68,资产清单!$A$6:$A$25,0))))&lt;&gt;"场地",IF(COUNTIFS(资产清单!$A$6:$A$25,A68)&lt;&gt;1,"",IF(INDEX(资产清单!$H$6:$H$25,MATCH(A68,资产清单!$A$6:$A$25,0))="","",INDEX(资产清单!$H$6:$H$25,MATCH(A68,资产清单!$A$6:$A$25,0))))&lt;&gt;"车位",IF(COUNTIFS(资产清单!$A$6:$A$25,A68)&lt;&gt;1,"",IF(INDEX(资产清单!$H$6:$H$25,MATCH(A68,资产清单!$A$6:$A$25,0))="","",INDEX(资产清单!$H$6:$H$25,MATCH(A68,资产清单!$A$6:$A$25,0))))&lt;&gt;"通信基站"),H68/I68,H68/H68))</f>
        <v>1</v>
      </c>
      <c r="K68" s="16" t="s">
        <v>233</v>
      </c>
      <c r="L68" s="16" t="s">
        <v>215</v>
      </c>
      <c r="M68" s="16" t="str">
        <f t="shared" si="0"/>
        <v>模拟评分记录完整</v>
      </c>
      <c r="N68" s="8" t="s">
        <v>149</v>
      </c>
    </row>
    <row r="69" spans="1:14" ht="46.05" customHeight="1">
      <c r="A69" s="16" t="s">
        <v>74</v>
      </c>
      <c r="B69" s="16">
        <v>1</v>
      </c>
      <c r="C69" s="17" t="str">
        <f>三案例选用!B7</f>
        <v>SC-001</v>
      </c>
      <c r="D69" s="16" t="s">
        <v>232</v>
      </c>
      <c r="E69" s="16" t="str">
        <f>IF(TRUE,"适用","不适用采用100/100")</f>
        <v>适用</v>
      </c>
      <c r="F69" s="17" t="str">
        <f>IF(TRUE,IF(COUNTIFS(资产清单!$A$6:$A$25,A69)&lt;&gt;1,"",IF(INDEX(资产清单!$I$6:$I$25,MATCH(A69,资产清单!$A$6:$A$25,0))="","",INDEX(资产清单!$I$6:$I$25,MATCH(A69,资产清单!$A$6:$A$25,0)))),"不适用")</f>
        <v>临街商铺</v>
      </c>
      <c r="G69" s="17" t="str">
        <f>IF(TRUE,IF(COUNTIFS(市场案例库!$A$6:$A$35,C69)&lt;&gt;1,"",IF(INDEX(市场案例库!$O$6:$O$35,MATCH(C69,市场案例库!$A$6:$A$35,0))="","",INDEX(市场案例库!$O$6:$O$35,MATCH(C69,市场案例库!$A$6:$A$35,0)))),"不适用")</f>
        <v>临街商铺</v>
      </c>
      <c r="H69" s="19">
        <f>测算参数!$B$6</f>
        <v>100</v>
      </c>
      <c r="I69" s="10">
        <v>100</v>
      </c>
      <c r="J69" s="20">
        <f>IF(OR(C69&lt;&gt;N69,COUNT(H69:I69)&lt;&gt;2,H69&lt;=0,I69&lt;=0),"",IF(TRUE,H69/I69,H69/H69))</f>
        <v>1</v>
      </c>
      <c r="K69" s="16" t="s">
        <v>233</v>
      </c>
      <c r="L69" s="16" t="s">
        <v>215</v>
      </c>
      <c r="M69" s="16" t="str">
        <f t="shared" si="0"/>
        <v>模拟评分记录完整</v>
      </c>
      <c r="N69" s="8" t="s">
        <v>149</v>
      </c>
    </row>
    <row r="70" spans="1:14" ht="46.05" customHeight="1">
      <c r="A70" s="16" t="s">
        <v>74</v>
      </c>
      <c r="B70" s="16">
        <v>2</v>
      </c>
      <c r="C70" s="17" t="str">
        <f>三案例选用!C7</f>
        <v>SC-002</v>
      </c>
      <c r="D70" s="16" t="s">
        <v>209</v>
      </c>
      <c r="E70" s="16" t="str">
        <f>IF(TRUE,"适用","不适用采用100/100")</f>
        <v>适用</v>
      </c>
      <c r="F70" s="17" t="str">
        <f>IF(TRUE,IF(COUNTIFS(资产清单!$A$6:$A$25,A70)&lt;&gt;1,"",IF(INDEX(资产清单!$I$6:$I$25,MATCH(A70,资产清单!$A$6:$A$25,0))="","",INDEX(资产清单!$I$6:$I$25,MATCH(A70,资产清单!$A$6:$A$25,0)))),"不适用")</f>
        <v>临街商铺</v>
      </c>
      <c r="G70" s="17" t="str">
        <f>IF(TRUE,IF(COUNTIFS(市场案例库!$A$6:$A$35,C70)&lt;&gt;1,"",IF(INDEX(市场案例库!$O$6:$O$35,MATCH(C70,市场案例库!$A$6:$A$35,0))="","",INDEX(市场案例库!$O$6:$O$35,MATCH(C70,市场案例库!$A$6:$A$35,0)))),"不适用")</f>
        <v>临街商铺</v>
      </c>
      <c r="H70" s="19">
        <f>测算参数!$B$6</f>
        <v>100</v>
      </c>
      <c r="I70" s="19">
        <f>IF(OR(COUNTIFS(市场案例库!$A$6:$A$35,C70)&lt;&gt;1),"",IF(COUNTIFS(市场案例库!$A$6:$A$35,C70)&lt;&gt;1,"",IF(COUNT(INDEX(市场案例库!$M$6:$M$35,MATCH(C70,市场案例库!$A$6:$A$35,0)))&lt;&gt;1,"",INDEX(市场案例库!$M$6:$M$35,MATCH(C70,市场案例库!$A$6:$A$35,0)))))</f>
        <v>102</v>
      </c>
      <c r="J70" s="20">
        <f>IF(OR(C70&lt;&gt;N70,COUNT(H70:I70)&lt;&gt;2,H70&lt;=0,I70&lt;=0),"",IF(TRUE,H70/I70,H70/H70))</f>
        <v>0.98039215686274506</v>
      </c>
      <c r="K70" s="16" t="s">
        <v>233</v>
      </c>
      <c r="L70" s="16" t="s">
        <v>211</v>
      </c>
      <c r="M70" s="16" t="str">
        <f t="shared" ref="M70:M133" si="9">IF(C70&lt;&gt;N70,"待重判评分",IF(COUNT(J70)&lt;&gt;1,"待补评分",IF(OR(K70="",L70=""),"待补依据","模拟评分记录完整")))</f>
        <v>模拟评分记录完整</v>
      </c>
      <c r="N70" s="8" t="s">
        <v>150</v>
      </c>
    </row>
    <row r="71" spans="1:14" ht="46.05" customHeight="1">
      <c r="A71" s="16" t="s">
        <v>74</v>
      </c>
      <c r="B71" s="16">
        <v>2</v>
      </c>
      <c r="C71" s="17" t="str">
        <f>三案例选用!C7</f>
        <v>SC-002</v>
      </c>
      <c r="D71" s="16" t="s">
        <v>212</v>
      </c>
      <c r="E71" s="16" t="str">
        <f>IF(TRUE,"适用","不适用采用100/100")</f>
        <v>适用</v>
      </c>
      <c r="F71" s="17" t="str">
        <f>IF(TRUE,IF(COUNTIFS(资产清单!$A$6:$A$25,A71)&lt;&gt;1,"",IF(INDEX(资产清单!$I$6:$I$25,MATCH(A71,资产清单!$A$6:$A$25,0))="","",INDEX(资产清单!$I$6:$I$25,MATCH(A71,资产清单!$A$6:$A$25,0)))),"不适用")</f>
        <v>临街商铺</v>
      </c>
      <c r="G71" s="17" t="str">
        <f>IF(TRUE,IF(COUNTIFS(市场案例库!$A$6:$A$35,C71)&lt;&gt;1,"",IF(INDEX(市场案例库!$O$6:$O$35,MATCH(C71,市场案例库!$A$6:$A$35,0))="","",INDEX(市场案例库!$O$6:$O$35,MATCH(C71,市场案例库!$A$6:$A$35,0)))),"不适用")</f>
        <v>临街商铺</v>
      </c>
      <c r="H71" s="19">
        <f>测算参数!$B$6</f>
        <v>100</v>
      </c>
      <c r="I71" s="19">
        <f>IF(OR(COUNTIFS(市场案例库!$A$6:$A$35,C71)&lt;&gt;1),"",IF(COUNTIFS(市场案例库!$A$6:$A$35,C71)&lt;&gt;1,"",IF(COUNT(INDEX(市场案例库!$N$6:$N$35,MATCH(C71,市场案例库!$A$6:$A$35,0)))&lt;&gt;1,"",INDEX(市场案例库!$N$6:$N$35,MATCH(C71,市场案例库!$A$6:$A$35,0)))))</f>
        <v>100</v>
      </c>
      <c r="J71" s="20">
        <f>IF(OR(C71&lt;&gt;N71,COUNT(H71:I71)&lt;&gt;2,H71&lt;=0,I71&lt;=0),"",IF(TRUE,H71/I71,H71/H71))</f>
        <v>1</v>
      </c>
      <c r="K71" s="16" t="s">
        <v>233</v>
      </c>
      <c r="L71" s="16" t="s">
        <v>213</v>
      </c>
      <c r="M71" s="16" t="str">
        <f t="shared" si="9"/>
        <v>模拟评分记录完整</v>
      </c>
      <c r="N71" s="8" t="s">
        <v>150</v>
      </c>
    </row>
    <row r="72" spans="1:14" ht="46.05" customHeight="1">
      <c r="A72" s="16" t="s">
        <v>74</v>
      </c>
      <c r="B72" s="16">
        <v>2</v>
      </c>
      <c r="C72" s="17" t="str">
        <f>三案例选用!C7</f>
        <v>SC-002</v>
      </c>
      <c r="D72" s="16" t="s">
        <v>214</v>
      </c>
      <c r="E72" s="16" t="str">
        <f>IF(TRUE,"适用","不适用采用100/100")</f>
        <v>适用</v>
      </c>
      <c r="F72" s="17" t="str">
        <f>IF(TRUE,IF(COUNTIFS(资产清单!$A$6:$A$25,A72)&lt;&gt;1,"",IF(INDEX(资产清单!$I$6:$I$25,MATCH(A72,资产清单!$A$6:$A$25,0))="","",INDEX(资产清单!$I$6:$I$25,MATCH(A72,资产清单!$A$6:$A$25,0)))),"不适用")</f>
        <v>临街商铺</v>
      </c>
      <c r="G72" s="17" t="str">
        <f>IF(TRUE,IF(COUNTIFS(市场案例库!$A$6:$A$35,C72)&lt;&gt;1,"",IF(INDEX(市场案例库!$O$6:$O$35,MATCH(C72,市场案例库!$A$6:$A$35,0))="","",INDEX(市场案例库!$O$6:$O$35,MATCH(C72,市场案例库!$A$6:$A$35,0)))),"不适用")</f>
        <v>临街商铺</v>
      </c>
      <c r="H72" s="19">
        <f>测算参数!$B$6</f>
        <v>100</v>
      </c>
      <c r="I72" s="10">
        <v>100</v>
      </c>
      <c r="J72" s="20">
        <f>IF(OR(C72&lt;&gt;N72,COUNT(H72:I72)&lt;&gt;2,H72&lt;=0,I72&lt;=0),"",IF(TRUE,H72/I72,H72/H72))</f>
        <v>1</v>
      </c>
      <c r="K72" s="16" t="s">
        <v>233</v>
      </c>
      <c r="L72" s="16" t="s">
        <v>215</v>
      </c>
      <c r="M72" s="16" t="str">
        <f t="shared" si="9"/>
        <v>模拟评分记录完整</v>
      </c>
      <c r="N72" s="8" t="s">
        <v>150</v>
      </c>
    </row>
    <row r="73" spans="1:14" ht="46.05" customHeight="1">
      <c r="A73" s="16" t="s">
        <v>74</v>
      </c>
      <c r="B73" s="16">
        <v>2</v>
      </c>
      <c r="C73" s="17" t="str">
        <f>三案例选用!C7</f>
        <v>SC-002</v>
      </c>
      <c r="D73" s="16" t="s">
        <v>216</v>
      </c>
      <c r="E73" s="16" t="str">
        <f>IF(TRUE,"适用","不适用采用100/100")</f>
        <v>适用</v>
      </c>
      <c r="F73" s="17" t="str">
        <f>IF(TRUE,IF(COUNTIFS(资产清单!$A$6:$A$25,A73)&lt;&gt;1,"",IF(INDEX(资产清单!$I$6:$I$25,MATCH(A73,资产清单!$A$6:$A$25,0))="","",INDEX(资产清单!$I$6:$I$25,MATCH(A73,资产清单!$A$6:$A$25,0)))),"不适用")</f>
        <v>临街商铺</v>
      </c>
      <c r="G73" s="17" t="str">
        <f>IF(TRUE,IF(COUNTIFS(市场案例库!$A$6:$A$35,C73)&lt;&gt;1,"",IF(INDEX(市场案例库!$O$6:$O$35,MATCH(C73,市场案例库!$A$6:$A$35,0))="","",INDEX(市场案例库!$O$6:$O$35,MATCH(C73,市场案例库!$A$6:$A$35,0)))),"不适用")</f>
        <v>临街商铺</v>
      </c>
      <c r="H73" s="19">
        <f>测算参数!$B$6</f>
        <v>100</v>
      </c>
      <c r="I73" s="10">
        <v>100</v>
      </c>
      <c r="J73" s="20">
        <f>IF(OR(C73&lt;&gt;N73,COUNT(H73:I73)&lt;&gt;2,H73&lt;=0,I73&lt;=0),"",IF(TRUE,H73/I73,H73/H73))</f>
        <v>1</v>
      </c>
      <c r="K73" s="16" t="s">
        <v>233</v>
      </c>
      <c r="L73" s="16" t="s">
        <v>215</v>
      </c>
      <c r="M73" s="16" t="str">
        <f t="shared" si="9"/>
        <v>模拟评分记录完整</v>
      </c>
      <c r="N73" s="8" t="s">
        <v>150</v>
      </c>
    </row>
    <row r="74" spans="1:14" ht="46.05" customHeight="1">
      <c r="A74" s="16" t="s">
        <v>74</v>
      </c>
      <c r="B74" s="16">
        <v>2</v>
      </c>
      <c r="C74" s="17" t="str">
        <f>三案例选用!C7</f>
        <v>SC-002</v>
      </c>
      <c r="D74" s="16" t="s">
        <v>217</v>
      </c>
      <c r="E74" s="17" t="str">
        <f>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"适用","不适用采用100/100")</f>
        <v>适用</v>
      </c>
      <c r="F74" s="17">
        <f>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IF(COUNTIFS(资产清单!$A$6:$A$25,A74)&lt;&gt;1,"",IF(COUNT(INDEX(资产清单!$M$6:$M$25,MATCH(A74,资产清单!$A$6:$A$25,0)))&lt;&gt;1,"",INDEX(资产清单!$M$6:$M$25,MATCH(A74,资产清单!$A$6:$A$25,0)))),"不适用")</f>
        <v>1</v>
      </c>
      <c r="G74" s="17">
        <f>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IF(COUNTIFS(市场案例库!$A$6:$A$35,C74)&lt;&gt;1,"",IF(COUNT(INDEX(市场案例库!$H$6:$H$35,MATCH(C74,市场案例库!$A$6:$A$35,0)))&lt;&gt;1,"",INDEX(市场案例库!$H$6:$H$35,MATCH(C74,市场案例库!$A$6:$A$35,0)))),"不适用")</f>
        <v>1</v>
      </c>
      <c r="H74" s="19">
        <f>测算参数!$B$6</f>
        <v>100</v>
      </c>
      <c r="I74" s="19">
        <f>IF(OR(COUNTIFS(市场案例库!$A$6:$A$35,C74)&lt;&gt;1,AND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COUNT(IF(COUNTIFS(资产清单!$A$6:$A$25,A74)&lt;&gt;1,"",IF(COUNT(INDEX(资产清单!$M$6:$M$25,MATCH(A74,资产清单!$A$6:$A$25,0)))&lt;&gt;1,"",INDEX(资产清单!$M$6:$M$25,MATCH(A74,资产清单!$A$6:$A$25,0)))),IF(COUNTIFS(市场案例库!$A$6:$A$35,C74)&lt;&gt;1,"",IF(COUNT(INDEX(市场案例库!$H$6:$H$35,MATCH(C74,市场案例库!$A$6:$A$35,0)))&lt;&gt;1,"",INDEX(市场案例库!$H$6:$H$35,MATCH(C74,市场案例库!$A$6:$A$35,0)))))&lt;&gt;2)),"",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INDEX(测算参数!$B$25:$B$31,MATCH(MAX(-测算参数!$B$11,MIN(测算参数!$B$11,IF(COUNTIFS(资产清单!$A$6:$A$25,A74)&lt;&gt;1,"",IF(COUNT(INDEX(资产清单!$M$6:$M$25,MATCH(A74,资产清单!$A$6:$A$25,0)))&lt;&gt;1,"",INDEX(资产清单!$M$6:$M$25,MATCH(A74,资产清单!$A$6:$A$25,0))))-IF(COUNTIFS(市场案例库!$A$6:$A$35,C74)&lt;&gt;1,"",IF(COUNT(INDEX(市场案例库!$H$6:$H$35,MATCH(C74,市场案例库!$A$6:$A$35,0)))&lt;&gt;1,"",INDEX(市场案例库!$H$6:$H$35,MATCH(C74,市场案例库!$A$6:$A$35,0)))))),测算参数!$A$25:$A$31,0)),测算参数!$B$6))</f>
        <v>100</v>
      </c>
      <c r="J74" s="21">
        <f>IF(OR(C74&lt;&gt;N74,COUNT(H74:I74)&lt;&gt;2,H74&lt;=0,I74&lt;=0),"",IF(OR(IF(COUNTIFS(资产清单!$A$6:$A$25,A74)&lt;&gt;1,"",IF(INDEX(资产清单!$H$6:$H$25,MATCH(A74,资产清单!$A$6:$A$25,0))="","",INDEX(资产清单!$H$6:$H$25,MATCH(A74,资产清单!$A$6:$A$25,0))))="商业",IF(COUNTIFS(资产清单!$A$6:$A$25,A74)&lt;&gt;1,"",IF(INDEX(资产清单!$H$6:$H$25,MATCH(A74,资产清单!$A$6:$A$25,0))="","",INDEX(资产清单!$H$6:$H$25,MATCH(A74,资产清单!$A$6:$A$25,0))))="办公",IF(COUNTIFS(资产清单!$A$6:$A$25,A74)&lt;&gt;1,"",IF(INDEX(资产清单!$H$6:$H$25,MATCH(A74,资产清单!$A$6:$A$25,0))="","",INDEX(资产清单!$H$6:$H$25,MATCH(A74,资产清单!$A$6:$A$25,0))))="住宅"),H74/I74,H74/H74))</f>
        <v>1</v>
      </c>
      <c r="K74" s="16" t="s">
        <v>233</v>
      </c>
      <c r="L74" s="16" t="s">
        <v>218</v>
      </c>
      <c r="M74" s="16" t="str">
        <f t="shared" si="9"/>
        <v>模拟评分记录完整</v>
      </c>
      <c r="N74" s="8" t="s">
        <v>150</v>
      </c>
    </row>
    <row r="75" spans="1:14" ht="46.05" customHeight="1">
      <c r="A75" s="16" t="s">
        <v>74</v>
      </c>
      <c r="B75" s="16">
        <v>2</v>
      </c>
      <c r="C75" s="17" t="str">
        <f>三案例选用!C7</f>
        <v>SC-002</v>
      </c>
      <c r="D75" s="16" t="s">
        <v>219</v>
      </c>
      <c r="E75" s="17" t="str">
        <f>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"适用","不适用采用100/100")</f>
        <v>适用</v>
      </c>
      <c r="F75" s="17">
        <f>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IF(COUNTIFS(资产清单!$A$6:$A$25,A75)&lt;&gt;1,"",IF(COUNT(INDEX(资产清单!$L$6:$L$25,MATCH(A75,资产清单!$A$6:$A$25,0)))&lt;&gt;1,"",INDEX(资产清单!$L$6:$L$25,MATCH(A75,资产清单!$A$6:$A$25,0)))),"不适用")</f>
        <v>110</v>
      </c>
      <c r="G75" s="17">
        <f>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IF(COUNTIFS(市场案例库!$A$6:$A$35,C75)&lt;&gt;1,"",IF(COUNT(INDEX(市场案例库!$G$6:$G$35,MATCH(C75,市场案例库!$A$6:$A$35,0)))&lt;&gt;1,"",INDEX(市场案例库!$G$6:$G$35,MATCH(C75,市场案例库!$A$6:$A$35,0)))),"不适用")</f>
        <v>75</v>
      </c>
      <c r="H75" s="19">
        <f>测算参数!$B$6</f>
        <v>100</v>
      </c>
      <c r="I75" s="19">
        <f>IF(OR(COUNTIFS(市场案例库!$A$6:$A$35,C75)&lt;&gt;1,AND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OR(COUNT(IF(COUNTIFS(资产清单!$A$6:$A$25,A75)&lt;&gt;1,"",IF(COUNT(INDEX(资产清单!$L$6:$L$25,MATCH(A75,资产清单!$A$6:$A$25,0)))&lt;&gt;1,"",INDEX(资产清单!$L$6:$L$25,MATCH(A75,资产清单!$A$6:$A$25,0)))),IF(COUNTIFS(市场案例库!$A$6:$A$35,C75)&lt;&gt;1,"",IF(COUNT(INDEX(市场案例库!$G$6:$G$35,MATCH(C75,市场案例库!$A$6:$A$35,0)))&lt;&gt;1,"",INDEX(市场案例库!$G$6:$G$35,MATCH(C75,市场案例库!$A$6:$A$35,0)))))&lt;&gt;2,IF(COUNTIFS(资产清单!$A$6:$A$25,A75)&lt;&gt;1,"",IF(COUNT(INDEX(资产清单!$L$6:$L$25,MATCH(A75,资产清单!$A$6:$A$25,0)))&lt;&gt;1,"",INDEX(资产清单!$L$6:$L$25,MATCH(A75,资产清单!$A$6:$A$25,0))))&lt;=0,IF(COUNTIFS(市场案例库!$A$6:$A$35,C75)&lt;&gt;1,"",IF(COUNT(INDEX(市场案例库!$G$6:$G$35,MATCH(C75,市场案例库!$A$6:$A$35,0)))&lt;&gt;1,"",INDEX(市场案例库!$G$6:$G$35,MATCH(C75,市场案例库!$A$6:$A$35,0))))&lt;=0))),"",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LOOKUP(IF(COUNTIFS(市场案例库!$A$6:$A$35,C75)&lt;&gt;1,"",IF(COUNT(INDEX(市场案例库!$G$6:$G$35,MATCH(C75,市场案例库!$A$6:$A$35,0)))&lt;&gt;1,"",INDEX(市场案例库!$G$6:$G$35,MATCH(C75,市场案例库!$A$6:$A$35,0))))/IF(COUNTIFS(资产清单!$A$6:$A$25,A75)&lt;&gt;1,"",IF(COUNT(INDEX(资产清单!$L$6:$L$25,MATCH(A75,资产清单!$A$6:$A$25,0)))&lt;&gt;1,"",INDEX(资产清单!$L$6:$L$25,MATCH(A75,资产清单!$A$6:$A$25,0)))),测算参数!$A$15:$A$21,测算参数!$C$15:$C$21),测算参数!$B$6))</f>
        <v>102</v>
      </c>
      <c r="J75" s="21">
        <f>IF(OR(C75&lt;&gt;N75,COUNT(H75:I75)&lt;&gt;2,H75&lt;=0,I75&lt;=0),"",IF(AND(IF(COUNTIFS(资产清单!$A$6:$A$25,A75)&lt;&gt;1,"",IF(INDEX(资产清单!$J$6:$J$25,MATCH(A75,资产清单!$A$6:$A$25,0))="","",INDEX(资产清单!$J$6:$J$25,MATCH(A75,资产清单!$A$6:$A$25,0))))="元/㎡/月",IF(COUNTIFS(资产清单!$A$6:$A$25,A75)&lt;&gt;1,"",IF(INDEX(资产清单!$H$6:$H$25,MATCH(A75,资产清单!$A$6:$A$25,0))="","",INDEX(资产清单!$H$6:$H$25,MATCH(A75,资产清单!$A$6:$A$25,0))))&lt;&gt;"场地"),H75/I75,H75/H75))</f>
        <v>0.98039215686274506</v>
      </c>
      <c r="K75" s="16" t="s">
        <v>233</v>
      </c>
      <c r="L75" s="16" t="s">
        <v>220</v>
      </c>
      <c r="M75" s="16" t="str">
        <f t="shared" si="9"/>
        <v>模拟评分记录完整</v>
      </c>
      <c r="N75" s="8" t="s">
        <v>150</v>
      </c>
    </row>
    <row r="76" spans="1:14" ht="46.05" customHeight="1">
      <c r="A76" s="16" t="s">
        <v>74</v>
      </c>
      <c r="B76" s="16">
        <v>2</v>
      </c>
      <c r="C76" s="17" t="str">
        <f>三案例选用!C7</f>
        <v>SC-002</v>
      </c>
      <c r="D76" s="16" t="s">
        <v>221</v>
      </c>
      <c r="E76" s="16" t="str">
        <f t="shared" ref="E76:E81" si="10">IF(TRUE,"适用","不适用采用100/100")</f>
        <v>适用</v>
      </c>
      <c r="F76" s="17" t="str">
        <f>IF(TRUE,IF(COUNTIFS(资产清单!$A$6:$A$25,A76)&lt;&gt;1,"",IF(INDEX(资产清单!$I$6:$I$25,MATCH(A76,资产清单!$A$6:$A$25,0))="","",INDEX(资产清单!$I$6:$I$25,MATCH(A76,资产清单!$A$6:$A$25,0)))),"不适用")</f>
        <v>临街商铺</v>
      </c>
      <c r="G76" s="17" t="str">
        <f>IF(TRUE,IF(COUNTIFS(市场案例库!$A$6:$A$35,C76)&lt;&gt;1,"",IF(INDEX(市场案例库!$O$6:$O$35,MATCH(C76,市场案例库!$A$6:$A$35,0))="","",INDEX(市场案例库!$O$6:$O$35,MATCH(C76,市场案例库!$A$6:$A$35,0)))),"不适用")</f>
        <v>临街商铺</v>
      </c>
      <c r="H76" s="19">
        <f>测算参数!$B$6</f>
        <v>100</v>
      </c>
      <c r="I76" s="10">
        <v>100</v>
      </c>
      <c r="J76" s="20">
        <f t="shared" ref="J76:J81" si="11">IF(OR(C76&lt;&gt;N76,COUNT(H76:I76)&lt;&gt;2,H76&lt;=0,I76&lt;=0),"",IF(TRUE,H76/I76,H76/H76))</f>
        <v>1</v>
      </c>
      <c r="K76" s="16" t="s">
        <v>233</v>
      </c>
      <c r="L76" s="16" t="s">
        <v>215</v>
      </c>
      <c r="M76" s="16" t="str">
        <f t="shared" si="9"/>
        <v>模拟评分记录完整</v>
      </c>
      <c r="N76" s="8" t="s">
        <v>150</v>
      </c>
    </row>
    <row r="77" spans="1:14" ht="46.05" customHeight="1">
      <c r="A77" s="16" t="s">
        <v>74</v>
      </c>
      <c r="B77" s="16">
        <v>2</v>
      </c>
      <c r="C77" s="17" t="str">
        <f>三案例选用!C7</f>
        <v>SC-002</v>
      </c>
      <c r="D77" s="16" t="s">
        <v>222</v>
      </c>
      <c r="E77" s="16" t="str">
        <f t="shared" si="10"/>
        <v>适用</v>
      </c>
      <c r="F77" s="17" t="str">
        <f>IF(TRUE,IF(COUNTIFS(资产清单!$A$6:$A$25,A77)&lt;&gt;1,"",IF(INDEX(资产清单!$I$6:$I$25,MATCH(A77,资产清单!$A$6:$A$25,0))="","",INDEX(资产清单!$I$6:$I$25,MATCH(A77,资产清单!$A$6:$A$25,0)))),"不适用")</f>
        <v>临街商铺</v>
      </c>
      <c r="G77" s="17" t="str">
        <f>IF(TRUE,IF(COUNTIFS(市场案例库!$A$6:$A$35,C77)&lt;&gt;1,"",IF(INDEX(市场案例库!$O$6:$O$35,MATCH(C77,市场案例库!$A$6:$A$35,0))="","",INDEX(市场案例库!$O$6:$O$35,MATCH(C77,市场案例库!$A$6:$A$35,0)))),"不适用")</f>
        <v>临街商铺</v>
      </c>
      <c r="H77" s="19">
        <f>测算参数!$B$6</f>
        <v>100</v>
      </c>
      <c r="I77" s="10">
        <v>100</v>
      </c>
      <c r="J77" s="20">
        <f t="shared" si="11"/>
        <v>1</v>
      </c>
      <c r="K77" s="16" t="s">
        <v>233</v>
      </c>
      <c r="L77" s="16" t="s">
        <v>215</v>
      </c>
      <c r="M77" s="16" t="str">
        <f t="shared" si="9"/>
        <v>模拟评分记录完整</v>
      </c>
      <c r="N77" s="8" t="s">
        <v>150</v>
      </c>
    </row>
    <row r="78" spans="1:14" ht="46.05" customHeight="1">
      <c r="A78" s="16" t="s">
        <v>74</v>
      </c>
      <c r="B78" s="16">
        <v>2</v>
      </c>
      <c r="C78" s="17" t="str">
        <f>三案例选用!C7</f>
        <v>SC-002</v>
      </c>
      <c r="D78" s="16" t="s">
        <v>224</v>
      </c>
      <c r="E78" s="16" t="str">
        <f t="shared" si="10"/>
        <v>适用</v>
      </c>
      <c r="F78" s="17" t="str">
        <f>IF(TRUE,IF(COUNTIFS(资产清单!$A$6:$A$25,A78)&lt;&gt;1,"",IF(INDEX(资产清单!$I$6:$I$25,MATCH(A78,资产清单!$A$6:$A$25,0))="","",INDEX(资产清单!$I$6:$I$25,MATCH(A78,资产清单!$A$6:$A$25,0)))),"不适用")</f>
        <v>临街商铺</v>
      </c>
      <c r="G78" s="17" t="str">
        <f>IF(TRUE,IF(COUNTIFS(市场案例库!$A$6:$A$35,C78)&lt;&gt;1,"",IF(INDEX(市场案例库!$O$6:$O$35,MATCH(C78,市场案例库!$A$6:$A$35,0))="","",INDEX(市场案例库!$O$6:$O$35,MATCH(C78,市场案例库!$A$6:$A$35,0)))),"不适用")</f>
        <v>临街商铺</v>
      </c>
      <c r="H78" s="19">
        <f>测算参数!$B$6</f>
        <v>100</v>
      </c>
      <c r="I78" s="10">
        <v>100</v>
      </c>
      <c r="J78" s="20">
        <f t="shared" si="11"/>
        <v>1</v>
      </c>
      <c r="K78" s="16" t="s">
        <v>233</v>
      </c>
      <c r="L78" s="16" t="s">
        <v>215</v>
      </c>
      <c r="M78" s="16" t="str">
        <f t="shared" si="9"/>
        <v>模拟评分记录完整</v>
      </c>
      <c r="N78" s="8" t="s">
        <v>150</v>
      </c>
    </row>
    <row r="79" spans="1:14" ht="46.05" customHeight="1">
      <c r="A79" s="16" t="s">
        <v>74</v>
      </c>
      <c r="B79" s="16">
        <v>2</v>
      </c>
      <c r="C79" s="17" t="str">
        <f>三案例选用!C7</f>
        <v>SC-002</v>
      </c>
      <c r="D79" s="16" t="s">
        <v>225</v>
      </c>
      <c r="E79" s="16" t="str">
        <f t="shared" si="10"/>
        <v>适用</v>
      </c>
      <c r="F79" s="17" t="str">
        <f>IF(TRUE,IF(COUNTIFS(资产清单!$A$6:$A$25,A79)&lt;&gt;1,"",IF(INDEX(资产清单!$I$6:$I$25,MATCH(A79,资产清单!$A$6:$A$25,0))="","",INDEX(资产清单!$I$6:$I$25,MATCH(A79,资产清单!$A$6:$A$25,0)))),"不适用")</f>
        <v>临街商铺</v>
      </c>
      <c r="G79" s="17" t="str">
        <f>IF(TRUE,IF(COUNTIFS(市场案例库!$A$6:$A$35,C79)&lt;&gt;1,"",IF(INDEX(市场案例库!$O$6:$O$35,MATCH(C79,市场案例库!$A$6:$A$35,0))="","",INDEX(市场案例库!$O$6:$O$35,MATCH(C79,市场案例库!$A$6:$A$35,0)))),"不适用")</f>
        <v>临街商铺</v>
      </c>
      <c r="H79" s="19">
        <f>测算参数!$B$6</f>
        <v>100</v>
      </c>
      <c r="I79" s="10">
        <v>100</v>
      </c>
      <c r="J79" s="20">
        <f t="shared" si="11"/>
        <v>1</v>
      </c>
      <c r="K79" s="16" t="s">
        <v>233</v>
      </c>
      <c r="L79" s="16" t="s">
        <v>215</v>
      </c>
      <c r="M79" s="16" t="str">
        <f t="shared" si="9"/>
        <v>模拟评分记录完整</v>
      </c>
      <c r="N79" s="8" t="s">
        <v>150</v>
      </c>
    </row>
    <row r="80" spans="1:14" ht="46.05" customHeight="1">
      <c r="A80" s="16" t="s">
        <v>74</v>
      </c>
      <c r="B80" s="16">
        <v>2</v>
      </c>
      <c r="C80" s="17" t="str">
        <f>三案例选用!C7</f>
        <v>SC-002</v>
      </c>
      <c r="D80" s="16" t="s">
        <v>226</v>
      </c>
      <c r="E80" s="16" t="str">
        <f t="shared" si="10"/>
        <v>适用</v>
      </c>
      <c r="F80" s="17" t="str">
        <f>IF(TRUE,IF(COUNTIFS(资产清单!$A$6:$A$25,A80)&lt;&gt;1,"",IF(INDEX(资产清单!$I$6:$I$25,MATCH(A80,资产清单!$A$6:$A$25,0))="","",INDEX(资产清单!$I$6:$I$25,MATCH(A80,资产清单!$A$6:$A$25,0)))),"不适用")</f>
        <v>临街商铺</v>
      </c>
      <c r="G80" s="17" t="str">
        <f>IF(TRUE,IF(COUNTIFS(市场案例库!$A$6:$A$35,C80)&lt;&gt;1,"",IF(INDEX(市场案例库!$O$6:$O$35,MATCH(C80,市场案例库!$A$6:$A$35,0))="","",INDEX(市场案例库!$O$6:$O$35,MATCH(C80,市场案例库!$A$6:$A$35,0)))),"不适用")</f>
        <v>临街商铺</v>
      </c>
      <c r="H80" s="19">
        <f>测算参数!$B$6</f>
        <v>100</v>
      </c>
      <c r="I80" s="10">
        <v>100</v>
      </c>
      <c r="J80" s="20">
        <f t="shared" si="11"/>
        <v>1</v>
      </c>
      <c r="K80" s="16" t="s">
        <v>233</v>
      </c>
      <c r="L80" s="16" t="s">
        <v>215</v>
      </c>
      <c r="M80" s="16" t="str">
        <f t="shared" si="9"/>
        <v>模拟评分记录完整</v>
      </c>
      <c r="N80" s="8" t="s">
        <v>150</v>
      </c>
    </row>
    <row r="81" spans="1:14" ht="46.05" customHeight="1">
      <c r="A81" s="16" t="s">
        <v>74</v>
      </c>
      <c r="B81" s="16">
        <v>2</v>
      </c>
      <c r="C81" s="17" t="str">
        <f>三案例选用!C7</f>
        <v>SC-002</v>
      </c>
      <c r="D81" s="16" t="s">
        <v>227</v>
      </c>
      <c r="E81" s="16" t="str">
        <f t="shared" si="10"/>
        <v>适用</v>
      </c>
      <c r="F81" s="17" t="str">
        <f>IF(TRUE,IF(COUNTIFS(资产清单!$A$6:$A$25,A81)&lt;&gt;1,"",IF(INDEX(资产清单!$I$6:$I$25,MATCH(A81,资产清单!$A$6:$A$25,0))="","",INDEX(资产清单!$I$6:$I$25,MATCH(A81,资产清单!$A$6:$A$25,0)))),"不适用")</f>
        <v>临街商铺</v>
      </c>
      <c r="G81" s="17" t="str">
        <f>IF(TRUE,IF(COUNTIFS(市场案例库!$A$6:$A$35,C81)&lt;&gt;1,"",IF(INDEX(市场案例库!$O$6:$O$35,MATCH(C81,市场案例库!$A$6:$A$35,0))="","",INDEX(市场案例库!$O$6:$O$35,MATCH(C81,市场案例库!$A$6:$A$35,0)))),"不适用")</f>
        <v>临街商铺</v>
      </c>
      <c r="H81" s="19">
        <f>测算参数!$B$6</f>
        <v>100</v>
      </c>
      <c r="I81" s="10">
        <v>100</v>
      </c>
      <c r="J81" s="20">
        <f t="shared" si="11"/>
        <v>1</v>
      </c>
      <c r="K81" s="16" t="s">
        <v>233</v>
      </c>
      <c r="L81" s="16" t="s">
        <v>215</v>
      </c>
      <c r="M81" s="16" t="str">
        <f t="shared" si="9"/>
        <v>模拟评分记录完整</v>
      </c>
      <c r="N81" s="8" t="s">
        <v>150</v>
      </c>
    </row>
    <row r="82" spans="1:14" ht="46.05" customHeight="1">
      <c r="A82" s="16" t="s">
        <v>74</v>
      </c>
      <c r="B82" s="16">
        <v>2</v>
      </c>
      <c r="C82" s="17" t="str">
        <f>三案例选用!C7</f>
        <v>SC-002</v>
      </c>
      <c r="D82" s="16" t="s">
        <v>228</v>
      </c>
      <c r="E82" s="17" t="str">
        <f>IF(AND(IF(COUNTIFS(资产清单!$A$6:$A$25,A82)&lt;&gt;1,"",IF(INDEX(资产清单!$H$6:$H$25,MATCH(A82,资产清单!$A$6:$A$25,0))="","",INDEX(资产清单!$H$6:$H$25,MATCH(A82,资产清单!$A$6:$A$25,0))))&lt;&gt;"场地",IF(COUNTIFS(资产清单!$A$6:$A$25,A82)&lt;&gt;1,"",IF(INDEX(资产清单!$H$6:$H$25,MATCH(A82,资产清单!$A$6:$A$25,0))="","",INDEX(资产清单!$H$6:$H$25,MATCH(A82,资产清单!$A$6:$A$25,0))))&lt;&gt;"车位",IF(COUNTIFS(资产清单!$A$6:$A$25,A82)&lt;&gt;1,"",IF(INDEX(资产清单!$H$6:$H$25,MATCH(A82,资产清单!$A$6:$A$25,0))="","",INDEX(资产清单!$H$6:$H$25,MATCH(A82,资产清单!$A$6:$A$25,0))))&lt;&gt;"通信基站"),"适用","不适用采用100/100")</f>
        <v>适用</v>
      </c>
      <c r="F82" s="17" t="str">
        <f>IF(AND(IF(COUNTIFS(资产清单!$A$6:$A$25,A82)&lt;&gt;1,"",IF(INDEX(资产清单!$H$6:$H$25,MATCH(A82,资产清单!$A$6:$A$25,0))="","",INDEX(资产清单!$H$6:$H$25,MATCH(A82,资产清单!$A$6:$A$25,0))))&lt;&gt;"场地",IF(COUNTIFS(资产清单!$A$6:$A$25,A82)&lt;&gt;1,"",IF(INDEX(资产清单!$H$6:$H$25,MATCH(A82,资产清单!$A$6:$A$25,0))="","",INDEX(资产清单!$H$6:$H$25,MATCH(A82,资产清单!$A$6:$A$25,0))))&lt;&gt;"车位",IF(COUNTIFS(资产清单!$A$6:$A$25,A82)&lt;&gt;1,"",IF(INDEX(资产清单!$H$6:$H$25,MATCH(A82,资产清单!$A$6:$A$25,0))="","",INDEX(资产清单!$H$6:$H$25,MATCH(A82,资产清单!$A$6:$A$25,0))))&lt;&gt;"通信基站"),IF(COUNTIFS(资产清单!$A$6:$A$25,A82)&lt;&gt;1,"",IF(INDEX(资产清单!$I$6:$I$25,MATCH(A82,资产清单!$A$6:$A$25,0))="","",INDEX(资产清单!$I$6:$I$25,MATCH(A82,资产清单!$A$6:$A$25,0)))),"不适用")</f>
        <v>临街商铺</v>
      </c>
      <c r="G82" s="17" t="str">
        <f>IF(AND(IF(COUNTIFS(资产清单!$A$6:$A$25,A82)&lt;&gt;1,"",IF(INDEX(资产清单!$H$6:$H$25,MATCH(A82,资产清单!$A$6:$A$25,0))="","",INDEX(资产清单!$H$6:$H$25,MATCH(A82,资产清单!$A$6:$A$25,0))))&lt;&gt;"场地",IF(COUNTIFS(资产清单!$A$6:$A$25,A82)&lt;&gt;1,"",IF(INDEX(资产清单!$H$6:$H$25,MATCH(A82,资产清单!$A$6:$A$25,0))="","",INDEX(资产清单!$H$6:$H$25,MATCH(A82,资产清单!$A$6:$A$25,0))))&lt;&gt;"车位",IF(COUNTIFS(资产清单!$A$6:$A$25,A82)&lt;&gt;1,"",IF(INDEX(资产清单!$H$6:$H$25,MATCH(A82,资产清单!$A$6:$A$25,0))="","",INDEX(资产清单!$H$6:$H$25,MATCH(A82,资产清单!$A$6:$A$25,0))))&lt;&gt;"通信基站"),IF(COUNTIFS(市场案例库!$A$6:$A$35,C82)&lt;&gt;1,"",IF(INDEX(市场案例库!$O$6:$O$35,MATCH(C82,市场案例库!$A$6:$A$35,0))="","",INDEX(市场案例库!$O$6:$O$35,MATCH(C82,市场案例库!$A$6:$A$35,0)))),"不适用")</f>
        <v>临街商铺</v>
      </c>
      <c r="H82" s="19">
        <f>测算参数!$B$6</f>
        <v>100</v>
      </c>
      <c r="I82" s="10">
        <v>100</v>
      </c>
      <c r="J82" s="21">
        <f>IF(OR(C82&lt;&gt;N82,COUNT(H82:I82)&lt;&gt;2,H82&lt;=0,I82&lt;=0),"",IF(AND(IF(COUNTIFS(资产清单!$A$6:$A$25,A82)&lt;&gt;1,"",IF(INDEX(资产清单!$H$6:$H$25,MATCH(A82,资产清单!$A$6:$A$25,0))="","",INDEX(资产清单!$H$6:$H$25,MATCH(A82,资产清单!$A$6:$A$25,0))))&lt;&gt;"场地",IF(COUNTIFS(资产清单!$A$6:$A$25,A82)&lt;&gt;1,"",IF(INDEX(资产清单!$H$6:$H$25,MATCH(A82,资产清单!$A$6:$A$25,0))="","",INDEX(资产清单!$H$6:$H$25,MATCH(A82,资产清单!$A$6:$A$25,0))))&lt;&gt;"车位",IF(COUNTIFS(资产清单!$A$6:$A$25,A82)&lt;&gt;1,"",IF(INDEX(资产清单!$H$6:$H$25,MATCH(A82,资产清单!$A$6:$A$25,0))="","",INDEX(资产清单!$H$6:$H$25,MATCH(A82,资产清单!$A$6:$A$25,0))))&lt;&gt;"通信基站"),H82/I82,H82/H82))</f>
        <v>1</v>
      </c>
      <c r="K82" s="16" t="s">
        <v>233</v>
      </c>
      <c r="L82" s="16" t="s">
        <v>215</v>
      </c>
      <c r="M82" s="16" t="str">
        <f t="shared" si="9"/>
        <v>模拟评分记录完整</v>
      </c>
      <c r="N82" s="8" t="s">
        <v>150</v>
      </c>
    </row>
    <row r="83" spans="1:14" ht="46.05" customHeight="1">
      <c r="A83" s="16" t="s">
        <v>74</v>
      </c>
      <c r="B83" s="16">
        <v>2</v>
      </c>
      <c r="C83" s="17" t="str">
        <f>三案例选用!C7</f>
        <v>SC-002</v>
      </c>
      <c r="D83" s="16" t="s">
        <v>229</v>
      </c>
      <c r="E83" s="17" t="str">
        <f>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"适用","不适用采用100/100")</f>
        <v>适用</v>
      </c>
      <c r="F83" s="17">
        <f>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IF(COUNTIFS(资产清单!$A$6:$A$25,A83)&lt;&gt;1,"",IF(COUNT(INDEX(资产清单!$N$6:$N$25,MATCH(A83,资产清单!$A$6:$A$25,0)))&lt;&gt;1,"",INDEX(资产清单!$N$6:$N$25,MATCH(A83,资产清单!$A$6:$A$25,0)))),"不适用")</f>
        <v>2</v>
      </c>
      <c r="G83" s="17">
        <f>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IF(COUNTIFS(市场案例库!$A$6:$A$35,C83)&lt;&gt;1,"",IF(COUNT(INDEX(市场案例库!$I$6:$I$35,MATCH(C83,市场案例库!$A$6:$A$35,0)))&lt;&gt;1,"",INDEX(市场案例库!$I$6:$I$35,MATCH(C83,市场案例库!$A$6:$A$35,0)))),"不适用")</f>
        <v>3</v>
      </c>
      <c r="H83" s="19">
        <f>测算参数!$B$6</f>
        <v>100</v>
      </c>
      <c r="I83" s="19">
        <f>IF(OR(COUNTIFS(市场案例库!$A$6:$A$35,C83)&lt;&gt;1,AND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OR(COUNT(IF(COUNTIFS(资产清单!$A$6:$A$25,A83)&lt;&gt;1,"",IF(COUNT(INDEX(资产清单!$N$6:$N$25,MATCH(A83,资产清单!$A$6:$A$25,0)))&lt;&gt;1,"",INDEX(资产清单!$N$6:$N$25,MATCH(A83,资产清单!$A$6:$A$25,0)))),IF(COUNTIFS(市场案例库!$A$6:$A$35,C83)&lt;&gt;1,"",IF(COUNT(INDEX(市场案例库!$I$6:$I$35,MATCH(C83,市场案例库!$A$6:$A$35,0)))&lt;&gt;1,"",INDEX(市场案例库!$I$6:$I$35,MATCH(C83,市场案例库!$A$6:$A$35,0)))))&lt;&gt;2,IF(COUNTIFS(资产清单!$A$6:$A$25,A83)&lt;&gt;1,"",IF(COUNT(INDEX(资产清单!$N$6:$N$25,MATCH(A83,资产清单!$A$6:$A$25,0)))&lt;&gt;1,"",INDEX(资产清单!$N$6:$N$25,MATCH(A83,资产清单!$A$6:$A$25,0))))&lt;1,IF(COUNTIFS(资产清单!$A$6:$A$25,A83)&lt;&gt;1,"",IF(COUNT(INDEX(资产清单!$N$6:$N$25,MATCH(A83,资产清单!$A$6:$A$25,0)))&lt;&gt;1,"",INDEX(资产清单!$N$6:$N$25,MATCH(A83,资产清单!$A$6:$A$25,0))))&gt;4,IF(COUNTIFS(市场案例库!$A$6:$A$35,C83)&lt;&gt;1,"",IF(COUNT(INDEX(市场案例库!$I$6:$I$35,MATCH(C83,市场案例库!$A$6:$A$35,0)))&lt;&gt;1,"",INDEX(市场案例库!$I$6:$I$35,MATCH(C83,市场案例库!$A$6:$A$35,0))))&lt;1,IF(COUNTIFS(市场案例库!$A$6:$A$35,C83)&lt;&gt;1,"",IF(COUNT(INDEX(市场案例库!$I$6:$I$35,MATCH(C83,市场案例库!$A$6:$A$35,0)))&lt;&gt;1,"",INDEX(市场案例库!$I$6:$I$35,MATCH(C83,市场案例库!$A$6:$A$35,0))))&gt;4))),"",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INDEX(测算参数!$B$35:$B$41,MATCH(IF(COUNTIFS(市场案例库!$A$6:$A$35,C83)&lt;&gt;1,"",IF(COUNT(INDEX(市场案例库!$I$6:$I$35,MATCH(C83,市场案例库!$A$6:$A$35,0)))&lt;&gt;1,"",INDEX(市场案例库!$I$6:$I$35,MATCH(C83,市场案例库!$A$6:$A$35,0))))-IF(COUNTIFS(资产清单!$A$6:$A$25,A83)&lt;&gt;1,"",IF(COUNT(INDEX(资产清单!$N$6:$N$25,MATCH(A83,资产清单!$A$6:$A$25,0)))&lt;&gt;1,"",INDEX(资产清单!$N$6:$N$25,MATCH(A83,资产清单!$A$6:$A$25,0)))),测算参数!$A$35:$A$41,0)),测算参数!$B$6))</f>
        <v>102</v>
      </c>
      <c r="J83" s="21">
        <f>IF(OR(C83&lt;&gt;N83,COUNT(H83:I83)&lt;&gt;2,H83&lt;=0,I83&lt;=0),"",IF(AND(IF(COUNTIFS(资产清单!$A$6:$A$25,A83)&lt;&gt;1,"",IF(INDEX(资产清单!$H$6:$H$25,MATCH(A83,资产清单!$A$6:$A$25,0))="","",INDEX(资产清单!$H$6:$H$25,MATCH(A83,资产清单!$A$6:$A$25,0))))&lt;&gt;"场地",IF(COUNTIFS(资产清单!$A$6:$A$25,A83)&lt;&gt;1,"",IF(INDEX(资产清单!$H$6:$H$25,MATCH(A83,资产清单!$A$6:$A$25,0))="","",INDEX(资产清单!$H$6:$H$25,MATCH(A83,资产清单!$A$6:$A$25,0))))&lt;&gt;"车位",IF(COUNTIFS(资产清单!$A$6:$A$25,A83)&lt;&gt;1,"",IF(INDEX(资产清单!$H$6:$H$25,MATCH(A83,资产清单!$A$6:$A$25,0))="","",INDEX(资产清单!$H$6:$H$25,MATCH(A83,资产清单!$A$6:$A$25,0))))&lt;&gt;"通信基站"),H83/I83,H83/H83))</f>
        <v>0.98039215686274506</v>
      </c>
      <c r="K83" s="16" t="s">
        <v>233</v>
      </c>
      <c r="L83" s="16" t="s">
        <v>230</v>
      </c>
      <c r="M83" s="16" t="str">
        <f t="shared" si="9"/>
        <v>模拟评分记录完整</v>
      </c>
      <c r="N83" s="8" t="s">
        <v>150</v>
      </c>
    </row>
    <row r="84" spans="1:14" ht="46.05" customHeight="1">
      <c r="A84" s="16" t="s">
        <v>74</v>
      </c>
      <c r="B84" s="16">
        <v>2</v>
      </c>
      <c r="C84" s="17" t="str">
        <f>三案例选用!C7</f>
        <v>SC-002</v>
      </c>
      <c r="D84" s="16" t="s">
        <v>231</v>
      </c>
      <c r="E84" s="17" t="str">
        <f>IF(AND(IF(COUNTIFS(资产清单!$A$6:$A$25,A84)&lt;&gt;1,"",IF(INDEX(资产清单!$H$6:$H$25,MATCH(A84,资产清单!$A$6:$A$25,0))="","",INDEX(资产清单!$H$6:$H$25,MATCH(A84,资产清单!$A$6:$A$25,0))))&lt;&gt;"场地",IF(COUNTIFS(资产清单!$A$6:$A$25,A84)&lt;&gt;1,"",IF(INDEX(资产清单!$H$6:$H$25,MATCH(A84,资产清单!$A$6:$A$25,0))="","",INDEX(资产清单!$H$6:$H$25,MATCH(A84,资产清单!$A$6:$A$25,0))))&lt;&gt;"车位",IF(COUNTIFS(资产清单!$A$6:$A$25,A84)&lt;&gt;1,"",IF(INDEX(资产清单!$H$6:$H$25,MATCH(A84,资产清单!$A$6:$A$25,0))="","",INDEX(资产清单!$H$6:$H$25,MATCH(A84,资产清单!$A$6:$A$25,0))))&lt;&gt;"通信基站"),"适用","不适用采用100/100")</f>
        <v>适用</v>
      </c>
      <c r="F84" s="17" t="str">
        <f>IF(AND(IF(COUNTIFS(资产清单!$A$6:$A$25,A84)&lt;&gt;1,"",IF(INDEX(资产清单!$H$6:$H$25,MATCH(A84,资产清单!$A$6:$A$25,0))="","",INDEX(资产清单!$H$6:$H$25,MATCH(A84,资产清单!$A$6:$A$25,0))))&lt;&gt;"场地",IF(COUNTIFS(资产清单!$A$6:$A$25,A84)&lt;&gt;1,"",IF(INDEX(资产清单!$H$6:$H$25,MATCH(A84,资产清单!$A$6:$A$25,0))="","",INDEX(资产清单!$H$6:$H$25,MATCH(A84,资产清单!$A$6:$A$25,0))))&lt;&gt;"车位",IF(COUNTIFS(资产清单!$A$6:$A$25,A84)&lt;&gt;1,"",IF(INDEX(资产清单!$H$6:$H$25,MATCH(A84,资产清单!$A$6:$A$25,0))="","",INDEX(资产清单!$H$6:$H$25,MATCH(A84,资产清单!$A$6:$A$25,0))))&lt;&gt;"通信基站"),IF(COUNTIFS(资产清单!$A$6:$A$25,A84)&lt;&gt;1,"",IF(INDEX(资产清单!$I$6:$I$25,MATCH(A84,资产清单!$A$6:$A$25,0))="","",INDEX(资产清单!$I$6:$I$25,MATCH(A84,资产清单!$A$6:$A$25,0)))),"不适用")</f>
        <v>临街商铺</v>
      </c>
      <c r="G84" s="17" t="str">
        <f>IF(AND(IF(COUNTIFS(资产清单!$A$6:$A$25,A84)&lt;&gt;1,"",IF(INDEX(资产清单!$H$6:$H$25,MATCH(A84,资产清单!$A$6:$A$25,0))="","",INDEX(资产清单!$H$6:$H$25,MATCH(A84,资产清单!$A$6:$A$25,0))))&lt;&gt;"场地",IF(COUNTIFS(资产清单!$A$6:$A$25,A84)&lt;&gt;1,"",IF(INDEX(资产清单!$H$6:$H$25,MATCH(A84,资产清单!$A$6:$A$25,0))="","",INDEX(资产清单!$H$6:$H$25,MATCH(A84,资产清单!$A$6:$A$25,0))))&lt;&gt;"车位",IF(COUNTIFS(资产清单!$A$6:$A$25,A84)&lt;&gt;1,"",IF(INDEX(资产清单!$H$6:$H$25,MATCH(A84,资产清单!$A$6:$A$25,0))="","",INDEX(资产清单!$H$6:$H$25,MATCH(A84,资产清单!$A$6:$A$25,0))))&lt;&gt;"通信基站"),IF(COUNTIFS(市场案例库!$A$6:$A$35,C84)&lt;&gt;1,"",IF(INDEX(市场案例库!$O$6:$O$35,MATCH(C84,市场案例库!$A$6:$A$35,0))="","",INDEX(市场案例库!$O$6:$O$35,MATCH(C84,市场案例库!$A$6:$A$35,0)))),"不适用")</f>
        <v>临街商铺</v>
      </c>
      <c r="H84" s="19">
        <f>测算参数!$B$6</f>
        <v>100</v>
      </c>
      <c r="I84" s="10">
        <v>100</v>
      </c>
      <c r="J84" s="21">
        <f>IF(OR(C84&lt;&gt;N84,COUNT(H84:I84)&lt;&gt;2,H84&lt;=0,I84&lt;=0),"",IF(AND(IF(COUNTIFS(资产清单!$A$6:$A$25,A84)&lt;&gt;1,"",IF(INDEX(资产清单!$H$6:$H$25,MATCH(A84,资产清单!$A$6:$A$25,0))="","",INDEX(资产清单!$H$6:$H$25,MATCH(A84,资产清单!$A$6:$A$25,0))))&lt;&gt;"场地",IF(COUNTIFS(资产清单!$A$6:$A$25,A84)&lt;&gt;1,"",IF(INDEX(资产清单!$H$6:$H$25,MATCH(A84,资产清单!$A$6:$A$25,0))="","",INDEX(资产清单!$H$6:$H$25,MATCH(A84,资产清单!$A$6:$A$25,0))))&lt;&gt;"车位",IF(COUNTIFS(资产清单!$A$6:$A$25,A84)&lt;&gt;1,"",IF(INDEX(资产清单!$H$6:$H$25,MATCH(A84,资产清单!$A$6:$A$25,0))="","",INDEX(资产清单!$H$6:$H$25,MATCH(A84,资产清单!$A$6:$A$25,0))))&lt;&gt;"通信基站"),H84/I84,H84/H84))</f>
        <v>1</v>
      </c>
      <c r="K84" s="16" t="s">
        <v>233</v>
      </c>
      <c r="L84" s="16" t="s">
        <v>215</v>
      </c>
      <c r="M84" s="16" t="str">
        <f t="shared" si="9"/>
        <v>模拟评分记录完整</v>
      </c>
      <c r="N84" s="8" t="s">
        <v>150</v>
      </c>
    </row>
    <row r="85" spans="1:14" ht="46.05" customHeight="1">
      <c r="A85" s="16" t="s">
        <v>74</v>
      </c>
      <c r="B85" s="16">
        <v>2</v>
      </c>
      <c r="C85" s="17" t="str">
        <f>三案例选用!C7</f>
        <v>SC-002</v>
      </c>
      <c r="D85" s="16" t="s">
        <v>232</v>
      </c>
      <c r="E85" s="16" t="str">
        <f>IF(TRUE,"适用","不适用采用100/100")</f>
        <v>适用</v>
      </c>
      <c r="F85" s="17" t="str">
        <f>IF(TRUE,IF(COUNTIFS(资产清单!$A$6:$A$25,A85)&lt;&gt;1,"",IF(INDEX(资产清单!$I$6:$I$25,MATCH(A85,资产清单!$A$6:$A$25,0))="","",INDEX(资产清单!$I$6:$I$25,MATCH(A85,资产清单!$A$6:$A$25,0)))),"不适用")</f>
        <v>临街商铺</v>
      </c>
      <c r="G85" s="17" t="str">
        <f>IF(TRUE,IF(COUNTIFS(市场案例库!$A$6:$A$35,C85)&lt;&gt;1,"",IF(INDEX(市场案例库!$O$6:$O$35,MATCH(C85,市场案例库!$A$6:$A$35,0))="","",INDEX(市场案例库!$O$6:$O$35,MATCH(C85,市场案例库!$A$6:$A$35,0)))),"不适用")</f>
        <v>临街商铺</v>
      </c>
      <c r="H85" s="19">
        <f>测算参数!$B$6</f>
        <v>100</v>
      </c>
      <c r="I85" s="10">
        <v>100</v>
      </c>
      <c r="J85" s="20">
        <f>IF(OR(C85&lt;&gt;N85,COUNT(H85:I85)&lt;&gt;2,H85&lt;=0,I85&lt;=0),"",IF(TRUE,H85/I85,H85/H85))</f>
        <v>1</v>
      </c>
      <c r="K85" s="16" t="s">
        <v>233</v>
      </c>
      <c r="L85" s="16" t="s">
        <v>215</v>
      </c>
      <c r="M85" s="16" t="str">
        <f t="shared" si="9"/>
        <v>模拟评分记录完整</v>
      </c>
      <c r="N85" s="8" t="s">
        <v>150</v>
      </c>
    </row>
    <row r="86" spans="1:14" ht="46.05" customHeight="1">
      <c r="A86" s="16" t="s">
        <v>74</v>
      </c>
      <c r="B86" s="16">
        <v>3</v>
      </c>
      <c r="C86" s="17" t="str">
        <f>三案例选用!D7</f>
        <v>SC-003</v>
      </c>
      <c r="D86" s="16" t="s">
        <v>209</v>
      </c>
      <c r="E86" s="16" t="str">
        <f>IF(TRUE,"适用","不适用采用100/100")</f>
        <v>适用</v>
      </c>
      <c r="F86" s="17" t="str">
        <f>IF(TRUE,IF(COUNTIFS(资产清单!$A$6:$A$25,A86)&lt;&gt;1,"",IF(INDEX(资产清单!$I$6:$I$25,MATCH(A86,资产清单!$A$6:$A$25,0))="","",INDEX(资产清单!$I$6:$I$25,MATCH(A86,资产清单!$A$6:$A$25,0)))),"不适用")</f>
        <v>临街商铺</v>
      </c>
      <c r="G86" s="17" t="str">
        <f>IF(TRUE,IF(COUNTIFS(市场案例库!$A$6:$A$35,C86)&lt;&gt;1,"",IF(INDEX(市场案例库!$O$6:$O$35,MATCH(C86,市场案例库!$A$6:$A$35,0))="","",INDEX(市场案例库!$O$6:$O$35,MATCH(C86,市场案例库!$A$6:$A$35,0)))),"不适用")</f>
        <v>临街商铺</v>
      </c>
      <c r="H86" s="19">
        <f>测算参数!$B$6</f>
        <v>100</v>
      </c>
      <c r="I86" s="19">
        <f>IF(OR(COUNTIFS(市场案例库!$A$6:$A$35,C86)&lt;&gt;1),"",IF(COUNTIFS(市场案例库!$A$6:$A$35,C86)&lt;&gt;1,"",IF(COUNT(INDEX(市场案例库!$M$6:$M$35,MATCH(C86,市场案例库!$A$6:$A$35,0)))&lt;&gt;1,"",INDEX(市场案例库!$M$6:$M$35,MATCH(C86,市场案例库!$A$6:$A$35,0)))))</f>
        <v>102</v>
      </c>
      <c r="J86" s="20">
        <f>IF(OR(C86&lt;&gt;N86,COUNT(H86:I86)&lt;&gt;2,H86&lt;=0,I86&lt;=0),"",IF(TRUE,H86/I86,H86/H86))</f>
        <v>0.98039215686274506</v>
      </c>
      <c r="K86" s="16" t="s">
        <v>233</v>
      </c>
      <c r="L86" s="16" t="s">
        <v>211</v>
      </c>
      <c r="M86" s="16" t="str">
        <f t="shared" si="9"/>
        <v>模拟评分记录完整</v>
      </c>
      <c r="N86" s="8" t="s">
        <v>151</v>
      </c>
    </row>
    <row r="87" spans="1:14" ht="46.05" customHeight="1">
      <c r="A87" s="16" t="s">
        <v>74</v>
      </c>
      <c r="B87" s="16">
        <v>3</v>
      </c>
      <c r="C87" s="17" t="str">
        <f>三案例选用!D7</f>
        <v>SC-003</v>
      </c>
      <c r="D87" s="16" t="s">
        <v>212</v>
      </c>
      <c r="E87" s="16" t="str">
        <f>IF(TRUE,"适用","不适用采用100/100")</f>
        <v>适用</v>
      </c>
      <c r="F87" s="17" t="str">
        <f>IF(TRUE,IF(COUNTIFS(资产清单!$A$6:$A$25,A87)&lt;&gt;1,"",IF(INDEX(资产清单!$I$6:$I$25,MATCH(A87,资产清单!$A$6:$A$25,0))="","",INDEX(资产清单!$I$6:$I$25,MATCH(A87,资产清单!$A$6:$A$25,0)))),"不适用")</f>
        <v>临街商铺</v>
      </c>
      <c r="G87" s="17" t="str">
        <f>IF(TRUE,IF(COUNTIFS(市场案例库!$A$6:$A$35,C87)&lt;&gt;1,"",IF(INDEX(市场案例库!$O$6:$O$35,MATCH(C87,市场案例库!$A$6:$A$35,0))="","",INDEX(市场案例库!$O$6:$O$35,MATCH(C87,市场案例库!$A$6:$A$35,0)))),"不适用")</f>
        <v>临街商铺</v>
      </c>
      <c r="H87" s="19">
        <f>测算参数!$B$6</f>
        <v>100</v>
      </c>
      <c r="I87" s="19">
        <f>IF(OR(COUNTIFS(市场案例库!$A$6:$A$35,C87)&lt;&gt;1),"",IF(COUNTIFS(市场案例库!$A$6:$A$35,C87)&lt;&gt;1,"",IF(COUNT(INDEX(市场案例库!$N$6:$N$35,MATCH(C87,市场案例库!$A$6:$A$35,0)))&lt;&gt;1,"",INDEX(市场案例库!$N$6:$N$35,MATCH(C87,市场案例库!$A$6:$A$35,0)))))</f>
        <v>100</v>
      </c>
      <c r="J87" s="20">
        <f>IF(OR(C87&lt;&gt;N87,COUNT(H87:I87)&lt;&gt;2,H87&lt;=0,I87&lt;=0),"",IF(TRUE,H87/I87,H87/H87))</f>
        <v>1</v>
      </c>
      <c r="K87" s="16" t="s">
        <v>233</v>
      </c>
      <c r="L87" s="16" t="s">
        <v>213</v>
      </c>
      <c r="M87" s="16" t="str">
        <f t="shared" si="9"/>
        <v>模拟评分记录完整</v>
      </c>
      <c r="N87" s="8" t="s">
        <v>151</v>
      </c>
    </row>
    <row r="88" spans="1:14" ht="46.05" customHeight="1">
      <c r="A88" s="16" t="s">
        <v>74</v>
      </c>
      <c r="B88" s="16">
        <v>3</v>
      </c>
      <c r="C88" s="17" t="str">
        <f>三案例选用!D7</f>
        <v>SC-003</v>
      </c>
      <c r="D88" s="16" t="s">
        <v>214</v>
      </c>
      <c r="E88" s="16" t="str">
        <f>IF(TRUE,"适用","不适用采用100/100")</f>
        <v>适用</v>
      </c>
      <c r="F88" s="17" t="str">
        <f>IF(TRUE,IF(COUNTIFS(资产清单!$A$6:$A$25,A88)&lt;&gt;1,"",IF(INDEX(资产清单!$I$6:$I$25,MATCH(A88,资产清单!$A$6:$A$25,0))="","",INDEX(资产清单!$I$6:$I$25,MATCH(A88,资产清单!$A$6:$A$25,0)))),"不适用")</f>
        <v>临街商铺</v>
      </c>
      <c r="G88" s="17" t="str">
        <f>IF(TRUE,IF(COUNTIFS(市场案例库!$A$6:$A$35,C88)&lt;&gt;1,"",IF(INDEX(市场案例库!$O$6:$O$35,MATCH(C88,市场案例库!$A$6:$A$35,0))="","",INDEX(市场案例库!$O$6:$O$35,MATCH(C88,市场案例库!$A$6:$A$35,0)))),"不适用")</f>
        <v>临街商铺</v>
      </c>
      <c r="H88" s="19">
        <f>测算参数!$B$6</f>
        <v>100</v>
      </c>
      <c r="I88" s="10">
        <v>100</v>
      </c>
      <c r="J88" s="20">
        <f>IF(OR(C88&lt;&gt;N88,COUNT(H88:I88)&lt;&gt;2,H88&lt;=0,I88&lt;=0),"",IF(TRUE,H88/I88,H88/H88))</f>
        <v>1</v>
      </c>
      <c r="K88" s="16" t="s">
        <v>233</v>
      </c>
      <c r="L88" s="16" t="s">
        <v>215</v>
      </c>
      <c r="M88" s="16" t="str">
        <f t="shared" si="9"/>
        <v>模拟评分记录完整</v>
      </c>
      <c r="N88" s="8" t="s">
        <v>151</v>
      </c>
    </row>
    <row r="89" spans="1:14" ht="46.05" customHeight="1">
      <c r="A89" s="16" t="s">
        <v>74</v>
      </c>
      <c r="B89" s="16">
        <v>3</v>
      </c>
      <c r="C89" s="17" t="str">
        <f>三案例选用!D7</f>
        <v>SC-003</v>
      </c>
      <c r="D89" s="16" t="s">
        <v>216</v>
      </c>
      <c r="E89" s="16" t="str">
        <f>IF(TRUE,"适用","不适用采用100/100")</f>
        <v>适用</v>
      </c>
      <c r="F89" s="17" t="str">
        <f>IF(TRUE,IF(COUNTIFS(资产清单!$A$6:$A$25,A89)&lt;&gt;1,"",IF(INDEX(资产清单!$I$6:$I$25,MATCH(A89,资产清单!$A$6:$A$25,0))="","",INDEX(资产清单!$I$6:$I$25,MATCH(A89,资产清单!$A$6:$A$25,0)))),"不适用")</f>
        <v>临街商铺</v>
      </c>
      <c r="G89" s="17" t="str">
        <f>IF(TRUE,IF(COUNTIFS(市场案例库!$A$6:$A$35,C89)&lt;&gt;1,"",IF(INDEX(市场案例库!$O$6:$O$35,MATCH(C89,市场案例库!$A$6:$A$35,0))="","",INDEX(市场案例库!$O$6:$O$35,MATCH(C89,市场案例库!$A$6:$A$35,0)))),"不适用")</f>
        <v>临街商铺</v>
      </c>
      <c r="H89" s="19">
        <f>测算参数!$B$6</f>
        <v>100</v>
      </c>
      <c r="I89" s="10">
        <v>100</v>
      </c>
      <c r="J89" s="20">
        <f>IF(OR(C89&lt;&gt;N89,COUNT(H89:I89)&lt;&gt;2,H89&lt;=0,I89&lt;=0),"",IF(TRUE,H89/I89,H89/H89))</f>
        <v>1</v>
      </c>
      <c r="K89" s="16" t="s">
        <v>233</v>
      </c>
      <c r="L89" s="16" t="s">
        <v>215</v>
      </c>
      <c r="M89" s="16" t="str">
        <f t="shared" si="9"/>
        <v>模拟评分记录完整</v>
      </c>
      <c r="N89" s="8" t="s">
        <v>151</v>
      </c>
    </row>
    <row r="90" spans="1:14" ht="46.05" customHeight="1">
      <c r="A90" s="16" t="s">
        <v>74</v>
      </c>
      <c r="B90" s="16">
        <v>3</v>
      </c>
      <c r="C90" s="17" t="str">
        <f>三案例选用!D7</f>
        <v>SC-003</v>
      </c>
      <c r="D90" s="16" t="s">
        <v>217</v>
      </c>
      <c r="E90" s="17" t="str">
        <f>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"适用","不适用采用100/100")</f>
        <v>适用</v>
      </c>
      <c r="F90" s="17">
        <f>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IF(COUNTIFS(资产清单!$A$6:$A$25,A90)&lt;&gt;1,"",IF(COUNT(INDEX(资产清单!$M$6:$M$25,MATCH(A90,资产清单!$A$6:$A$25,0)))&lt;&gt;1,"",INDEX(资产清单!$M$6:$M$25,MATCH(A90,资产清单!$A$6:$A$25,0)))),"不适用")</f>
        <v>1</v>
      </c>
      <c r="G90" s="17">
        <f>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IF(COUNTIFS(市场案例库!$A$6:$A$35,C90)&lt;&gt;1,"",IF(COUNT(INDEX(市场案例库!$H$6:$H$35,MATCH(C90,市场案例库!$A$6:$A$35,0)))&lt;&gt;1,"",INDEX(市场案例库!$H$6:$H$35,MATCH(C90,市场案例库!$A$6:$A$35,0)))),"不适用")</f>
        <v>2</v>
      </c>
      <c r="H90" s="19">
        <f>测算参数!$B$6</f>
        <v>100</v>
      </c>
      <c r="I90" s="19">
        <f>IF(OR(COUNTIFS(市场案例库!$A$6:$A$35,C90)&lt;&gt;1,AND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COUNT(IF(COUNTIFS(资产清单!$A$6:$A$25,A90)&lt;&gt;1,"",IF(COUNT(INDEX(资产清单!$M$6:$M$25,MATCH(A90,资产清单!$A$6:$A$25,0)))&lt;&gt;1,"",INDEX(资产清单!$M$6:$M$25,MATCH(A90,资产清单!$A$6:$A$25,0)))),IF(COUNTIFS(市场案例库!$A$6:$A$35,C90)&lt;&gt;1,"",IF(COUNT(INDEX(市场案例库!$H$6:$H$35,MATCH(C90,市场案例库!$A$6:$A$35,0)))&lt;&gt;1,"",INDEX(市场案例库!$H$6:$H$35,MATCH(C90,市场案例库!$A$6:$A$35,0)))))&lt;&gt;2)),"",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INDEX(测算参数!$B$25:$B$31,MATCH(MAX(-测算参数!$B$11,MIN(测算参数!$B$11,IF(COUNTIFS(资产清单!$A$6:$A$25,A90)&lt;&gt;1,"",IF(COUNT(INDEX(资产清单!$M$6:$M$25,MATCH(A90,资产清单!$A$6:$A$25,0)))&lt;&gt;1,"",INDEX(资产清单!$M$6:$M$25,MATCH(A90,资产清单!$A$6:$A$25,0))))-IF(COUNTIFS(市场案例库!$A$6:$A$35,C90)&lt;&gt;1,"",IF(COUNT(INDEX(市场案例库!$H$6:$H$35,MATCH(C90,市场案例库!$A$6:$A$35,0)))&lt;&gt;1,"",INDEX(市场案例库!$H$6:$H$35,MATCH(C90,市场案例库!$A$6:$A$35,0)))))),测算参数!$A$25:$A$31,0)),测算参数!$B$6))</f>
        <v>99</v>
      </c>
      <c r="J90" s="21">
        <f>IF(OR(C90&lt;&gt;N90,COUNT(H90:I90)&lt;&gt;2,H90&lt;=0,I90&lt;=0),"",IF(OR(IF(COUNTIFS(资产清单!$A$6:$A$25,A90)&lt;&gt;1,"",IF(INDEX(资产清单!$H$6:$H$25,MATCH(A90,资产清单!$A$6:$A$25,0))="","",INDEX(资产清单!$H$6:$H$25,MATCH(A90,资产清单!$A$6:$A$25,0))))="商业",IF(COUNTIFS(资产清单!$A$6:$A$25,A90)&lt;&gt;1,"",IF(INDEX(资产清单!$H$6:$H$25,MATCH(A90,资产清单!$A$6:$A$25,0))="","",INDEX(资产清单!$H$6:$H$25,MATCH(A90,资产清单!$A$6:$A$25,0))))="办公",IF(COUNTIFS(资产清单!$A$6:$A$25,A90)&lt;&gt;1,"",IF(INDEX(资产清单!$H$6:$H$25,MATCH(A90,资产清单!$A$6:$A$25,0))="","",INDEX(资产清单!$H$6:$H$25,MATCH(A90,资产清单!$A$6:$A$25,0))))="住宅"),H90/I90,H90/H90))</f>
        <v>1.0101010101010102</v>
      </c>
      <c r="K90" s="16" t="s">
        <v>233</v>
      </c>
      <c r="L90" s="16" t="s">
        <v>218</v>
      </c>
      <c r="M90" s="16" t="str">
        <f t="shared" si="9"/>
        <v>模拟评分记录完整</v>
      </c>
      <c r="N90" s="8" t="s">
        <v>151</v>
      </c>
    </row>
    <row r="91" spans="1:14" ht="46.05" customHeight="1">
      <c r="A91" s="16" t="s">
        <v>74</v>
      </c>
      <c r="B91" s="16">
        <v>3</v>
      </c>
      <c r="C91" s="17" t="str">
        <f>三案例选用!D7</f>
        <v>SC-003</v>
      </c>
      <c r="D91" s="16" t="s">
        <v>219</v>
      </c>
      <c r="E91" s="17" t="str">
        <f>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"适用","不适用采用100/100")</f>
        <v>适用</v>
      </c>
      <c r="F91" s="17">
        <f>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IF(COUNTIFS(资产清单!$A$6:$A$25,A91)&lt;&gt;1,"",IF(COUNT(INDEX(资产清单!$L$6:$L$25,MATCH(A91,资产清单!$A$6:$A$25,0)))&lt;&gt;1,"",INDEX(资产清单!$L$6:$L$25,MATCH(A91,资产清单!$A$6:$A$25,0)))),"不适用")</f>
        <v>110</v>
      </c>
      <c r="G91" s="17">
        <f>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IF(COUNTIFS(市场案例库!$A$6:$A$35,C91)&lt;&gt;1,"",IF(COUNT(INDEX(市场案例库!$G$6:$G$35,MATCH(C91,市场案例库!$A$6:$A$35,0)))&lt;&gt;1,"",INDEX(市场案例库!$G$6:$G$35,MATCH(C91,市场案例库!$A$6:$A$35,0)))),"不适用")</f>
        <v>90</v>
      </c>
      <c r="H91" s="19">
        <f>测算参数!$B$6</f>
        <v>100</v>
      </c>
      <c r="I91" s="19">
        <f>IF(OR(COUNTIFS(市场案例库!$A$6:$A$35,C91)&lt;&gt;1,AND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OR(COUNT(IF(COUNTIFS(资产清单!$A$6:$A$25,A91)&lt;&gt;1,"",IF(COUNT(INDEX(资产清单!$L$6:$L$25,MATCH(A91,资产清单!$A$6:$A$25,0)))&lt;&gt;1,"",INDEX(资产清单!$L$6:$L$25,MATCH(A91,资产清单!$A$6:$A$25,0)))),IF(COUNTIFS(市场案例库!$A$6:$A$35,C91)&lt;&gt;1,"",IF(COUNT(INDEX(市场案例库!$G$6:$G$35,MATCH(C91,市场案例库!$A$6:$A$35,0)))&lt;&gt;1,"",INDEX(市场案例库!$G$6:$G$35,MATCH(C91,市场案例库!$A$6:$A$35,0)))))&lt;&gt;2,IF(COUNTIFS(资产清单!$A$6:$A$25,A91)&lt;&gt;1,"",IF(COUNT(INDEX(资产清单!$L$6:$L$25,MATCH(A91,资产清单!$A$6:$A$25,0)))&lt;&gt;1,"",INDEX(资产清单!$L$6:$L$25,MATCH(A91,资产清单!$A$6:$A$25,0))))&lt;=0,IF(COUNTIFS(市场案例库!$A$6:$A$35,C91)&lt;&gt;1,"",IF(COUNT(INDEX(市场案例库!$G$6:$G$35,MATCH(C91,市场案例库!$A$6:$A$35,0)))&lt;&gt;1,"",INDEX(市场案例库!$G$6:$G$35,MATCH(C91,市场案例库!$A$6:$A$35,0))))&lt;=0))),"",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LOOKUP(IF(COUNTIFS(市场案例库!$A$6:$A$35,C91)&lt;&gt;1,"",IF(COUNT(INDEX(市场案例库!$G$6:$G$35,MATCH(C91,市场案例库!$A$6:$A$35,0)))&lt;&gt;1,"",INDEX(市场案例库!$G$6:$G$35,MATCH(C91,市场案例库!$A$6:$A$35,0))))/IF(COUNTIFS(资产清单!$A$6:$A$25,A91)&lt;&gt;1,"",IF(COUNT(INDEX(资产清单!$L$6:$L$25,MATCH(A91,资产清单!$A$6:$A$25,0)))&lt;&gt;1,"",INDEX(资产清单!$L$6:$L$25,MATCH(A91,资产清单!$A$6:$A$25,0)))),测算参数!$A$15:$A$21,测算参数!$C$15:$C$21),测算参数!$B$6))</f>
        <v>100</v>
      </c>
      <c r="J91" s="21">
        <f>IF(OR(C91&lt;&gt;N91,COUNT(H91:I91)&lt;&gt;2,H91&lt;=0,I91&lt;=0),"",IF(AND(IF(COUNTIFS(资产清单!$A$6:$A$25,A91)&lt;&gt;1,"",IF(INDEX(资产清单!$J$6:$J$25,MATCH(A91,资产清单!$A$6:$A$25,0))="","",INDEX(资产清单!$J$6:$J$25,MATCH(A91,资产清单!$A$6:$A$25,0))))="元/㎡/月",IF(COUNTIFS(资产清单!$A$6:$A$25,A91)&lt;&gt;1,"",IF(INDEX(资产清单!$H$6:$H$25,MATCH(A91,资产清单!$A$6:$A$25,0))="","",INDEX(资产清单!$H$6:$H$25,MATCH(A91,资产清单!$A$6:$A$25,0))))&lt;&gt;"场地"),H91/I91,H91/H91))</f>
        <v>1</v>
      </c>
      <c r="K91" s="16" t="s">
        <v>233</v>
      </c>
      <c r="L91" s="16" t="s">
        <v>220</v>
      </c>
      <c r="M91" s="16" t="str">
        <f t="shared" si="9"/>
        <v>模拟评分记录完整</v>
      </c>
      <c r="N91" s="8" t="s">
        <v>151</v>
      </c>
    </row>
    <row r="92" spans="1:14" ht="46.05" customHeight="1">
      <c r="A92" s="16" t="s">
        <v>74</v>
      </c>
      <c r="B92" s="16">
        <v>3</v>
      </c>
      <c r="C92" s="17" t="str">
        <f>三案例选用!D7</f>
        <v>SC-003</v>
      </c>
      <c r="D92" s="16" t="s">
        <v>221</v>
      </c>
      <c r="E92" s="16" t="str">
        <f t="shared" ref="E92:E97" si="12">IF(TRUE,"适用","不适用采用100/100")</f>
        <v>适用</v>
      </c>
      <c r="F92" s="17" t="str">
        <f>IF(TRUE,IF(COUNTIFS(资产清单!$A$6:$A$25,A92)&lt;&gt;1,"",IF(INDEX(资产清单!$I$6:$I$25,MATCH(A92,资产清单!$A$6:$A$25,0))="","",INDEX(资产清单!$I$6:$I$25,MATCH(A92,资产清单!$A$6:$A$25,0)))),"不适用")</f>
        <v>临街商铺</v>
      </c>
      <c r="G92" s="17" t="str">
        <f>IF(TRUE,IF(COUNTIFS(市场案例库!$A$6:$A$35,C92)&lt;&gt;1,"",IF(INDEX(市场案例库!$O$6:$O$35,MATCH(C92,市场案例库!$A$6:$A$35,0))="","",INDEX(市场案例库!$O$6:$O$35,MATCH(C92,市场案例库!$A$6:$A$35,0)))),"不适用")</f>
        <v>临街商铺</v>
      </c>
      <c r="H92" s="19">
        <f>测算参数!$B$6</f>
        <v>100</v>
      </c>
      <c r="I92" s="10">
        <v>100</v>
      </c>
      <c r="J92" s="20">
        <f t="shared" ref="J92:J97" si="13">IF(OR(C92&lt;&gt;N92,COUNT(H92:I92)&lt;&gt;2,H92&lt;=0,I92&lt;=0),"",IF(TRUE,H92/I92,H92/H92))</f>
        <v>1</v>
      </c>
      <c r="K92" s="16" t="s">
        <v>233</v>
      </c>
      <c r="L92" s="16" t="s">
        <v>215</v>
      </c>
      <c r="M92" s="16" t="str">
        <f t="shared" si="9"/>
        <v>模拟评分记录完整</v>
      </c>
      <c r="N92" s="8" t="s">
        <v>151</v>
      </c>
    </row>
    <row r="93" spans="1:14" ht="46.05" customHeight="1">
      <c r="A93" s="16" t="s">
        <v>74</v>
      </c>
      <c r="B93" s="16">
        <v>3</v>
      </c>
      <c r="C93" s="17" t="str">
        <f>三案例选用!D7</f>
        <v>SC-003</v>
      </c>
      <c r="D93" s="16" t="s">
        <v>222</v>
      </c>
      <c r="E93" s="16" t="str">
        <f t="shared" si="12"/>
        <v>适用</v>
      </c>
      <c r="F93" s="17" t="str">
        <f>IF(TRUE,IF(COUNTIFS(资产清单!$A$6:$A$25,A93)&lt;&gt;1,"",IF(INDEX(资产清单!$I$6:$I$25,MATCH(A93,资产清单!$A$6:$A$25,0))="","",INDEX(资产清单!$I$6:$I$25,MATCH(A93,资产清单!$A$6:$A$25,0)))),"不适用")</f>
        <v>临街商铺</v>
      </c>
      <c r="G93" s="17" t="str">
        <f>IF(TRUE,IF(COUNTIFS(市场案例库!$A$6:$A$35,C93)&lt;&gt;1,"",IF(INDEX(市场案例库!$O$6:$O$35,MATCH(C93,市场案例库!$A$6:$A$35,0))="","",INDEX(市场案例库!$O$6:$O$35,MATCH(C93,市场案例库!$A$6:$A$35,0)))),"不适用")</f>
        <v>临街商铺</v>
      </c>
      <c r="H93" s="19">
        <f>测算参数!$B$6</f>
        <v>100</v>
      </c>
      <c r="I93" s="10">
        <v>100</v>
      </c>
      <c r="J93" s="20">
        <f t="shared" si="13"/>
        <v>1</v>
      </c>
      <c r="K93" s="16" t="s">
        <v>233</v>
      </c>
      <c r="L93" s="16" t="s">
        <v>215</v>
      </c>
      <c r="M93" s="16" t="str">
        <f t="shared" si="9"/>
        <v>模拟评分记录完整</v>
      </c>
      <c r="N93" s="8" t="s">
        <v>151</v>
      </c>
    </row>
    <row r="94" spans="1:14" ht="46.05" customHeight="1">
      <c r="A94" s="16" t="s">
        <v>74</v>
      </c>
      <c r="B94" s="16">
        <v>3</v>
      </c>
      <c r="C94" s="17" t="str">
        <f>三案例选用!D7</f>
        <v>SC-003</v>
      </c>
      <c r="D94" s="16" t="s">
        <v>224</v>
      </c>
      <c r="E94" s="16" t="str">
        <f t="shared" si="12"/>
        <v>适用</v>
      </c>
      <c r="F94" s="17" t="str">
        <f>IF(TRUE,IF(COUNTIFS(资产清单!$A$6:$A$25,A94)&lt;&gt;1,"",IF(INDEX(资产清单!$I$6:$I$25,MATCH(A94,资产清单!$A$6:$A$25,0))="","",INDEX(资产清单!$I$6:$I$25,MATCH(A94,资产清单!$A$6:$A$25,0)))),"不适用")</f>
        <v>临街商铺</v>
      </c>
      <c r="G94" s="17" t="str">
        <f>IF(TRUE,IF(COUNTIFS(市场案例库!$A$6:$A$35,C94)&lt;&gt;1,"",IF(INDEX(市场案例库!$O$6:$O$35,MATCH(C94,市场案例库!$A$6:$A$35,0))="","",INDEX(市场案例库!$O$6:$O$35,MATCH(C94,市场案例库!$A$6:$A$35,0)))),"不适用")</f>
        <v>临街商铺</v>
      </c>
      <c r="H94" s="19">
        <f>测算参数!$B$6</f>
        <v>100</v>
      </c>
      <c r="I94" s="10">
        <v>100</v>
      </c>
      <c r="J94" s="20">
        <f t="shared" si="13"/>
        <v>1</v>
      </c>
      <c r="K94" s="16" t="s">
        <v>233</v>
      </c>
      <c r="L94" s="16" t="s">
        <v>215</v>
      </c>
      <c r="M94" s="16" t="str">
        <f t="shared" si="9"/>
        <v>模拟评分记录完整</v>
      </c>
      <c r="N94" s="8" t="s">
        <v>151</v>
      </c>
    </row>
    <row r="95" spans="1:14" ht="46.05" customHeight="1">
      <c r="A95" s="16" t="s">
        <v>74</v>
      </c>
      <c r="B95" s="16">
        <v>3</v>
      </c>
      <c r="C95" s="17" t="str">
        <f>三案例选用!D7</f>
        <v>SC-003</v>
      </c>
      <c r="D95" s="16" t="s">
        <v>225</v>
      </c>
      <c r="E95" s="16" t="str">
        <f t="shared" si="12"/>
        <v>适用</v>
      </c>
      <c r="F95" s="17" t="str">
        <f>IF(TRUE,IF(COUNTIFS(资产清单!$A$6:$A$25,A95)&lt;&gt;1,"",IF(INDEX(资产清单!$I$6:$I$25,MATCH(A95,资产清单!$A$6:$A$25,0))="","",INDEX(资产清单!$I$6:$I$25,MATCH(A95,资产清单!$A$6:$A$25,0)))),"不适用")</f>
        <v>临街商铺</v>
      </c>
      <c r="G95" s="17" t="str">
        <f>IF(TRUE,IF(COUNTIFS(市场案例库!$A$6:$A$35,C95)&lt;&gt;1,"",IF(INDEX(市场案例库!$O$6:$O$35,MATCH(C95,市场案例库!$A$6:$A$35,0))="","",INDEX(市场案例库!$O$6:$O$35,MATCH(C95,市场案例库!$A$6:$A$35,0)))),"不适用")</f>
        <v>临街商铺</v>
      </c>
      <c r="H95" s="19">
        <f>测算参数!$B$6</f>
        <v>100</v>
      </c>
      <c r="I95" s="10">
        <v>100</v>
      </c>
      <c r="J95" s="20">
        <f t="shared" si="13"/>
        <v>1</v>
      </c>
      <c r="K95" s="16" t="s">
        <v>233</v>
      </c>
      <c r="L95" s="16" t="s">
        <v>215</v>
      </c>
      <c r="M95" s="16" t="str">
        <f t="shared" si="9"/>
        <v>模拟评分记录完整</v>
      </c>
      <c r="N95" s="8" t="s">
        <v>151</v>
      </c>
    </row>
    <row r="96" spans="1:14" ht="46.05" customHeight="1">
      <c r="A96" s="16" t="s">
        <v>74</v>
      </c>
      <c r="B96" s="16">
        <v>3</v>
      </c>
      <c r="C96" s="17" t="str">
        <f>三案例选用!D7</f>
        <v>SC-003</v>
      </c>
      <c r="D96" s="16" t="s">
        <v>226</v>
      </c>
      <c r="E96" s="16" t="str">
        <f t="shared" si="12"/>
        <v>适用</v>
      </c>
      <c r="F96" s="17" t="str">
        <f>IF(TRUE,IF(COUNTIFS(资产清单!$A$6:$A$25,A96)&lt;&gt;1,"",IF(INDEX(资产清单!$I$6:$I$25,MATCH(A96,资产清单!$A$6:$A$25,0))="","",INDEX(资产清单!$I$6:$I$25,MATCH(A96,资产清单!$A$6:$A$25,0)))),"不适用")</f>
        <v>临街商铺</v>
      </c>
      <c r="G96" s="17" t="str">
        <f>IF(TRUE,IF(COUNTIFS(市场案例库!$A$6:$A$35,C96)&lt;&gt;1,"",IF(INDEX(市场案例库!$O$6:$O$35,MATCH(C96,市场案例库!$A$6:$A$35,0))="","",INDEX(市场案例库!$O$6:$O$35,MATCH(C96,市场案例库!$A$6:$A$35,0)))),"不适用")</f>
        <v>临街商铺</v>
      </c>
      <c r="H96" s="19">
        <f>测算参数!$B$6</f>
        <v>100</v>
      </c>
      <c r="I96" s="10">
        <v>100</v>
      </c>
      <c r="J96" s="20">
        <f t="shared" si="13"/>
        <v>1</v>
      </c>
      <c r="K96" s="16" t="s">
        <v>233</v>
      </c>
      <c r="L96" s="16" t="s">
        <v>215</v>
      </c>
      <c r="M96" s="16" t="str">
        <f t="shared" si="9"/>
        <v>模拟评分记录完整</v>
      </c>
      <c r="N96" s="8" t="s">
        <v>151</v>
      </c>
    </row>
    <row r="97" spans="1:14" ht="46.05" customHeight="1">
      <c r="A97" s="16" t="s">
        <v>74</v>
      </c>
      <c r="B97" s="16">
        <v>3</v>
      </c>
      <c r="C97" s="17" t="str">
        <f>三案例选用!D7</f>
        <v>SC-003</v>
      </c>
      <c r="D97" s="16" t="s">
        <v>227</v>
      </c>
      <c r="E97" s="16" t="str">
        <f t="shared" si="12"/>
        <v>适用</v>
      </c>
      <c r="F97" s="17" t="str">
        <f>IF(TRUE,IF(COUNTIFS(资产清单!$A$6:$A$25,A97)&lt;&gt;1,"",IF(INDEX(资产清单!$I$6:$I$25,MATCH(A97,资产清单!$A$6:$A$25,0))="","",INDEX(资产清单!$I$6:$I$25,MATCH(A97,资产清单!$A$6:$A$25,0)))),"不适用")</f>
        <v>临街商铺</v>
      </c>
      <c r="G97" s="17" t="str">
        <f>IF(TRUE,IF(COUNTIFS(市场案例库!$A$6:$A$35,C97)&lt;&gt;1,"",IF(INDEX(市场案例库!$O$6:$O$35,MATCH(C97,市场案例库!$A$6:$A$35,0))="","",INDEX(市场案例库!$O$6:$O$35,MATCH(C97,市场案例库!$A$6:$A$35,0)))),"不适用")</f>
        <v>临街商铺</v>
      </c>
      <c r="H97" s="19">
        <f>测算参数!$B$6</f>
        <v>100</v>
      </c>
      <c r="I97" s="10">
        <v>100</v>
      </c>
      <c r="J97" s="20">
        <f t="shared" si="13"/>
        <v>1</v>
      </c>
      <c r="K97" s="16" t="s">
        <v>233</v>
      </c>
      <c r="L97" s="16" t="s">
        <v>215</v>
      </c>
      <c r="M97" s="16" t="str">
        <f t="shared" si="9"/>
        <v>模拟评分记录完整</v>
      </c>
      <c r="N97" s="8" t="s">
        <v>151</v>
      </c>
    </row>
    <row r="98" spans="1:14" ht="46.05" customHeight="1">
      <c r="A98" s="16" t="s">
        <v>74</v>
      </c>
      <c r="B98" s="16">
        <v>3</v>
      </c>
      <c r="C98" s="17" t="str">
        <f>三案例选用!D7</f>
        <v>SC-003</v>
      </c>
      <c r="D98" s="16" t="s">
        <v>228</v>
      </c>
      <c r="E98" s="17" t="str">
        <f>IF(AND(IF(COUNTIFS(资产清单!$A$6:$A$25,A98)&lt;&gt;1,"",IF(INDEX(资产清单!$H$6:$H$25,MATCH(A98,资产清单!$A$6:$A$25,0))="","",INDEX(资产清单!$H$6:$H$25,MATCH(A98,资产清单!$A$6:$A$25,0))))&lt;&gt;"场地",IF(COUNTIFS(资产清单!$A$6:$A$25,A98)&lt;&gt;1,"",IF(INDEX(资产清单!$H$6:$H$25,MATCH(A98,资产清单!$A$6:$A$25,0))="","",INDEX(资产清单!$H$6:$H$25,MATCH(A98,资产清单!$A$6:$A$25,0))))&lt;&gt;"车位",IF(COUNTIFS(资产清单!$A$6:$A$25,A98)&lt;&gt;1,"",IF(INDEX(资产清单!$H$6:$H$25,MATCH(A98,资产清单!$A$6:$A$25,0))="","",INDEX(资产清单!$H$6:$H$25,MATCH(A98,资产清单!$A$6:$A$25,0))))&lt;&gt;"通信基站"),"适用","不适用采用100/100")</f>
        <v>适用</v>
      </c>
      <c r="F98" s="17" t="str">
        <f>IF(AND(IF(COUNTIFS(资产清单!$A$6:$A$25,A98)&lt;&gt;1,"",IF(INDEX(资产清单!$H$6:$H$25,MATCH(A98,资产清单!$A$6:$A$25,0))="","",INDEX(资产清单!$H$6:$H$25,MATCH(A98,资产清单!$A$6:$A$25,0))))&lt;&gt;"场地",IF(COUNTIFS(资产清单!$A$6:$A$25,A98)&lt;&gt;1,"",IF(INDEX(资产清单!$H$6:$H$25,MATCH(A98,资产清单!$A$6:$A$25,0))="","",INDEX(资产清单!$H$6:$H$25,MATCH(A98,资产清单!$A$6:$A$25,0))))&lt;&gt;"车位",IF(COUNTIFS(资产清单!$A$6:$A$25,A98)&lt;&gt;1,"",IF(INDEX(资产清单!$H$6:$H$25,MATCH(A98,资产清单!$A$6:$A$25,0))="","",INDEX(资产清单!$H$6:$H$25,MATCH(A98,资产清单!$A$6:$A$25,0))))&lt;&gt;"通信基站"),IF(COUNTIFS(资产清单!$A$6:$A$25,A98)&lt;&gt;1,"",IF(INDEX(资产清单!$I$6:$I$25,MATCH(A98,资产清单!$A$6:$A$25,0))="","",INDEX(资产清单!$I$6:$I$25,MATCH(A98,资产清单!$A$6:$A$25,0)))),"不适用")</f>
        <v>临街商铺</v>
      </c>
      <c r="G98" s="17" t="str">
        <f>IF(AND(IF(COUNTIFS(资产清单!$A$6:$A$25,A98)&lt;&gt;1,"",IF(INDEX(资产清单!$H$6:$H$25,MATCH(A98,资产清单!$A$6:$A$25,0))="","",INDEX(资产清单!$H$6:$H$25,MATCH(A98,资产清单!$A$6:$A$25,0))))&lt;&gt;"场地",IF(COUNTIFS(资产清单!$A$6:$A$25,A98)&lt;&gt;1,"",IF(INDEX(资产清单!$H$6:$H$25,MATCH(A98,资产清单!$A$6:$A$25,0))="","",INDEX(资产清单!$H$6:$H$25,MATCH(A98,资产清单!$A$6:$A$25,0))))&lt;&gt;"车位",IF(COUNTIFS(资产清单!$A$6:$A$25,A98)&lt;&gt;1,"",IF(INDEX(资产清单!$H$6:$H$25,MATCH(A98,资产清单!$A$6:$A$25,0))="","",INDEX(资产清单!$H$6:$H$25,MATCH(A98,资产清单!$A$6:$A$25,0))))&lt;&gt;"通信基站"),IF(COUNTIFS(市场案例库!$A$6:$A$35,C98)&lt;&gt;1,"",IF(INDEX(市场案例库!$O$6:$O$35,MATCH(C98,市场案例库!$A$6:$A$35,0))="","",INDEX(市场案例库!$O$6:$O$35,MATCH(C98,市场案例库!$A$6:$A$35,0)))),"不适用")</f>
        <v>临街商铺</v>
      </c>
      <c r="H98" s="19">
        <f>测算参数!$B$6</f>
        <v>100</v>
      </c>
      <c r="I98" s="10">
        <v>100</v>
      </c>
      <c r="J98" s="21">
        <f>IF(OR(C98&lt;&gt;N98,COUNT(H98:I98)&lt;&gt;2,H98&lt;=0,I98&lt;=0),"",IF(AND(IF(COUNTIFS(资产清单!$A$6:$A$25,A98)&lt;&gt;1,"",IF(INDEX(资产清单!$H$6:$H$25,MATCH(A98,资产清单!$A$6:$A$25,0))="","",INDEX(资产清单!$H$6:$H$25,MATCH(A98,资产清单!$A$6:$A$25,0))))&lt;&gt;"场地",IF(COUNTIFS(资产清单!$A$6:$A$25,A98)&lt;&gt;1,"",IF(INDEX(资产清单!$H$6:$H$25,MATCH(A98,资产清单!$A$6:$A$25,0))="","",INDEX(资产清单!$H$6:$H$25,MATCH(A98,资产清单!$A$6:$A$25,0))))&lt;&gt;"车位",IF(COUNTIFS(资产清单!$A$6:$A$25,A98)&lt;&gt;1,"",IF(INDEX(资产清单!$H$6:$H$25,MATCH(A98,资产清单!$A$6:$A$25,0))="","",INDEX(资产清单!$H$6:$H$25,MATCH(A98,资产清单!$A$6:$A$25,0))))&lt;&gt;"通信基站"),H98/I98,H98/H98))</f>
        <v>1</v>
      </c>
      <c r="K98" s="16" t="s">
        <v>233</v>
      </c>
      <c r="L98" s="16" t="s">
        <v>215</v>
      </c>
      <c r="M98" s="16" t="str">
        <f t="shared" si="9"/>
        <v>模拟评分记录完整</v>
      </c>
      <c r="N98" s="8" t="s">
        <v>151</v>
      </c>
    </row>
    <row r="99" spans="1:14" ht="46.05" customHeight="1">
      <c r="A99" s="16" t="s">
        <v>74</v>
      </c>
      <c r="B99" s="16">
        <v>3</v>
      </c>
      <c r="C99" s="17" t="str">
        <f>三案例选用!D7</f>
        <v>SC-003</v>
      </c>
      <c r="D99" s="16" t="s">
        <v>229</v>
      </c>
      <c r="E99" s="17" t="str">
        <f>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"适用","不适用采用100/100")</f>
        <v>适用</v>
      </c>
      <c r="F99" s="17">
        <f>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IF(COUNTIFS(资产清单!$A$6:$A$25,A99)&lt;&gt;1,"",IF(COUNT(INDEX(资产清单!$N$6:$N$25,MATCH(A99,资产清单!$A$6:$A$25,0)))&lt;&gt;1,"",INDEX(资产清单!$N$6:$N$25,MATCH(A99,资产清单!$A$6:$A$25,0)))),"不适用")</f>
        <v>2</v>
      </c>
      <c r="G99" s="17">
        <f>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IF(COUNTIFS(市场案例库!$A$6:$A$35,C99)&lt;&gt;1,"",IF(COUNT(INDEX(市场案例库!$I$6:$I$35,MATCH(C99,市场案例库!$A$6:$A$35,0)))&lt;&gt;1,"",INDEX(市场案例库!$I$6:$I$35,MATCH(C99,市场案例库!$A$6:$A$35,0)))),"不适用")</f>
        <v>2</v>
      </c>
      <c r="H99" s="19">
        <f>测算参数!$B$6</f>
        <v>100</v>
      </c>
      <c r="I99" s="19">
        <f>IF(OR(COUNTIFS(市场案例库!$A$6:$A$35,C99)&lt;&gt;1,AND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OR(COUNT(IF(COUNTIFS(资产清单!$A$6:$A$25,A99)&lt;&gt;1,"",IF(COUNT(INDEX(资产清单!$N$6:$N$25,MATCH(A99,资产清单!$A$6:$A$25,0)))&lt;&gt;1,"",INDEX(资产清单!$N$6:$N$25,MATCH(A99,资产清单!$A$6:$A$25,0)))),IF(COUNTIFS(市场案例库!$A$6:$A$35,C99)&lt;&gt;1,"",IF(COUNT(INDEX(市场案例库!$I$6:$I$35,MATCH(C99,市场案例库!$A$6:$A$35,0)))&lt;&gt;1,"",INDEX(市场案例库!$I$6:$I$35,MATCH(C99,市场案例库!$A$6:$A$35,0)))))&lt;&gt;2,IF(COUNTIFS(资产清单!$A$6:$A$25,A99)&lt;&gt;1,"",IF(COUNT(INDEX(资产清单!$N$6:$N$25,MATCH(A99,资产清单!$A$6:$A$25,0)))&lt;&gt;1,"",INDEX(资产清单!$N$6:$N$25,MATCH(A99,资产清单!$A$6:$A$25,0))))&lt;1,IF(COUNTIFS(资产清单!$A$6:$A$25,A99)&lt;&gt;1,"",IF(COUNT(INDEX(资产清单!$N$6:$N$25,MATCH(A99,资产清单!$A$6:$A$25,0)))&lt;&gt;1,"",INDEX(资产清单!$N$6:$N$25,MATCH(A99,资产清单!$A$6:$A$25,0))))&gt;4,IF(COUNTIFS(市场案例库!$A$6:$A$35,C99)&lt;&gt;1,"",IF(COUNT(INDEX(市场案例库!$I$6:$I$35,MATCH(C99,市场案例库!$A$6:$A$35,0)))&lt;&gt;1,"",INDEX(市场案例库!$I$6:$I$35,MATCH(C99,市场案例库!$A$6:$A$35,0))))&lt;1,IF(COUNTIFS(市场案例库!$A$6:$A$35,C99)&lt;&gt;1,"",IF(COUNT(INDEX(市场案例库!$I$6:$I$35,MATCH(C99,市场案例库!$A$6:$A$35,0)))&lt;&gt;1,"",INDEX(市场案例库!$I$6:$I$35,MATCH(C99,市场案例库!$A$6:$A$35,0))))&gt;4))),"",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INDEX(测算参数!$B$35:$B$41,MATCH(IF(COUNTIFS(市场案例库!$A$6:$A$35,C99)&lt;&gt;1,"",IF(COUNT(INDEX(市场案例库!$I$6:$I$35,MATCH(C99,市场案例库!$A$6:$A$35,0)))&lt;&gt;1,"",INDEX(市场案例库!$I$6:$I$35,MATCH(C99,市场案例库!$A$6:$A$35,0))))-IF(COUNTIFS(资产清单!$A$6:$A$25,A99)&lt;&gt;1,"",IF(COUNT(INDEX(资产清单!$N$6:$N$25,MATCH(A99,资产清单!$A$6:$A$25,0)))&lt;&gt;1,"",INDEX(资产清单!$N$6:$N$25,MATCH(A99,资产清单!$A$6:$A$25,0)))),测算参数!$A$35:$A$41,0)),测算参数!$B$6))</f>
        <v>100</v>
      </c>
      <c r="J99" s="21">
        <f>IF(OR(C99&lt;&gt;N99,COUNT(H99:I99)&lt;&gt;2,H99&lt;=0,I99&lt;=0),"",IF(AND(IF(COUNTIFS(资产清单!$A$6:$A$25,A99)&lt;&gt;1,"",IF(INDEX(资产清单!$H$6:$H$25,MATCH(A99,资产清单!$A$6:$A$25,0))="","",INDEX(资产清单!$H$6:$H$25,MATCH(A99,资产清单!$A$6:$A$25,0))))&lt;&gt;"场地",IF(COUNTIFS(资产清单!$A$6:$A$25,A99)&lt;&gt;1,"",IF(INDEX(资产清单!$H$6:$H$25,MATCH(A99,资产清单!$A$6:$A$25,0))="","",INDEX(资产清单!$H$6:$H$25,MATCH(A99,资产清单!$A$6:$A$25,0))))&lt;&gt;"车位",IF(COUNTIFS(资产清单!$A$6:$A$25,A99)&lt;&gt;1,"",IF(INDEX(资产清单!$H$6:$H$25,MATCH(A99,资产清单!$A$6:$A$25,0))="","",INDEX(资产清单!$H$6:$H$25,MATCH(A99,资产清单!$A$6:$A$25,0))))&lt;&gt;"通信基站"),H99/I99,H99/H99))</f>
        <v>1</v>
      </c>
      <c r="K99" s="16" t="s">
        <v>233</v>
      </c>
      <c r="L99" s="16" t="s">
        <v>230</v>
      </c>
      <c r="M99" s="16" t="str">
        <f t="shared" si="9"/>
        <v>模拟评分记录完整</v>
      </c>
      <c r="N99" s="8" t="s">
        <v>151</v>
      </c>
    </row>
    <row r="100" spans="1:14" ht="46.05" customHeight="1">
      <c r="A100" s="16" t="s">
        <v>74</v>
      </c>
      <c r="B100" s="16">
        <v>3</v>
      </c>
      <c r="C100" s="17" t="str">
        <f>三案例选用!D7</f>
        <v>SC-003</v>
      </c>
      <c r="D100" s="16" t="s">
        <v>231</v>
      </c>
      <c r="E100" s="17" t="str">
        <f>IF(AND(IF(COUNTIFS(资产清单!$A$6:$A$25,A100)&lt;&gt;1,"",IF(INDEX(资产清单!$H$6:$H$25,MATCH(A100,资产清单!$A$6:$A$25,0))="","",INDEX(资产清单!$H$6:$H$25,MATCH(A100,资产清单!$A$6:$A$25,0))))&lt;&gt;"场地",IF(COUNTIFS(资产清单!$A$6:$A$25,A100)&lt;&gt;1,"",IF(INDEX(资产清单!$H$6:$H$25,MATCH(A100,资产清单!$A$6:$A$25,0))="","",INDEX(资产清单!$H$6:$H$25,MATCH(A100,资产清单!$A$6:$A$25,0))))&lt;&gt;"车位",IF(COUNTIFS(资产清单!$A$6:$A$25,A100)&lt;&gt;1,"",IF(INDEX(资产清单!$H$6:$H$25,MATCH(A100,资产清单!$A$6:$A$25,0))="","",INDEX(资产清单!$H$6:$H$25,MATCH(A100,资产清单!$A$6:$A$25,0))))&lt;&gt;"通信基站"),"适用","不适用采用100/100")</f>
        <v>适用</v>
      </c>
      <c r="F100" s="17" t="str">
        <f>IF(AND(IF(COUNTIFS(资产清单!$A$6:$A$25,A100)&lt;&gt;1,"",IF(INDEX(资产清单!$H$6:$H$25,MATCH(A100,资产清单!$A$6:$A$25,0))="","",INDEX(资产清单!$H$6:$H$25,MATCH(A100,资产清单!$A$6:$A$25,0))))&lt;&gt;"场地",IF(COUNTIFS(资产清单!$A$6:$A$25,A100)&lt;&gt;1,"",IF(INDEX(资产清单!$H$6:$H$25,MATCH(A100,资产清单!$A$6:$A$25,0))="","",INDEX(资产清单!$H$6:$H$25,MATCH(A100,资产清单!$A$6:$A$25,0))))&lt;&gt;"车位",IF(COUNTIFS(资产清单!$A$6:$A$25,A100)&lt;&gt;1,"",IF(INDEX(资产清单!$H$6:$H$25,MATCH(A100,资产清单!$A$6:$A$25,0))="","",INDEX(资产清单!$H$6:$H$25,MATCH(A100,资产清单!$A$6:$A$25,0))))&lt;&gt;"通信基站"),IF(COUNTIFS(资产清单!$A$6:$A$25,A100)&lt;&gt;1,"",IF(INDEX(资产清单!$I$6:$I$25,MATCH(A100,资产清单!$A$6:$A$25,0))="","",INDEX(资产清单!$I$6:$I$25,MATCH(A100,资产清单!$A$6:$A$25,0)))),"不适用")</f>
        <v>临街商铺</v>
      </c>
      <c r="G100" s="17" t="str">
        <f>IF(AND(IF(COUNTIFS(资产清单!$A$6:$A$25,A100)&lt;&gt;1,"",IF(INDEX(资产清单!$H$6:$H$25,MATCH(A100,资产清单!$A$6:$A$25,0))="","",INDEX(资产清单!$H$6:$H$25,MATCH(A100,资产清单!$A$6:$A$25,0))))&lt;&gt;"场地",IF(COUNTIFS(资产清单!$A$6:$A$25,A100)&lt;&gt;1,"",IF(INDEX(资产清单!$H$6:$H$25,MATCH(A100,资产清单!$A$6:$A$25,0))="","",INDEX(资产清单!$H$6:$H$25,MATCH(A100,资产清单!$A$6:$A$25,0))))&lt;&gt;"车位",IF(COUNTIFS(资产清单!$A$6:$A$25,A100)&lt;&gt;1,"",IF(INDEX(资产清单!$H$6:$H$25,MATCH(A100,资产清单!$A$6:$A$25,0))="","",INDEX(资产清单!$H$6:$H$25,MATCH(A100,资产清单!$A$6:$A$25,0))))&lt;&gt;"通信基站"),IF(COUNTIFS(市场案例库!$A$6:$A$35,C100)&lt;&gt;1,"",IF(INDEX(市场案例库!$O$6:$O$35,MATCH(C100,市场案例库!$A$6:$A$35,0))="","",INDEX(市场案例库!$O$6:$O$35,MATCH(C100,市场案例库!$A$6:$A$35,0)))),"不适用")</f>
        <v>临街商铺</v>
      </c>
      <c r="H100" s="19">
        <f>测算参数!$B$6</f>
        <v>100</v>
      </c>
      <c r="I100" s="10">
        <v>100</v>
      </c>
      <c r="J100" s="21">
        <f>IF(OR(C100&lt;&gt;N100,COUNT(H100:I100)&lt;&gt;2,H100&lt;=0,I100&lt;=0),"",IF(AND(IF(COUNTIFS(资产清单!$A$6:$A$25,A100)&lt;&gt;1,"",IF(INDEX(资产清单!$H$6:$H$25,MATCH(A100,资产清单!$A$6:$A$25,0))="","",INDEX(资产清单!$H$6:$H$25,MATCH(A100,资产清单!$A$6:$A$25,0))))&lt;&gt;"场地",IF(COUNTIFS(资产清单!$A$6:$A$25,A100)&lt;&gt;1,"",IF(INDEX(资产清单!$H$6:$H$25,MATCH(A100,资产清单!$A$6:$A$25,0))="","",INDEX(资产清单!$H$6:$H$25,MATCH(A100,资产清单!$A$6:$A$25,0))))&lt;&gt;"车位",IF(COUNTIFS(资产清单!$A$6:$A$25,A100)&lt;&gt;1,"",IF(INDEX(资产清单!$H$6:$H$25,MATCH(A100,资产清单!$A$6:$A$25,0))="","",INDEX(资产清单!$H$6:$H$25,MATCH(A100,资产清单!$A$6:$A$25,0))))&lt;&gt;"通信基站"),H100/I100,H100/H100))</f>
        <v>1</v>
      </c>
      <c r="K100" s="16" t="s">
        <v>233</v>
      </c>
      <c r="L100" s="16" t="s">
        <v>215</v>
      </c>
      <c r="M100" s="16" t="str">
        <f t="shared" si="9"/>
        <v>模拟评分记录完整</v>
      </c>
      <c r="N100" s="8" t="s">
        <v>151</v>
      </c>
    </row>
    <row r="101" spans="1:14" ht="46.05" customHeight="1">
      <c r="A101" s="16" t="s">
        <v>74</v>
      </c>
      <c r="B101" s="16">
        <v>3</v>
      </c>
      <c r="C101" s="17" t="str">
        <f>三案例选用!D7</f>
        <v>SC-003</v>
      </c>
      <c r="D101" s="16" t="s">
        <v>232</v>
      </c>
      <c r="E101" s="16" t="str">
        <f>IF(TRUE,"适用","不适用采用100/100")</f>
        <v>适用</v>
      </c>
      <c r="F101" s="17" t="str">
        <f>IF(TRUE,IF(COUNTIFS(资产清单!$A$6:$A$25,A101)&lt;&gt;1,"",IF(INDEX(资产清单!$I$6:$I$25,MATCH(A101,资产清单!$A$6:$A$25,0))="","",INDEX(资产清单!$I$6:$I$25,MATCH(A101,资产清单!$A$6:$A$25,0)))),"不适用")</f>
        <v>临街商铺</v>
      </c>
      <c r="G101" s="17" t="str">
        <f>IF(TRUE,IF(COUNTIFS(市场案例库!$A$6:$A$35,C101)&lt;&gt;1,"",IF(INDEX(市场案例库!$O$6:$O$35,MATCH(C101,市场案例库!$A$6:$A$35,0))="","",INDEX(市场案例库!$O$6:$O$35,MATCH(C101,市场案例库!$A$6:$A$35,0)))),"不适用")</f>
        <v>临街商铺</v>
      </c>
      <c r="H101" s="19">
        <f>测算参数!$B$6</f>
        <v>100</v>
      </c>
      <c r="I101" s="10">
        <v>100</v>
      </c>
      <c r="J101" s="20">
        <f>IF(OR(C101&lt;&gt;N101,COUNT(H101:I101)&lt;&gt;2,H101&lt;=0,I101&lt;=0),"",IF(TRUE,H101/I101,H101/H101))</f>
        <v>1</v>
      </c>
      <c r="K101" s="16" t="s">
        <v>233</v>
      </c>
      <c r="L101" s="16" t="s">
        <v>215</v>
      </c>
      <c r="M101" s="16" t="str">
        <f t="shared" si="9"/>
        <v>模拟评分记录完整</v>
      </c>
      <c r="N101" s="8" t="s">
        <v>151</v>
      </c>
    </row>
    <row r="102" spans="1:14" ht="46.05" customHeight="1">
      <c r="A102" s="16" t="s">
        <v>75</v>
      </c>
      <c r="B102" s="16">
        <v>1</v>
      </c>
      <c r="C102" s="17" t="str">
        <f>三案例选用!B8</f>
        <v>SC-004</v>
      </c>
      <c r="D102" s="16" t="s">
        <v>209</v>
      </c>
      <c r="E102" s="16" t="str">
        <f>IF(TRUE,"适用","不适用采用100/100")</f>
        <v>适用</v>
      </c>
      <c r="F102" s="17" t="str">
        <f>IF(TRUE,IF(COUNTIFS(资产清单!$A$6:$A$25,A102)&lt;&gt;1,"",IF(INDEX(资产清单!$I$6:$I$25,MATCH(A102,资产清单!$A$6:$A$25,0))="","",INDEX(资产清单!$I$6:$I$25,MATCH(A102,资产清单!$A$6:$A$25,0)))),"不适用")</f>
        <v>临街商铺</v>
      </c>
      <c r="G102" s="17" t="str">
        <f>IF(TRUE,IF(COUNTIFS(市场案例库!$A$6:$A$35,C102)&lt;&gt;1,"",IF(INDEX(市场案例库!$O$6:$O$35,MATCH(C102,市场案例库!$A$6:$A$35,0))="","",INDEX(市场案例库!$O$6:$O$35,MATCH(C102,市场案例库!$A$6:$A$35,0)))),"不适用")</f>
        <v>临街商铺</v>
      </c>
      <c r="H102" s="19">
        <f>测算参数!$B$6</f>
        <v>100</v>
      </c>
      <c r="I102" s="19">
        <f>IF(OR(COUNTIFS(市场案例库!$A$6:$A$35,C102)&lt;&gt;1),"",IF(COUNTIFS(市场案例库!$A$6:$A$35,C102)&lt;&gt;1,"",IF(COUNT(INDEX(市场案例库!$M$6:$M$35,MATCH(C102,市场案例库!$A$6:$A$35,0)))&lt;&gt;1,"",INDEX(市场案例库!$M$6:$M$35,MATCH(C102,市场案例库!$A$6:$A$35,0)))))</f>
        <v>102</v>
      </c>
      <c r="J102" s="20">
        <f>IF(OR(C102&lt;&gt;N102,COUNT(H102:I102)&lt;&gt;2,H102&lt;=0,I102&lt;=0),"",IF(TRUE,H102/I102,H102/H102))</f>
        <v>0.98039215686274506</v>
      </c>
      <c r="K102" s="16" t="s">
        <v>234</v>
      </c>
      <c r="L102" s="16" t="s">
        <v>211</v>
      </c>
      <c r="M102" s="16" t="str">
        <f t="shared" si="9"/>
        <v>模拟评分记录完整</v>
      </c>
      <c r="N102" s="8" t="s">
        <v>154</v>
      </c>
    </row>
    <row r="103" spans="1:14" ht="46.05" customHeight="1">
      <c r="A103" s="16" t="s">
        <v>75</v>
      </c>
      <c r="B103" s="16">
        <v>1</v>
      </c>
      <c r="C103" s="17" t="str">
        <f>三案例选用!B8</f>
        <v>SC-004</v>
      </c>
      <c r="D103" s="16" t="s">
        <v>212</v>
      </c>
      <c r="E103" s="16" t="str">
        <f>IF(TRUE,"适用","不适用采用100/100")</f>
        <v>适用</v>
      </c>
      <c r="F103" s="17" t="str">
        <f>IF(TRUE,IF(COUNTIFS(资产清单!$A$6:$A$25,A103)&lt;&gt;1,"",IF(INDEX(资产清单!$I$6:$I$25,MATCH(A103,资产清单!$A$6:$A$25,0))="","",INDEX(资产清单!$I$6:$I$25,MATCH(A103,资产清单!$A$6:$A$25,0)))),"不适用")</f>
        <v>临街商铺</v>
      </c>
      <c r="G103" s="17" t="str">
        <f>IF(TRUE,IF(COUNTIFS(市场案例库!$A$6:$A$35,C103)&lt;&gt;1,"",IF(INDEX(市场案例库!$O$6:$O$35,MATCH(C103,市场案例库!$A$6:$A$35,0))="","",INDEX(市场案例库!$O$6:$O$35,MATCH(C103,市场案例库!$A$6:$A$35,0)))),"不适用")</f>
        <v>临街商铺</v>
      </c>
      <c r="H103" s="19">
        <f>测算参数!$B$6</f>
        <v>100</v>
      </c>
      <c r="I103" s="19">
        <f>IF(OR(COUNTIFS(市场案例库!$A$6:$A$35,C103)&lt;&gt;1),"",IF(COUNTIFS(市场案例库!$A$6:$A$35,C103)&lt;&gt;1,"",IF(COUNT(INDEX(市场案例库!$N$6:$N$35,MATCH(C103,市场案例库!$A$6:$A$35,0)))&lt;&gt;1,"",INDEX(市场案例库!$N$6:$N$35,MATCH(C103,市场案例库!$A$6:$A$35,0)))))</f>
        <v>100</v>
      </c>
      <c r="J103" s="20">
        <f>IF(OR(C103&lt;&gt;N103,COUNT(H103:I103)&lt;&gt;2,H103&lt;=0,I103&lt;=0),"",IF(TRUE,H103/I103,H103/H103))</f>
        <v>1</v>
      </c>
      <c r="K103" s="16" t="s">
        <v>234</v>
      </c>
      <c r="L103" s="16" t="s">
        <v>213</v>
      </c>
      <c r="M103" s="16" t="str">
        <f t="shared" si="9"/>
        <v>模拟评分记录完整</v>
      </c>
      <c r="N103" s="8" t="s">
        <v>154</v>
      </c>
    </row>
    <row r="104" spans="1:14" ht="46.05" customHeight="1">
      <c r="A104" s="16" t="s">
        <v>75</v>
      </c>
      <c r="B104" s="16">
        <v>1</v>
      </c>
      <c r="C104" s="17" t="str">
        <f>三案例选用!B8</f>
        <v>SC-004</v>
      </c>
      <c r="D104" s="16" t="s">
        <v>214</v>
      </c>
      <c r="E104" s="16" t="str">
        <f>IF(TRUE,"适用","不适用采用100/100")</f>
        <v>适用</v>
      </c>
      <c r="F104" s="17" t="str">
        <f>IF(TRUE,IF(COUNTIFS(资产清单!$A$6:$A$25,A104)&lt;&gt;1,"",IF(INDEX(资产清单!$I$6:$I$25,MATCH(A104,资产清单!$A$6:$A$25,0))="","",INDEX(资产清单!$I$6:$I$25,MATCH(A104,资产清单!$A$6:$A$25,0)))),"不适用")</f>
        <v>临街商铺</v>
      </c>
      <c r="G104" s="17" t="str">
        <f>IF(TRUE,IF(COUNTIFS(市场案例库!$A$6:$A$35,C104)&lt;&gt;1,"",IF(INDEX(市场案例库!$O$6:$O$35,MATCH(C104,市场案例库!$A$6:$A$35,0))="","",INDEX(市场案例库!$O$6:$O$35,MATCH(C104,市场案例库!$A$6:$A$35,0)))),"不适用")</f>
        <v>临街商铺</v>
      </c>
      <c r="H104" s="19">
        <f>测算参数!$B$6</f>
        <v>100</v>
      </c>
      <c r="I104" s="10">
        <v>100</v>
      </c>
      <c r="J104" s="20">
        <f>IF(OR(C104&lt;&gt;N104,COUNT(H104:I104)&lt;&gt;2,H104&lt;=0,I104&lt;=0),"",IF(TRUE,H104/I104,H104/H104))</f>
        <v>1</v>
      </c>
      <c r="K104" s="16" t="s">
        <v>234</v>
      </c>
      <c r="L104" s="16" t="s">
        <v>215</v>
      </c>
      <c r="M104" s="16" t="str">
        <f t="shared" si="9"/>
        <v>模拟评分记录完整</v>
      </c>
      <c r="N104" s="8" t="s">
        <v>154</v>
      </c>
    </row>
    <row r="105" spans="1:14" ht="46.05" customHeight="1">
      <c r="A105" s="16" t="s">
        <v>75</v>
      </c>
      <c r="B105" s="16">
        <v>1</v>
      </c>
      <c r="C105" s="17" t="str">
        <f>三案例选用!B8</f>
        <v>SC-004</v>
      </c>
      <c r="D105" s="16" t="s">
        <v>216</v>
      </c>
      <c r="E105" s="16" t="str">
        <f>IF(TRUE,"适用","不适用采用100/100")</f>
        <v>适用</v>
      </c>
      <c r="F105" s="17" t="str">
        <f>IF(TRUE,IF(COUNTIFS(资产清单!$A$6:$A$25,A105)&lt;&gt;1,"",IF(INDEX(资产清单!$I$6:$I$25,MATCH(A105,资产清单!$A$6:$A$25,0))="","",INDEX(资产清单!$I$6:$I$25,MATCH(A105,资产清单!$A$6:$A$25,0)))),"不适用")</f>
        <v>临街商铺</v>
      </c>
      <c r="G105" s="17" t="str">
        <f>IF(TRUE,IF(COUNTIFS(市场案例库!$A$6:$A$35,C105)&lt;&gt;1,"",IF(INDEX(市场案例库!$O$6:$O$35,MATCH(C105,市场案例库!$A$6:$A$35,0))="","",INDEX(市场案例库!$O$6:$O$35,MATCH(C105,市场案例库!$A$6:$A$35,0)))),"不适用")</f>
        <v>临街商铺</v>
      </c>
      <c r="H105" s="19">
        <f>测算参数!$B$6</f>
        <v>100</v>
      </c>
      <c r="I105" s="10">
        <v>100</v>
      </c>
      <c r="J105" s="20">
        <f>IF(OR(C105&lt;&gt;N105,COUNT(H105:I105)&lt;&gt;2,H105&lt;=0,I105&lt;=0),"",IF(TRUE,H105/I105,H105/H105))</f>
        <v>1</v>
      </c>
      <c r="K105" s="16" t="s">
        <v>234</v>
      </c>
      <c r="L105" s="16" t="s">
        <v>215</v>
      </c>
      <c r="M105" s="16" t="str">
        <f t="shared" si="9"/>
        <v>模拟评分记录完整</v>
      </c>
      <c r="N105" s="8" t="s">
        <v>154</v>
      </c>
    </row>
    <row r="106" spans="1:14" ht="46.05" customHeight="1">
      <c r="A106" s="16" t="s">
        <v>75</v>
      </c>
      <c r="B106" s="16">
        <v>1</v>
      </c>
      <c r="C106" s="17" t="str">
        <f>三案例选用!B8</f>
        <v>SC-004</v>
      </c>
      <c r="D106" s="16" t="s">
        <v>217</v>
      </c>
      <c r="E106" s="17" t="str">
        <f>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"适用","不适用采用100/100")</f>
        <v>适用</v>
      </c>
      <c r="F106" s="17">
        <f>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IF(COUNTIFS(资产清单!$A$6:$A$25,A106)&lt;&gt;1,"",IF(COUNT(INDEX(资产清单!$M$6:$M$25,MATCH(A106,资产清单!$A$6:$A$25,0)))&lt;&gt;1,"",INDEX(资产清单!$M$6:$M$25,MATCH(A106,资产清单!$A$6:$A$25,0)))),"不适用")</f>
        <v>2</v>
      </c>
      <c r="G106" s="17">
        <f>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IF(COUNTIFS(市场案例库!$A$6:$A$35,C106)&lt;&gt;1,"",IF(COUNT(INDEX(市场案例库!$H$6:$H$35,MATCH(C106,市场案例库!$A$6:$A$35,0)))&lt;&gt;1,"",INDEX(市场案例库!$H$6:$H$35,MATCH(C106,市场案例库!$A$6:$A$35,0)))),"不适用")</f>
        <v>1</v>
      </c>
      <c r="H106" s="19">
        <f>测算参数!$B$6</f>
        <v>100</v>
      </c>
      <c r="I106" s="19">
        <f>IF(OR(COUNTIFS(市场案例库!$A$6:$A$35,C106)&lt;&gt;1,AND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COUNT(IF(COUNTIFS(资产清单!$A$6:$A$25,A106)&lt;&gt;1,"",IF(COUNT(INDEX(资产清单!$M$6:$M$25,MATCH(A106,资产清单!$A$6:$A$25,0)))&lt;&gt;1,"",INDEX(资产清单!$M$6:$M$25,MATCH(A106,资产清单!$A$6:$A$25,0)))),IF(COUNTIFS(市场案例库!$A$6:$A$35,C106)&lt;&gt;1,"",IF(COUNT(INDEX(市场案例库!$H$6:$H$35,MATCH(C106,市场案例库!$A$6:$A$35,0)))&lt;&gt;1,"",INDEX(市场案例库!$H$6:$H$35,MATCH(C106,市场案例库!$A$6:$A$35,0)))))&lt;&gt;2)),"",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INDEX(测算参数!$B$25:$B$31,MATCH(MAX(-测算参数!$B$11,MIN(测算参数!$B$11,IF(COUNTIFS(资产清单!$A$6:$A$25,A106)&lt;&gt;1,"",IF(COUNT(INDEX(资产清单!$M$6:$M$25,MATCH(A106,资产清单!$A$6:$A$25,0)))&lt;&gt;1,"",INDEX(资产清单!$M$6:$M$25,MATCH(A106,资产清单!$A$6:$A$25,0))))-IF(COUNTIFS(市场案例库!$A$6:$A$35,C106)&lt;&gt;1,"",IF(COUNT(INDEX(市场案例库!$H$6:$H$35,MATCH(C106,市场案例库!$A$6:$A$35,0)))&lt;&gt;1,"",INDEX(市场案例库!$H$6:$H$35,MATCH(C106,市场案例库!$A$6:$A$35,0)))))),测算参数!$A$25:$A$31,0)),测算参数!$B$6))</f>
        <v>101</v>
      </c>
      <c r="J106" s="21">
        <f>IF(OR(C106&lt;&gt;N106,COUNT(H106:I106)&lt;&gt;2,H106&lt;=0,I106&lt;=0),"",IF(OR(IF(COUNTIFS(资产清单!$A$6:$A$25,A106)&lt;&gt;1,"",IF(INDEX(资产清单!$H$6:$H$25,MATCH(A106,资产清单!$A$6:$A$25,0))="","",INDEX(资产清单!$H$6:$H$25,MATCH(A106,资产清单!$A$6:$A$25,0))))="商业",IF(COUNTIFS(资产清单!$A$6:$A$25,A106)&lt;&gt;1,"",IF(INDEX(资产清单!$H$6:$H$25,MATCH(A106,资产清单!$A$6:$A$25,0))="","",INDEX(资产清单!$H$6:$H$25,MATCH(A106,资产清单!$A$6:$A$25,0))))="办公",IF(COUNTIFS(资产清单!$A$6:$A$25,A106)&lt;&gt;1,"",IF(INDEX(资产清单!$H$6:$H$25,MATCH(A106,资产清单!$A$6:$A$25,0))="","",INDEX(资产清单!$H$6:$H$25,MATCH(A106,资产清单!$A$6:$A$25,0))))="住宅"),H106/I106,H106/H106))</f>
        <v>0.99009900990099009</v>
      </c>
      <c r="K106" s="16" t="s">
        <v>234</v>
      </c>
      <c r="L106" s="16" t="s">
        <v>218</v>
      </c>
      <c r="M106" s="16" t="str">
        <f t="shared" si="9"/>
        <v>模拟评分记录完整</v>
      </c>
      <c r="N106" s="8" t="s">
        <v>154</v>
      </c>
    </row>
    <row r="107" spans="1:14" ht="46.05" customHeight="1">
      <c r="A107" s="16" t="s">
        <v>75</v>
      </c>
      <c r="B107" s="16">
        <v>1</v>
      </c>
      <c r="C107" s="17" t="str">
        <f>三案例选用!B8</f>
        <v>SC-004</v>
      </c>
      <c r="D107" s="16" t="s">
        <v>219</v>
      </c>
      <c r="E107" s="17" t="str">
        <f>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"适用","不适用采用100/100")</f>
        <v>适用</v>
      </c>
      <c r="F107" s="17">
        <f>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IF(COUNTIFS(资产清单!$A$6:$A$25,A107)&lt;&gt;1,"",IF(COUNT(INDEX(资产清单!$L$6:$L$25,MATCH(A107,资产清单!$A$6:$A$25,0)))&lt;&gt;1,"",INDEX(资产清单!$L$6:$L$25,MATCH(A107,资产清单!$A$6:$A$25,0)))),"不适用")</f>
        <v>95</v>
      </c>
      <c r="G107" s="17">
        <f>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IF(COUNTIFS(市场案例库!$A$6:$A$35,C107)&lt;&gt;1,"",IF(COUNT(INDEX(市场案例库!$G$6:$G$35,MATCH(C107,市场案例库!$A$6:$A$35,0)))&lt;&gt;1,"",INDEX(市场案例库!$G$6:$G$35,MATCH(C107,市场案例库!$A$6:$A$35,0)))),"不适用")</f>
        <v>80</v>
      </c>
      <c r="H107" s="19">
        <f>测算参数!$B$6</f>
        <v>100</v>
      </c>
      <c r="I107" s="19">
        <f>IF(OR(COUNTIFS(市场案例库!$A$6:$A$35,C107)&lt;&gt;1,AND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OR(COUNT(IF(COUNTIFS(资产清单!$A$6:$A$25,A107)&lt;&gt;1,"",IF(COUNT(INDEX(资产清单!$L$6:$L$25,MATCH(A107,资产清单!$A$6:$A$25,0)))&lt;&gt;1,"",INDEX(资产清单!$L$6:$L$25,MATCH(A107,资产清单!$A$6:$A$25,0)))),IF(COUNTIFS(市场案例库!$A$6:$A$35,C107)&lt;&gt;1,"",IF(COUNT(INDEX(市场案例库!$G$6:$G$35,MATCH(C107,市场案例库!$A$6:$A$35,0)))&lt;&gt;1,"",INDEX(市场案例库!$G$6:$G$35,MATCH(C107,市场案例库!$A$6:$A$35,0)))))&lt;&gt;2,IF(COUNTIFS(资产清单!$A$6:$A$25,A107)&lt;&gt;1,"",IF(COUNT(INDEX(资产清单!$L$6:$L$25,MATCH(A107,资产清单!$A$6:$A$25,0)))&lt;&gt;1,"",INDEX(资产清单!$L$6:$L$25,MATCH(A107,资产清单!$A$6:$A$25,0))))&lt;=0,IF(COUNTIFS(市场案例库!$A$6:$A$35,C107)&lt;&gt;1,"",IF(COUNT(INDEX(市场案例库!$G$6:$G$35,MATCH(C107,市场案例库!$A$6:$A$35,0)))&lt;&gt;1,"",INDEX(市场案例库!$G$6:$G$35,MATCH(C107,市场案例库!$A$6:$A$35,0))))&lt;=0))),"",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LOOKUP(IF(COUNTIFS(市场案例库!$A$6:$A$35,C107)&lt;&gt;1,"",IF(COUNT(INDEX(市场案例库!$G$6:$G$35,MATCH(C107,市场案例库!$A$6:$A$35,0)))&lt;&gt;1,"",INDEX(市场案例库!$G$6:$G$35,MATCH(C107,市场案例库!$A$6:$A$35,0))))/IF(COUNTIFS(资产清单!$A$6:$A$25,A107)&lt;&gt;1,"",IF(COUNT(INDEX(资产清单!$L$6:$L$25,MATCH(A107,资产清单!$A$6:$A$25,0)))&lt;&gt;1,"",INDEX(资产清单!$L$6:$L$25,MATCH(A107,资产清单!$A$6:$A$25,0)))),测算参数!$A$15:$A$21,测算参数!$C$15:$C$21),测算参数!$B$6))</f>
        <v>100</v>
      </c>
      <c r="J107" s="21">
        <f>IF(OR(C107&lt;&gt;N107,COUNT(H107:I107)&lt;&gt;2,H107&lt;=0,I107&lt;=0),"",IF(AND(IF(COUNTIFS(资产清单!$A$6:$A$25,A107)&lt;&gt;1,"",IF(INDEX(资产清单!$J$6:$J$25,MATCH(A107,资产清单!$A$6:$A$25,0))="","",INDEX(资产清单!$J$6:$J$25,MATCH(A107,资产清单!$A$6:$A$25,0))))="元/㎡/月",IF(COUNTIFS(资产清单!$A$6:$A$25,A107)&lt;&gt;1,"",IF(INDEX(资产清单!$H$6:$H$25,MATCH(A107,资产清单!$A$6:$A$25,0))="","",INDEX(资产清单!$H$6:$H$25,MATCH(A107,资产清单!$A$6:$A$25,0))))&lt;&gt;"场地"),H107/I107,H107/H107))</f>
        <v>1</v>
      </c>
      <c r="K107" s="16" t="s">
        <v>234</v>
      </c>
      <c r="L107" s="16" t="s">
        <v>220</v>
      </c>
      <c r="M107" s="16" t="str">
        <f t="shared" si="9"/>
        <v>模拟评分记录完整</v>
      </c>
      <c r="N107" s="8" t="s">
        <v>154</v>
      </c>
    </row>
    <row r="108" spans="1:14" ht="46.05" customHeight="1">
      <c r="A108" s="16" t="s">
        <v>75</v>
      </c>
      <c r="B108" s="16">
        <v>1</v>
      </c>
      <c r="C108" s="17" t="str">
        <f>三案例选用!B8</f>
        <v>SC-004</v>
      </c>
      <c r="D108" s="16" t="s">
        <v>221</v>
      </c>
      <c r="E108" s="16" t="str">
        <f t="shared" ref="E108:E113" si="14">IF(TRUE,"适用","不适用采用100/100")</f>
        <v>适用</v>
      </c>
      <c r="F108" s="17" t="str">
        <f>IF(TRUE,IF(COUNTIFS(资产清单!$A$6:$A$25,A108)&lt;&gt;1,"",IF(INDEX(资产清单!$I$6:$I$25,MATCH(A108,资产清单!$A$6:$A$25,0))="","",INDEX(资产清单!$I$6:$I$25,MATCH(A108,资产清单!$A$6:$A$25,0)))),"不适用")</f>
        <v>临街商铺</v>
      </c>
      <c r="G108" s="17" t="str">
        <f>IF(TRUE,IF(COUNTIFS(市场案例库!$A$6:$A$35,C108)&lt;&gt;1,"",IF(INDEX(市场案例库!$O$6:$O$35,MATCH(C108,市场案例库!$A$6:$A$35,0))="","",INDEX(市场案例库!$O$6:$O$35,MATCH(C108,市场案例库!$A$6:$A$35,0)))),"不适用")</f>
        <v>临街商铺</v>
      </c>
      <c r="H108" s="19">
        <f>测算参数!$B$6</f>
        <v>100</v>
      </c>
      <c r="I108" s="10">
        <v>100</v>
      </c>
      <c r="J108" s="20">
        <f t="shared" ref="J108:J113" si="15">IF(OR(C108&lt;&gt;N108,COUNT(H108:I108)&lt;&gt;2,H108&lt;=0,I108&lt;=0),"",IF(TRUE,H108/I108,H108/H108))</f>
        <v>1</v>
      </c>
      <c r="K108" s="16" t="s">
        <v>234</v>
      </c>
      <c r="L108" s="16" t="s">
        <v>215</v>
      </c>
      <c r="M108" s="16" t="str">
        <f t="shared" si="9"/>
        <v>模拟评分记录完整</v>
      </c>
      <c r="N108" s="8" t="s">
        <v>154</v>
      </c>
    </row>
    <row r="109" spans="1:14" ht="46.05" customHeight="1">
      <c r="A109" s="16" t="s">
        <v>75</v>
      </c>
      <c r="B109" s="16">
        <v>1</v>
      </c>
      <c r="C109" s="17" t="str">
        <f>三案例选用!B8</f>
        <v>SC-004</v>
      </c>
      <c r="D109" s="16" t="s">
        <v>222</v>
      </c>
      <c r="E109" s="16" t="str">
        <f t="shared" si="14"/>
        <v>适用</v>
      </c>
      <c r="F109" s="17" t="str">
        <f>IF(TRUE,IF(COUNTIFS(资产清单!$A$6:$A$25,A109)&lt;&gt;1,"",IF(INDEX(资产清单!$I$6:$I$25,MATCH(A109,资产清单!$A$6:$A$25,0))="","",INDEX(资产清单!$I$6:$I$25,MATCH(A109,资产清单!$A$6:$A$25,0)))),"不适用")</f>
        <v>临街商铺</v>
      </c>
      <c r="G109" s="17" t="str">
        <f>IF(TRUE,IF(COUNTIFS(市场案例库!$A$6:$A$35,C109)&lt;&gt;1,"",IF(INDEX(市场案例库!$O$6:$O$35,MATCH(C109,市场案例库!$A$6:$A$35,0))="","",INDEX(市场案例库!$O$6:$O$35,MATCH(C109,市场案例库!$A$6:$A$35,0)))),"不适用")</f>
        <v>临街商铺</v>
      </c>
      <c r="H109" s="19">
        <f>测算参数!$B$6</f>
        <v>100</v>
      </c>
      <c r="I109" s="10">
        <v>100</v>
      </c>
      <c r="J109" s="20">
        <f t="shared" si="15"/>
        <v>1</v>
      </c>
      <c r="K109" s="16" t="s">
        <v>234</v>
      </c>
      <c r="L109" s="16" t="s">
        <v>215</v>
      </c>
      <c r="M109" s="16" t="str">
        <f t="shared" si="9"/>
        <v>模拟评分记录完整</v>
      </c>
      <c r="N109" s="8" t="s">
        <v>154</v>
      </c>
    </row>
    <row r="110" spans="1:14" ht="46.05" customHeight="1">
      <c r="A110" s="16" t="s">
        <v>75</v>
      </c>
      <c r="B110" s="16">
        <v>1</v>
      </c>
      <c r="C110" s="17" t="str">
        <f>三案例选用!B8</f>
        <v>SC-004</v>
      </c>
      <c r="D110" s="16" t="s">
        <v>224</v>
      </c>
      <c r="E110" s="16" t="str">
        <f t="shared" si="14"/>
        <v>适用</v>
      </c>
      <c r="F110" s="17" t="str">
        <f>IF(TRUE,IF(COUNTIFS(资产清单!$A$6:$A$25,A110)&lt;&gt;1,"",IF(INDEX(资产清单!$I$6:$I$25,MATCH(A110,资产清单!$A$6:$A$25,0))="","",INDEX(资产清单!$I$6:$I$25,MATCH(A110,资产清单!$A$6:$A$25,0)))),"不适用")</f>
        <v>临街商铺</v>
      </c>
      <c r="G110" s="17" t="str">
        <f>IF(TRUE,IF(COUNTIFS(市场案例库!$A$6:$A$35,C110)&lt;&gt;1,"",IF(INDEX(市场案例库!$O$6:$O$35,MATCH(C110,市场案例库!$A$6:$A$35,0))="","",INDEX(市场案例库!$O$6:$O$35,MATCH(C110,市场案例库!$A$6:$A$35,0)))),"不适用")</f>
        <v>临街商铺</v>
      </c>
      <c r="H110" s="19">
        <f>测算参数!$B$6</f>
        <v>100</v>
      </c>
      <c r="I110" s="10">
        <v>100</v>
      </c>
      <c r="J110" s="20">
        <f t="shared" si="15"/>
        <v>1</v>
      </c>
      <c r="K110" s="16" t="s">
        <v>234</v>
      </c>
      <c r="L110" s="16" t="s">
        <v>215</v>
      </c>
      <c r="M110" s="16" t="str">
        <f t="shared" si="9"/>
        <v>模拟评分记录完整</v>
      </c>
      <c r="N110" s="8" t="s">
        <v>154</v>
      </c>
    </row>
    <row r="111" spans="1:14" ht="46.05" customHeight="1">
      <c r="A111" s="16" t="s">
        <v>75</v>
      </c>
      <c r="B111" s="16">
        <v>1</v>
      </c>
      <c r="C111" s="17" t="str">
        <f>三案例选用!B8</f>
        <v>SC-004</v>
      </c>
      <c r="D111" s="16" t="s">
        <v>225</v>
      </c>
      <c r="E111" s="16" t="str">
        <f t="shared" si="14"/>
        <v>适用</v>
      </c>
      <c r="F111" s="17" t="str">
        <f>IF(TRUE,IF(COUNTIFS(资产清单!$A$6:$A$25,A111)&lt;&gt;1,"",IF(INDEX(资产清单!$I$6:$I$25,MATCH(A111,资产清单!$A$6:$A$25,0))="","",INDEX(资产清单!$I$6:$I$25,MATCH(A111,资产清单!$A$6:$A$25,0)))),"不适用")</f>
        <v>临街商铺</v>
      </c>
      <c r="G111" s="17" t="str">
        <f>IF(TRUE,IF(COUNTIFS(市场案例库!$A$6:$A$35,C111)&lt;&gt;1,"",IF(INDEX(市场案例库!$O$6:$O$35,MATCH(C111,市场案例库!$A$6:$A$35,0))="","",INDEX(市场案例库!$O$6:$O$35,MATCH(C111,市场案例库!$A$6:$A$35,0)))),"不适用")</f>
        <v>临街商铺</v>
      </c>
      <c r="H111" s="19">
        <f>测算参数!$B$6</f>
        <v>100</v>
      </c>
      <c r="I111" s="10">
        <v>100</v>
      </c>
      <c r="J111" s="20">
        <f t="shared" si="15"/>
        <v>1</v>
      </c>
      <c r="K111" s="16" t="s">
        <v>234</v>
      </c>
      <c r="L111" s="16" t="s">
        <v>215</v>
      </c>
      <c r="M111" s="16" t="str">
        <f t="shared" si="9"/>
        <v>模拟评分记录完整</v>
      </c>
      <c r="N111" s="8" t="s">
        <v>154</v>
      </c>
    </row>
    <row r="112" spans="1:14" ht="46.05" customHeight="1">
      <c r="A112" s="16" t="s">
        <v>75</v>
      </c>
      <c r="B112" s="16">
        <v>1</v>
      </c>
      <c r="C112" s="17" t="str">
        <f>三案例选用!B8</f>
        <v>SC-004</v>
      </c>
      <c r="D112" s="16" t="s">
        <v>226</v>
      </c>
      <c r="E112" s="16" t="str">
        <f t="shared" si="14"/>
        <v>适用</v>
      </c>
      <c r="F112" s="17" t="str">
        <f>IF(TRUE,IF(COUNTIFS(资产清单!$A$6:$A$25,A112)&lt;&gt;1,"",IF(INDEX(资产清单!$I$6:$I$25,MATCH(A112,资产清单!$A$6:$A$25,0))="","",INDEX(资产清单!$I$6:$I$25,MATCH(A112,资产清单!$A$6:$A$25,0)))),"不适用")</f>
        <v>临街商铺</v>
      </c>
      <c r="G112" s="17" t="str">
        <f>IF(TRUE,IF(COUNTIFS(市场案例库!$A$6:$A$35,C112)&lt;&gt;1,"",IF(INDEX(市场案例库!$O$6:$O$35,MATCH(C112,市场案例库!$A$6:$A$35,0))="","",INDEX(市场案例库!$O$6:$O$35,MATCH(C112,市场案例库!$A$6:$A$35,0)))),"不适用")</f>
        <v>临街商铺</v>
      </c>
      <c r="H112" s="19">
        <f>测算参数!$B$6</f>
        <v>100</v>
      </c>
      <c r="I112" s="10">
        <v>100</v>
      </c>
      <c r="J112" s="20">
        <f t="shared" si="15"/>
        <v>1</v>
      </c>
      <c r="K112" s="16" t="s">
        <v>234</v>
      </c>
      <c r="L112" s="16" t="s">
        <v>215</v>
      </c>
      <c r="M112" s="16" t="str">
        <f t="shared" si="9"/>
        <v>模拟评分记录完整</v>
      </c>
      <c r="N112" s="8" t="s">
        <v>154</v>
      </c>
    </row>
    <row r="113" spans="1:14" ht="46.05" customHeight="1">
      <c r="A113" s="16" t="s">
        <v>75</v>
      </c>
      <c r="B113" s="16">
        <v>1</v>
      </c>
      <c r="C113" s="17" t="str">
        <f>三案例选用!B8</f>
        <v>SC-004</v>
      </c>
      <c r="D113" s="16" t="s">
        <v>227</v>
      </c>
      <c r="E113" s="16" t="str">
        <f t="shared" si="14"/>
        <v>适用</v>
      </c>
      <c r="F113" s="17" t="str">
        <f>IF(TRUE,IF(COUNTIFS(资产清单!$A$6:$A$25,A113)&lt;&gt;1,"",IF(INDEX(资产清单!$I$6:$I$25,MATCH(A113,资产清单!$A$6:$A$25,0))="","",INDEX(资产清单!$I$6:$I$25,MATCH(A113,资产清单!$A$6:$A$25,0)))),"不适用")</f>
        <v>临街商铺</v>
      </c>
      <c r="G113" s="17" t="str">
        <f>IF(TRUE,IF(COUNTIFS(市场案例库!$A$6:$A$35,C113)&lt;&gt;1,"",IF(INDEX(市场案例库!$O$6:$O$35,MATCH(C113,市场案例库!$A$6:$A$35,0))="","",INDEX(市场案例库!$O$6:$O$35,MATCH(C113,市场案例库!$A$6:$A$35,0)))),"不适用")</f>
        <v>临街商铺</v>
      </c>
      <c r="H113" s="19">
        <f>测算参数!$B$6</f>
        <v>100</v>
      </c>
      <c r="I113" s="10">
        <v>100</v>
      </c>
      <c r="J113" s="20">
        <f t="shared" si="15"/>
        <v>1</v>
      </c>
      <c r="K113" s="16" t="s">
        <v>234</v>
      </c>
      <c r="L113" s="16" t="s">
        <v>215</v>
      </c>
      <c r="M113" s="16" t="str">
        <f t="shared" si="9"/>
        <v>模拟评分记录完整</v>
      </c>
      <c r="N113" s="8" t="s">
        <v>154</v>
      </c>
    </row>
    <row r="114" spans="1:14" ht="46.05" customHeight="1">
      <c r="A114" s="16" t="s">
        <v>75</v>
      </c>
      <c r="B114" s="16">
        <v>1</v>
      </c>
      <c r="C114" s="17" t="str">
        <f>三案例选用!B8</f>
        <v>SC-004</v>
      </c>
      <c r="D114" s="16" t="s">
        <v>228</v>
      </c>
      <c r="E114" s="17" t="str">
        <f>IF(AND(IF(COUNTIFS(资产清单!$A$6:$A$25,A114)&lt;&gt;1,"",IF(INDEX(资产清单!$H$6:$H$25,MATCH(A114,资产清单!$A$6:$A$25,0))="","",INDEX(资产清单!$H$6:$H$25,MATCH(A114,资产清单!$A$6:$A$25,0))))&lt;&gt;"场地",IF(COUNTIFS(资产清单!$A$6:$A$25,A114)&lt;&gt;1,"",IF(INDEX(资产清单!$H$6:$H$25,MATCH(A114,资产清单!$A$6:$A$25,0))="","",INDEX(资产清单!$H$6:$H$25,MATCH(A114,资产清单!$A$6:$A$25,0))))&lt;&gt;"车位",IF(COUNTIFS(资产清单!$A$6:$A$25,A114)&lt;&gt;1,"",IF(INDEX(资产清单!$H$6:$H$25,MATCH(A114,资产清单!$A$6:$A$25,0))="","",INDEX(资产清单!$H$6:$H$25,MATCH(A114,资产清单!$A$6:$A$25,0))))&lt;&gt;"通信基站"),"适用","不适用采用100/100")</f>
        <v>适用</v>
      </c>
      <c r="F114" s="17" t="str">
        <f>IF(AND(IF(COUNTIFS(资产清单!$A$6:$A$25,A114)&lt;&gt;1,"",IF(INDEX(资产清单!$H$6:$H$25,MATCH(A114,资产清单!$A$6:$A$25,0))="","",INDEX(资产清单!$H$6:$H$25,MATCH(A114,资产清单!$A$6:$A$25,0))))&lt;&gt;"场地",IF(COUNTIFS(资产清单!$A$6:$A$25,A114)&lt;&gt;1,"",IF(INDEX(资产清单!$H$6:$H$25,MATCH(A114,资产清单!$A$6:$A$25,0))="","",INDEX(资产清单!$H$6:$H$25,MATCH(A114,资产清单!$A$6:$A$25,0))))&lt;&gt;"车位",IF(COUNTIFS(资产清单!$A$6:$A$25,A114)&lt;&gt;1,"",IF(INDEX(资产清单!$H$6:$H$25,MATCH(A114,资产清单!$A$6:$A$25,0))="","",INDEX(资产清单!$H$6:$H$25,MATCH(A114,资产清单!$A$6:$A$25,0))))&lt;&gt;"通信基站"),IF(COUNTIFS(资产清单!$A$6:$A$25,A114)&lt;&gt;1,"",IF(INDEX(资产清单!$I$6:$I$25,MATCH(A114,资产清单!$A$6:$A$25,0))="","",INDEX(资产清单!$I$6:$I$25,MATCH(A114,资产清单!$A$6:$A$25,0)))),"不适用")</f>
        <v>临街商铺</v>
      </c>
      <c r="G114" s="17" t="str">
        <f>IF(AND(IF(COUNTIFS(资产清单!$A$6:$A$25,A114)&lt;&gt;1,"",IF(INDEX(资产清单!$H$6:$H$25,MATCH(A114,资产清单!$A$6:$A$25,0))="","",INDEX(资产清单!$H$6:$H$25,MATCH(A114,资产清单!$A$6:$A$25,0))))&lt;&gt;"场地",IF(COUNTIFS(资产清单!$A$6:$A$25,A114)&lt;&gt;1,"",IF(INDEX(资产清单!$H$6:$H$25,MATCH(A114,资产清单!$A$6:$A$25,0))="","",INDEX(资产清单!$H$6:$H$25,MATCH(A114,资产清单!$A$6:$A$25,0))))&lt;&gt;"车位",IF(COUNTIFS(资产清单!$A$6:$A$25,A114)&lt;&gt;1,"",IF(INDEX(资产清单!$H$6:$H$25,MATCH(A114,资产清单!$A$6:$A$25,0))="","",INDEX(资产清单!$H$6:$H$25,MATCH(A114,资产清单!$A$6:$A$25,0))))&lt;&gt;"通信基站"),IF(COUNTIFS(市场案例库!$A$6:$A$35,C114)&lt;&gt;1,"",IF(INDEX(市场案例库!$O$6:$O$35,MATCH(C114,市场案例库!$A$6:$A$35,0))="","",INDEX(市场案例库!$O$6:$O$35,MATCH(C114,市场案例库!$A$6:$A$35,0)))),"不适用")</f>
        <v>临街商铺</v>
      </c>
      <c r="H114" s="19">
        <f>测算参数!$B$6</f>
        <v>100</v>
      </c>
      <c r="I114" s="10">
        <v>100</v>
      </c>
      <c r="J114" s="21">
        <f>IF(OR(C114&lt;&gt;N114,COUNT(H114:I114)&lt;&gt;2,H114&lt;=0,I114&lt;=0),"",IF(AND(IF(COUNTIFS(资产清单!$A$6:$A$25,A114)&lt;&gt;1,"",IF(INDEX(资产清单!$H$6:$H$25,MATCH(A114,资产清单!$A$6:$A$25,0))="","",INDEX(资产清单!$H$6:$H$25,MATCH(A114,资产清单!$A$6:$A$25,0))))&lt;&gt;"场地",IF(COUNTIFS(资产清单!$A$6:$A$25,A114)&lt;&gt;1,"",IF(INDEX(资产清单!$H$6:$H$25,MATCH(A114,资产清单!$A$6:$A$25,0))="","",INDEX(资产清单!$H$6:$H$25,MATCH(A114,资产清单!$A$6:$A$25,0))))&lt;&gt;"车位",IF(COUNTIFS(资产清单!$A$6:$A$25,A114)&lt;&gt;1,"",IF(INDEX(资产清单!$H$6:$H$25,MATCH(A114,资产清单!$A$6:$A$25,0))="","",INDEX(资产清单!$H$6:$H$25,MATCH(A114,资产清单!$A$6:$A$25,0))))&lt;&gt;"通信基站"),H114/I114,H114/H114))</f>
        <v>1</v>
      </c>
      <c r="K114" s="16" t="s">
        <v>234</v>
      </c>
      <c r="L114" s="16" t="s">
        <v>215</v>
      </c>
      <c r="M114" s="16" t="str">
        <f t="shared" si="9"/>
        <v>模拟评分记录完整</v>
      </c>
      <c r="N114" s="8" t="s">
        <v>154</v>
      </c>
    </row>
    <row r="115" spans="1:14" ht="46.05" customHeight="1">
      <c r="A115" s="16" t="s">
        <v>75</v>
      </c>
      <c r="B115" s="16">
        <v>1</v>
      </c>
      <c r="C115" s="17" t="str">
        <f>三案例选用!B8</f>
        <v>SC-004</v>
      </c>
      <c r="D115" s="16" t="s">
        <v>229</v>
      </c>
      <c r="E115" s="17" t="str">
        <f>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"适用","不适用采用100/100")</f>
        <v>适用</v>
      </c>
      <c r="F115" s="17">
        <f>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IF(COUNTIFS(资产清单!$A$6:$A$25,A115)&lt;&gt;1,"",IF(COUNT(INDEX(资产清单!$N$6:$N$25,MATCH(A115,资产清单!$A$6:$A$25,0)))&lt;&gt;1,"",INDEX(资产清单!$N$6:$N$25,MATCH(A115,资产清单!$A$6:$A$25,0)))),"不适用")</f>
        <v>2</v>
      </c>
      <c r="G115" s="17">
        <f>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IF(COUNTIFS(市场案例库!$A$6:$A$35,C115)&lt;&gt;1,"",IF(COUNT(INDEX(市场案例库!$I$6:$I$35,MATCH(C115,市场案例库!$A$6:$A$35,0)))&lt;&gt;1,"",INDEX(市场案例库!$I$6:$I$35,MATCH(C115,市场案例库!$A$6:$A$35,0)))),"不适用")</f>
        <v>2</v>
      </c>
      <c r="H115" s="19">
        <f>测算参数!$B$6</f>
        <v>100</v>
      </c>
      <c r="I115" s="19">
        <f>IF(OR(COUNTIFS(市场案例库!$A$6:$A$35,C115)&lt;&gt;1,AND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OR(COUNT(IF(COUNTIFS(资产清单!$A$6:$A$25,A115)&lt;&gt;1,"",IF(COUNT(INDEX(资产清单!$N$6:$N$25,MATCH(A115,资产清单!$A$6:$A$25,0)))&lt;&gt;1,"",INDEX(资产清单!$N$6:$N$25,MATCH(A115,资产清单!$A$6:$A$25,0)))),IF(COUNTIFS(市场案例库!$A$6:$A$35,C115)&lt;&gt;1,"",IF(COUNT(INDEX(市场案例库!$I$6:$I$35,MATCH(C115,市场案例库!$A$6:$A$35,0)))&lt;&gt;1,"",INDEX(市场案例库!$I$6:$I$35,MATCH(C115,市场案例库!$A$6:$A$35,0)))))&lt;&gt;2,IF(COUNTIFS(资产清单!$A$6:$A$25,A115)&lt;&gt;1,"",IF(COUNT(INDEX(资产清单!$N$6:$N$25,MATCH(A115,资产清单!$A$6:$A$25,0)))&lt;&gt;1,"",INDEX(资产清单!$N$6:$N$25,MATCH(A115,资产清单!$A$6:$A$25,0))))&lt;1,IF(COUNTIFS(资产清单!$A$6:$A$25,A115)&lt;&gt;1,"",IF(COUNT(INDEX(资产清单!$N$6:$N$25,MATCH(A115,资产清单!$A$6:$A$25,0)))&lt;&gt;1,"",INDEX(资产清单!$N$6:$N$25,MATCH(A115,资产清单!$A$6:$A$25,0))))&gt;4,IF(COUNTIFS(市场案例库!$A$6:$A$35,C115)&lt;&gt;1,"",IF(COUNT(INDEX(市场案例库!$I$6:$I$35,MATCH(C115,市场案例库!$A$6:$A$35,0)))&lt;&gt;1,"",INDEX(市场案例库!$I$6:$I$35,MATCH(C115,市场案例库!$A$6:$A$35,0))))&lt;1,IF(COUNTIFS(市场案例库!$A$6:$A$35,C115)&lt;&gt;1,"",IF(COUNT(INDEX(市场案例库!$I$6:$I$35,MATCH(C115,市场案例库!$A$6:$A$35,0)))&lt;&gt;1,"",INDEX(市场案例库!$I$6:$I$35,MATCH(C115,市场案例库!$A$6:$A$35,0))))&gt;4))),"",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INDEX(测算参数!$B$35:$B$41,MATCH(IF(COUNTIFS(市场案例库!$A$6:$A$35,C115)&lt;&gt;1,"",IF(COUNT(INDEX(市场案例库!$I$6:$I$35,MATCH(C115,市场案例库!$A$6:$A$35,0)))&lt;&gt;1,"",INDEX(市场案例库!$I$6:$I$35,MATCH(C115,市场案例库!$A$6:$A$35,0))))-IF(COUNTIFS(资产清单!$A$6:$A$25,A115)&lt;&gt;1,"",IF(COUNT(INDEX(资产清单!$N$6:$N$25,MATCH(A115,资产清单!$A$6:$A$25,0)))&lt;&gt;1,"",INDEX(资产清单!$N$6:$N$25,MATCH(A115,资产清单!$A$6:$A$25,0)))),测算参数!$A$35:$A$41,0)),测算参数!$B$6))</f>
        <v>100</v>
      </c>
      <c r="J115" s="21">
        <f>IF(OR(C115&lt;&gt;N115,COUNT(H115:I115)&lt;&gt;2,H115&lt;=0,I115&lt;=0),"",IF(AND(IF(COUNTIFS(资产清单!$A$6:$A$25,A115)&lt;&gt;1,"",IF(INDEX(资产清单!$H$6:$H$25,MATCH(A115,资产清单!$A$6:$A$25,0))="","",INDEX(资产清单!$H$6:$H$25,MATCH(A115,资产清单!$A$6:$A$25,0))))&lt;&gt;"场地",IF(COUNTIFS(资产清单!$A$6:$A$25,A115)&lt;&gt;1,"",IF(INDEX(资产清单!$H$6:$H$25,MATCH(A115,资产清单!$A$6:$A$25,0))="","",INDEX(资产清单!$H$6:$H$25,MATCH(A115,资产清单!$A$6:$A$25,0))))&lt;&gt;"车位",IF(COUNTIFS(资产清单!$A$6:$A$25,A115)&lt;&gt;1,"",IF(INDEX(资产清单!$H$6:$H$25,MATCH(A115,资产清单!$A$6:$A$25,0))="","",INDEX(资产清单!$H$6:$H$25,MATCH(A115,资产清单!$A$6:$A$25,0))))&lt;&gt;"通信基站"),H115/I115,H115/H115))</f>
        <v>1</v>
      </c>
      <c r="K115" s="16" t="s">
        <v>234</v>
      </c>
      <c r="L115" s="16" t="s">
        <v>230</v>
      </c>
      <c r="M115" s="16" t="str">
        <f t="shared" si="9"/>
        <v>模拟评分记录完整</v>
      </c>
      <c r="N115" s="8" t="s">
        <v>154</v>
      </c>
    </row>
    <row r="116" spans="1:14" ht="46.05" customHeight="1">
      <c r="A116" s="16" t="s">
        <v>75</v>
      </c>
      <c r="B116" s="16">
        <v>1</v>
      </c>
      <c r="C116" s="17" t="str">
        <f>三案例选用!B8</f>
        <v>SC-004</v>
      </c>
      <c r="D116" s="16" t="s">
        <v>231</v>
      </c>
      <c r="E116" s="17" t="str">
        <f>IF(AND(IF(COUNTIFS(资产清单!$A$6:$A$25,A116)&lt;&gt;1,"",IF(INDEX(资产清单!$H$6:$H$25,MATCH(A116,资产清单!$A$6:$A$25,0))="","",INDEX(资产清单!$H$6:$H$25,MATCH(A116,资产清单!$A$6:$A$25,0))))&lt;&gt;"场地",IF(COUNTIFS(资产清单!$A$6:$A$25,A116)&lt;&gt;1,"",IF(INDEX(资产清单!$H$6:$H$25,MATCH(A116,资产清单!$A$6:$A$25,0))="","",INDEX(资产清单!$H$6:$H$25,MATCH(A116,资产清单!$A$6:$A$25,0))))&lt;&gt;"车位",IF(COUNTIFS(资产清单!$A$6:$A$25,A116)&lt;&gt;1,"",IF(INDEX(资产清单!$H$6:$H$25,MATCH(A116,资产清单!$A$6:$A$25,0))="","",INDEX(资产清单!$H$6:$H$25,MATCH(A116,资产清单!$A$6:$A$25,0))))&lt;&gt;"通信基站"),"适用","不适用采用100/100")</f>
        <v>适用</v>
      </c>
      <c r="F116" s="17" t="str">
        <f>IF(AND(IF(COUNTIFS(资产清单!$A$6:$A$25,A116)&lt;&gt;1,"",IF(INDEX(资产清单!$H$6:$H$25,MATCH(A116,资产清单!$A$6:$A$25,0))="","",INDEX(资产清单!$H$6:$H$25,MATCH(A116,资产清单!$A$6:$A$25,0))))&lt;&gt;"场地",IF(COUNTIFS(资产清单!$A$6:$A$25,A116)&lt;&gt;1,"",IF(INDEX(资产清单!$H$6:$H$25,MATCH(A116,资产清单!$A$6:$A$25,0))="","",INDEX(资产清单!$H$6:$H$25,MATCH(A116,资产清单!$A$6:$A$25,0))))&lt;&gt;"车位",IF(COUNTIFS(资产清单!$A$6:$A$25,A116)&lt;&gt;1,"",IF(INDEX(资产清单!$H$6:$H$25,MATCH(A116,资产清单!$A$6:$A$25,0))="","",INDEX(资产清单!$H$6:$H$25,MATCH(A116,资产清单!$A$6:$A$25,0))))&lt;&gt;"通信基站"),IF(COUNTIFS(资产清单!$A$6:$A$25,A116)&lt;&gt;1,"",IF(INDEX(资产清单!$I$6:$I$25,MATCH(A116,资产清单!$A$6:$A$25,0))="","",INDEX(资产清单!$I$6:$I$25,MATCH(A116,资产清单!$A$6:$A$25,0)))),"不适用")</f>
        <v>临街商铺</v>
      </c>
      <c r="G116" s="17" t="str">
        <f>IF(AND(IF(COUNTIFS(资产清单!$A$6:$A$25,A116)&lt;&gt;1,"",IF(INDEX(资产清单!$H$6:$H$25,MATCH(A116,资产清单!$A$6:$A$25,0))="","",INDEX(资产清单!$H$6:$H$25,MATCH(A116,资产清单!$A$6:$A$25,0))))&lt;&gt;"场地",IF(COUNTIFS(资产清单!$A$6:$A$25,A116)&lt;&gt;1,"",IF(INDEX(资产清单!$H$6:$H$25,MATCH(A116,资产清单!$A$6:$A$25,0))="","",INDEX(资产清单!$H$6:$H$25,MATCH(A116,资产清单!$A$6:$A$25,0))))&lt;&gt;"车位",IF(COUNTIFS(资产清单!$A$6:$A$25,A116)&lt;&gt;1,"",IF(INDEX(资产清单!$H$6:$H$25,MATCH(A116,资产清单!$A$6:$A$25,0))="","",INDEX(资产清单!$H$6:$H$25,MATCH(A116,资产清单!$A$6:$A$25,0))))&lt;&gt;"通信基站"),IF(COUNTIFS(市场案例库!$A$6:$A$35,C116)&lt;&gt;1,"",IF(INDEX(市场案例库!$O$6:$O$35,MATCH(C116,市场案例库!$A$6:$A$35,0))="","",INDEX(市场案例库!$O$6:$O$35,MATCH(C116,市场案例库!$A$6:$A$35,0)))),"不适用")</f>
        <v>临街商铺</v>
      </c>
      <c r="H116" s="19">
        <f>测算参数!$B$6</f>
        <v>100</v>
      </c>
      <c r="I116" s="10">
        <v>100</v>
      </c>
      <c r="J116" s="21">
        <f>IF(OR(C116&lt;&gt;N116,COUNT(H116:I116)&lt;&gt;2,H116&lt;=0,I116&lt;=0),"",IF(AND(IF(COUNTIFS(资产清单!$A$6:$A$25,A116)&lt;&gt;1,"",IF(INDEX(资产清单!$H$6:$H$25,MATCH(A116,资产清单!$A$6:$A$25,0))="","",INDEX(资产清单!$H$6:$H$25,MATCH(A116,资产清单!$A$6:$A$25,0))))&lt;&gt;"场地",IF(COUNTIFS(资产清单!$A$6:$A$25,A116)&lt;&gt;1,"",IF(INDEX(资产清单!$H$6:$H$25,MATCH(A116,资产清单!$A$6:$A$25,0))="","",INDEX(资产清单!$H$6:$H$25,MATCH(A116,资产清单!$A$6:$A$25,0))))&lt;&gt;"车位",IF(COUNTIFS(资产清单!$A$6:$A$25,A116)&lt;&gt;1,"",IF(INDEX(资产清单!$H$6:$H$25,MATCH(A116,资产清单!$A$6:$A$25,0))="","",INDEX(资产清单!$H$6:$H$25,MATCH(A116,资产清单!$A$6:$A$25,0))))&lt;&gt;"通信基站"),H116/I116,H116/H116))</f>
        <v>1</v>
      </c>
      <c r="K116" s="16" t="s">
        <v>234</v>
      </c>
      <c r="L116" s="16" t="s">
        <v>215</v>
      </c>
      <c r="M116" s="16" t="str">
        <f t="shared" si="9"/>
        <v>模拟评分记录完整</v>
      </c>
      <c r="N116" s="8" t="s">
        <v>154</v>
      </c>
    </row>
    <row r="117" spans="1:14" ht="46.05" customHeight="1">
      <c r="A117" s="16" t="s">
        <v>75</v>
      </c>
      <c r="B117" s="16">
        <v>1</v>
      </c>
      <c r="C117" s="17" t="str">
        <f>三案例选用!B8</f>
        <v>SC-004</v>
      </c>
      <c r="D117" s="16" t="s">
        <v>232</v>
      </c>
      <c r="E117" s="16" t="str">
        <f>IF(TRUE,"适用","不适用采用100/100")</f>
        <v>适用</v>
      </c>
      <c r="F117" s="17" t="str">
        <f>IF(TRUE,IF(COUNTIFS(资产清单!$A$6:$A$25,A117)&lt;&gt;1,"",IF(INDEX(资产清单!$I$6:$I$25,MATCH(A117,资产清单!$A$6:$A$25,0))="","",INDEX(资产清单!$I$6:$I$25,MATCH(A117,资产清单!$A$6:$A$25,0)))),"不适用")</f>
        <v>临街商铺</v>
      </c>
      <c r="G117" s="17" t="str">
        <f>IF(TRUE,IF(COUNTIFS(市场案例库!$A$6:$A$35,C117)&lt;&gt;1,"",IF(INDEX(市场案例库!$O$6:$O$35,MATCH(C117,市场案例库!$A$6:$A$35,0))="","",INDEX(市场案例库!$O$6:$O$35,MATCH(C117,市场案例库!$A$6:$A$35,0)))),"不适用")</f>
        <v>临街商铺</v>
      </c>
      <c r="H117" s="19">
        <f>测算参数!$B$6</f>
        <v>100</v>
      </c>
      <c r="I117" s="10">
        <v>100</v>
      </c>
      <c r="J117" s="20">
        <f>IF(OR(C117&lt;&gt;N117,COUNT(H117:I117)&lt;&gt;2,H117&lt;=0,I117&lt;=0),"",IF(TRUE,H117/I117,H117/H117))</f>
        <v>1</v>
      </c>
      <c r="K117" s="16" t="s">
        <v>234</v>
      </c>
      <c r="L117" s="16" t="s">
        <v>215</v>
      </c>
      <c r="M117" s="16" t="str">
        <f t="shared" si="9"/>
        <v>模拟评分记录完整</v>
      </c>
      <c r="N117" s="8" t="s">
        <v>154</v>
      </c>
    </row>
    <row r="118" spans="1:14" ht="46.05" customHeight="1">
      <c r="A118" s="16" t="s">
        <v>75</v>
      </c>
      <c r="B118" s="16">
        <v>2</v>
      </c>
      <c r="C118" s="17" t="str">
        <f>三案例选用!C8</f>
        <v>SC-005</v>
      </c>
      <c r="D118" s="16" t="s">
        <v>209</v>
      </c>
      <c r="E118" s="16" t="str">
        <f>IF(TRUE,"适用","不适用采用100/100")</f>
        <v>适用</v>
      </c>
      <c r="F118" s="17" t="str">
        <f>IF(TRUE,IF(COUNTIFS(资产清单!$A$6:$A$25,A118)&lt;&gt;1,"",IF(INDEX(资产清单!$I$6:$I$25,MATCH(A118,资产清单!$A$6:$A$25,0))="","",INDEX(资产清单!$I$6:$I$25,MATCH(A118,资产清单!$A$6:$A$25,0)))),"不适用")</f>
        <v>临街商铺</v>
      </c>
      <c r="G118" s="17" t="str">
        <f>IF(TRUE,IF(COUNTIFS(市场案例库!$A$6:$A$35,C118)&lt;&gt;1,"",IF(INDEX(市场案例库!$O$6:$O$35,MATCH(C118,市场案例库!$A$6:$A$35,0))="","",INDEX(市场案例库!$O$6:$O$35,MATCH(C118,市场案例库!$A$6:$A$35,0)))),"不适用")</f>
        <v>临街商铺</v>
      </c>
      <c r="H118" s="19">
        <f>测算参数!$B$6</f>
        <v>100</v>
      </c>
      <c r="I118" s="19">
        <f>IF(OR(COUNTIFS(市场案例库!$A$6:$A$35,C118)&lt;&gt;1),"",IF(COUNTIFS(市场案例库!$A$6:$A$35,C118)&lt;&gt;1,"",IF(COUNT(INDEX(市场案例库!$M$6:$M$35,MATCH(C118,市场案例库!$A$6:$A$35,0)))&lt;&gt;1,"",INDEX(市场案例库!$M$6:$M$35,MATCH(C118,市场案例库!$A$6:$A$35,0)))))</f>
        <v>102</v>
      </c>
      <c r="J118" s="20">
        <f>IF(OR(C118&lt;&gt;N118,COUNT(H118:I118)&lt;&gt;2,H118&lt;=0,I118&lt;=0),"",IF(TRUE,H118/I118,H118/H118))</f>
        <v>0.98039215686274506</v>
      </c>
      <c r="K118" s="16" t="s">
        <v>234</v>
      </c>
      <c r="L118" s="16" t="s">
        <v>211</v>
      </c>
      <c r="M118" s="16" t="str">
        <f t="shared" si="9"/>
        <v>模拟评分记录完整</v>
      </c>
      <c r="N118" s="8" t="s">
        <v>155</v>
      </c>
    </row>
    <row r="119" spans="1:14" ht="46.05" customHeight="1">
      <c r="A119" s="16" t="s">
        <v>75</v>
      </c>
      <c r="B119" s="16">
        <v>2</v>
      </c>
      <c r="C119" s="17" t="str">
        <f>三案例选用!C8</f>
        <v>SC-005</v>
      </c>
      <c r="D119" s="16" t="s">
        <v>212</v>
      </c>
      <c r="E119" s="16" t="str">
        <f>IF(TRUE,"适用","不适用采用100/100")</f>
        <v>适用</v>
      </c>
      <c r="F119" s="17" t="str">
        <f>IF(TRUE,IF(COUNTIFS(资产清单!$A$6:$A$25,A119)&lt;&gt;1,"",IF(INDEX(资产清单!$I$6:$I$25,MATCH(A119,资产清单!$A$6:$A$25,0))="","",INDEX(资产清单!$I$6:$I$25,MATCH(A119,资产清单!$A$6:$A$25,0)))),"不适用")</f>
        <v>临街商铺</v>
      </c>
      <c r="G119" s="17" t="str">
        <f>IF(TRUE,IF(COUNTIFS(市场案例库!$A$6:$A$35,C119)&lt;&gt;1,"",IF(INDEX(市场案例库!$O$6:$O$35,MATCH(C119,市场案例库!$A$6:$A$35,0))="","",INDEX(市场案例库!$O$6:$O$35,MATCH(C119,市场案例库!$A$6:$A$35,0)))),"不适用")</f>
        <v>临街商铺</v>
      </c>
      <c r="H119" s="19">
        <f>测算参数!$B$6</f>
        <v>100</v>
      </c>
      <c r="I119" s="19">
        <f>IF(OR(COUNTIFS(市场案例库!$A$6:$A$35,C119)&lt;&gt;1),"",IF(COUNTIFS(市场案例库!$A$6:$A$35,C119)&lt;&gt;1,"",IF(COUNT(INDEX(市场案例库!$N$6:$N$35,MATCH(C119,市场案例库!$A$6:$A$35,0)))&lt;&gt;1,"",INDEX(市场案例库!$N$6:$N$35,MATCH(C119,市场案例库!$A$6:$A$35,0)))))</f>
        <v>100</v>
      </c>
      <c r="J119" s="20">
        <f>IF(OR(C119&lt;&gt;N119,COUNT(H119:I119)&lt;&gt;2,H119&lt;=0,I119&lt;=0),"",IF(TRUE,H119/I119,H119/H119))</f>
        <v>1</v>
      </c>
      <c r="K119" s="16" t="s">
        <v>234</v>
      </c>
      <c r="L119" s="16" t="s">
        <v>213</v>
      </c>
      <c r="M119" s="16" t="str">
        <f t="shared" si="9"/>
        <v>模拟评分记录完整</v>
      </c>
      <c r="N119" s="8" t="s">
        <v>155</v>
      </c>
    </row>
    <row r="120" spans="1:14" ht="46.05" customHeight="1">
      <c r="A120" s="16" t="s">
        <v>75</v>
      </c>
      <c r="B120" s="16">
        <v>2</v>
      </c>
      <c r="C120" s="17" t="str">
        <f>三案例选用!C8</f>
        <v>SC-005</v>
      </c>
      <c r="D120" s="16" t="s">
        <v>214</v>
      </c>
      <c r="E120" s="16" t="str">
        <f>IF(TRUE,"适用","不适用采用100/100")</f>
        <v>适用</v>
      </c>
      <c r="F120" s="17" t="str">
        <f>IF(TRUE,IF(COUNTIFS(资产清单!$A$6:$A$25,A120)&lt;&gt;1,"",IF(INDEX(资产清单!$I$6:$I$25,MATCH(A120,资产清单!$A$6:$A$25,0))="","",INDEX(资产清单!$I$6:$I$25,MATCH(A120,资产清单!$A$6:$A$25,0)))),"不适用")</f>
        <v>临街商铺</v>
      </c>
      <c r="G120" s="17" t="str">
        <f>IF(TRUE,IF(COUNTIFS(市场案例库!$A$6:$A$35,C120)&lt;&gt;1,"",IF(INDEX(市场案例库!$O$6:$O$35,MATCH(C120,市场案例库!$A$6:$A$35,0))="","",INDEX(市场案例库!$O$6:$O$35,MATCH(C120,市场案例库!$A$6:$A$35,0)))),"不适用")</f>
        <v>临街商铺</v>
      </c>
      <c r="H120" s="19">
        <f>测算参数!$B$6</f>
        <v>100</v>
      </c>
      <c r="I120" s="10">
        <v>100</v>
      </c>
      <c r="J120" s="20">
        <f>IF(OR(C120&lt;&gt;N120,COUNT(H120:I120)&lt;&gt;2,H120&lt;=0,I120&lt;=0),"",IF(TRUE,H120/I120,H120/H120))</f>
        <v>1</v>
      </c>
      <c r="K120" s="16" t="s">
        <v>234</v>
      </c>
      <c r="L120" s="16" t="s">
        <v>215</v>
      </c>
      <c r="M120" s="16" t="str">
        <f t="shared" si="9"/>
        <v>模拟评分记录完整</v>
      </c>
      <c r="N120" s="8" t="s">
        <v>155</v>
      </c>
    </row>
    <row r="121" spans="1:14" ht="46.05" customHeight="1">
      <c r="A121" s="16" t="s">
        <v>75</v>
      </c>
      <c r="B121" s="16">
        <v>2</v>
      </c>
      <c r="C121" s="17" t="str">
        <f>三案例选用!C8</f>
        <v>SC-005</v>
      </c>
      <c r="D121" s="16" t="s">
        <v>216</v>
      </c>
      <c r="E121" s="16" t="str">
        <f>IF(TRUE,"适用","不适用采用100/100")</f>
        <v>适用</v>
      </c>
      <c r="F121" s="17" t="str">
        <f>IF(TRUE,IF(COUNTIFS(资产清单!$A$6:$A$25,A121)&lt;&gt;1,"",IF(INDEX(资产清单!$I$6:$I$25,MATCH(A121,资产清单!$A$6:$A$25,0))="","",INDEX(资产清单!$I$6:$I$25,MATCH(A121,资产清单!$A$6:$A$25,0)))),"不适用")</f>
        <v>临街商铺</v>
      </c>
      <c r="G121" s="17" t="str">
        <f>IF(TRUE,IF(COUNTIFS(市场案例库!$A$6:$A$35,C121)&lt;&gt;1,"",IF(INDEX(市场案例库!$O$6:$O$35,MATCH(C121,市场案例库!$A$6:$A$35,0))="","",INDEX(市场案例库!$O$6:$O$35,MATCH(C121,市场案例库!$A$6:$A$35,0)))),"不适用")</f>
        <v>临街商铺</v>
      </c>
      <c r="H121" s="19">
        <f>测算参数!$B$6</f>
        <v>100</v>
      </c>
      <c r="I121" s="10">
        <v>100</v>
      </c>
      <c r="J121" s="20">
        <f>IF(OR(C121&lt;&gt;N121,COUNT(H121:I121)&lt;&gt;2,H121&lt;=0,I121&lt;=0),"",IF(TRUE,H121/I121,H121/H121))</f>
        <v>1</v>
      </c>
      <c r="K121" s="16" t="s">
        <v>234</v>
      </c>
      <c r="L121" s="16" t="s">
        <v>215</v>
      </c>
      <c r="M121" s="16" t="str">
        <f t="shared" si="9"/>
        <v>模拟评分记录完整</v>
      </c>
      <c r="N121" s="8" t="s">
        <v>155</v>
      </c>
    </row>
    <row r="122" spans="1:14" ht="46.05" customHeight="1">
      <c r="A122" s="16" t="s">
        <v>75</v>
      </c>
      <c r="B122" s="16">
        <v>2</v>
      </c>
      <c r="C122" s="17" t="str">
        <f>三案例选用!C8</f>
        <v>SC-005</v>
      </c>
      <c r="D122" s="16" t="s">
        <v>217</v>
      </c>
      <c r="E122" s="17" t="str">
        <f>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"适用","不适用采用100/100")</f>
        <v>适用</v>
      </c>
      <c r="F122" s="17">
        <f>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IF(COUNTIFS(资产清单!$A$6:$A$25,A122)&lt;&gt;1,"",IF(COUNT(INDEX(资产清单!$M$6:$M$25,MATCH(A122,资产清单!$A$6:$A$25,0)))&lt;&gt;1,"",INDEX(资产清单!$M$6:$M$25,MATCH(A122,资产清单!$A$6:$A$25,0)))),"不适用")</f>
        <v>2</v>
      </c>
      <c r="G122" s="17">
        <f>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IF(COUNTIFS(市场案例库!$A$6:$A$35,C122)&lt;&gt;1,"",IF(COUNT(INDEX(市场案例库!$H$6:$H$35,MATCH(C122,市场案例库!$A$6:$A$35,0)))&lt;&gt;1,"",INDEX(市场案例库!$H$6:$H$35,MATCH(C122,市场案例库!$A$6:$A$35,0)))),"不适用")</f>
        <v>2</v>
      </c>
      <c r="H122" s="19">
        <f>测算参数!$B$6</f>
        <v>100</v>
      </c>
      <c r="I122" s="19">
        <f>IF(OR(COUNTIFS(市场案例库!$A$6:$A$35,C122)&lt;&gt;1,AND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COUNT(IF(COUNTIFS(资产清单!$A$6:$A$25,A122)&lt;&gt;1,"",IF(COUNT(INDEX(资产清单!$M$6:$M$25,MATCH(A122,资产清单!$A$6:$A$25,0)))&lt;&gt;1,"",INDEX(资产清单!$M$6:$M$25,MATCH(A122,资产清单!$A$6:$A$25,0)))),IF(COUNTIFS(市场案例库!$A$6:$A$35,C122)&lt;&gt;1,"",IF(COUNT(INDEX(市场案例库!$H$6:$H$35,MATCH(C122,市场案例库!$A$6:$A$35,0)))&lt;&gt;1,"",INDEX(市场案例库!$H$6:$H$35,MATCH(C122,市场案例库!$A$6:$A$35,0)))))&lt;&gt;2)),"",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INDEX(测算参数!$B$25:$B$31,MATCH(MAX(-测算参数!$B$11,MIN(测算参数!$B$11,IF(COUNTIFS(资产清单!$A$6:$A$25,A122)&lt;&gt;1,"",IF(COUNT(INDEX(资产清单!$M$6:$M$25,MATCH(A122,资产清单!$A$6:$A$25,0)))&lt;&gt;1,"",INDEX(资产清单!$M$6:$M$25,MATCH(A122,资产清单!$A$6:$A$25,0))))-IF(COUNTIFS(市场案例库!$A$6:$A$35,C122)&lt;&gt;1,"",IF(COUNT(INDEX(市场案例库!$H$6:$H$35,MATCH(C122,市场案例库!$A$6:$A$35,0)))&lt;&gt;1,"",INDEX(市场案例库!$H$6:$H$35,MATCH(C122,市场案例库!$A$6:$A$35,0)))))),测算参数!$A$25:$A$31,0)),测算参数!$B$6))</f>
        <v>100</v>
      </c>
      <c r="J122" s="21">
        <f>IF(OR(C122&lt;&gt;N122,COUNT(H122:I122)&lt;&gt;2,H122&lt;=0,I122&lt;=0),"",IF(OR(IF(COUNTIFS(资产清单!$A$6:$A$25,A122)&lt;&gt;1,"",IF(INDEX(资产清单!$H$6:$H$25,MATCH(A122,资产清单!$A$6:$A$25,0))="","",INDEX(资产清单!$H$6:$H$25,MATCH(A122,资产清单!$A$6:$A$25,0))))="商业",IF(COUNTIFS(资产清单!$A$6:$A$25,A122)&lt;&gt;1,"",IF(INDEX(资产清单!$H$6:$H$25,MATCH(A122,资产清单!$A$6:$A$25,0))="","",INDEX(资产清单!$H$6:$H$25,MATCH(A122,资产清单!$A$6:$A$25,0))))="办公",IF(COUNTIFS(资产清单!$A$6:$A$25,A122)&lt;&gt;1,"",IF(INDEX(资产清单!$H$6:$H$25,MATCH(A122,资产清单!$A$6:$A$25,0))="","",INDEX(资产清单!$H$6:$H$25,MATCH(A122,资产清单!$A$6:$A$25,0))))="住宅"),H122/I122,H122/H122))</f>
        <v>1</v>
      </c>
      <c r="K122" s="16" t="s">
        <v>234</v>
      </c>
      <c r="L122" s="16" t="s">
        <v>218</v>
      </c>
      <c r="M122" s="16" t="str">
        <f t="shared" si="9"/>
        <v>模拟评分记录完整</v>
      </c>
      <c r="N122" s="8" t="s">
        <v>155</v>
      </c>
    </row>
    <row r="123" spans="1:14" ht="46.05" customHeight="1">
      <c r="A123" s="16" t="s">
        <v>75</v>
      </c>
      <c r="B123" s="16">
        <v>2</v>
      </c>
      <c r="C123" s="17" t="str">
        <f>三案例选用!C8</f>
        <v>SC-005</v>
      </c>
      <c r="D123" s="16" t="s">
        <v>219</v>
      </c>
      <c r="E123" s="17" t="str">
        <f>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"适用","不适用采用100/100")</f>
        <v>适用</v>
      </c>
      <c r="F123" s="17">
        <f>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IF(COUNTIFS(资产清单!$A$6:$A$25,A123)&lt;&gt;1,"",IF(COUNT(INDEX(资产清单!$L$6:$L$25,MATCH(A123,资产清单!$A$6:$A$25,0)))&lt;&gt;1,"",INDEX(资产清单!$L$6:$L$25,MATCH(A123,资产清单!$A$6:$A$25,0)))),"不适用")</f>
        <v>95</v>
      </c>
      <c r="G123" s="17">
        <f>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IF(COUNTIFS(市场案例库!$A$6:$A$35,C123)&lt;&gt;1,"",IF(COUNT(INDEX(市场案例库!$G$6:$G$35,MATCH(C123,市场案例库!$A$6:$A$35,0)))&lt;&gt;1,"",INDEX(市场案例库!$G$6:$G$35,MATCH(C123,市场案例库!$A$6:$A$35,0)))),"不适用")</f>
        <v>100</v>
      </c>
      <c r="H123" s="19">
        <f>测算参数!$B$6</f>
        <v>100</v>
      </c>
      <c r="I123" s="19">
        <f>IF(OR(COUNTIFS(市场案例库!$A$6:$A$35,C123)&lt;&gt;1,AND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OR(COUNT(IF(COUNTIFS(资产清单!$A$6:$A$25,A123)&lt;&gt;1,"",IF(COUNT(INDEX(资产清单!$L$6:$L$25,MATCH(A123,资产清单!$A$6:$A$25,0)))&lt;&gt;1,"",INDEX(资产清单!$L$6:$L$25,MATCH(A123,资产清单!$A$6:$A$25,0)))),IF(COUNTIFS(市场案例库!$A$6:$A$35,C123)&lt;&gt;1,"",IF(COUNT(INDEX(市场案例库!$G$6:$G$35,MATCH(C123,市场案例库!$A$6:$A$35,0)))&lt;&gt;1,"",INDEX(市场案例库!$G$6:$G$35,MATCH(C123,市场案例库!$A$6:$A$35,0)))))&lt;&gt;2,IF(COUNTIFS(资产清单!$A$6:$A$25,A123)&lt;&gt;1,"",IF(COUNT(INDEX(资产清单!$L$6:$L$25,MATCH(A123,资产清单!$A$6:$A$25,0)))&lt;&gt;1,"",INDEX(资产清单!$L$6:$L$25,MATCH(A123,资产清单!$A$6:$A$25,0))))&lt;=0,IF(COUNTIFS(市场案例库!$A$6:$A$35,C123)&lt;&gt;1,"",IF(COUNT(INDEX(市场案例库!$G$6:$G$35,MATCH(C123,市场案例库!$A$6:$A$35,0)))&lt;&gt;1,"",INDEX(市场案例库!$G$6:$G$35,MATCH(C123,市场案例库!$A$6:$A$35,0))))&lt;=0))),"",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LOOKUP(IF(COUNTIFS(市场案例库!$A$6:$A$35,C123)&lt;&gt;1,"",IF(COUNT(INDEX(市场案例库!$G$6:$G$35,MATCH(C123,市场案例库!$A$6:$A$35,0)))&lt;&gt;1,"",INDEX(市场案例库!$G$6:$G$35,MATCH(C123,市场案例库!$A$6:$A$35,0))))/IF(COUNTIFS(资产清单!$A$6:$A$25,A123)&lt;&gt;1,"",IF(COUNT(INDEX(资产清单!$L$6:$L$25,MATCH(A123,资产清单!$A$6:$A$25,0)))&lt;&gt;1,"",INDEX(资产清单!$L$6:$L$25,MATCH(A123,资产清单!$A$6:$A$25,0)))),测算参数!$A$15:$A$21,测算参数!$C$15:$C$21),测算参数!$B$6))</f>
        <v>100</v>
      </c>
      <c r="J123" s="21">
        <f>IF(OR(C123&lt;&gt;N123,COUNT(H123:I123)&lt;&gt;2,H123&lt;=0,I123&lt;=0),"",IF(AND(IF(COUNTIFS(资产清单!$A$6:$A$25,A123)&lt;&gt;1,"",IF(INDEX(资产清单!$J$6:$J$25,MATCH(A123,资产清单!$A$6:$A$25,0))="","",INDEX(资产清单!$J$6:$J$25,MATCH(A123,资产清单!$A$6:$A$25,0))))="元/㎡/月",IF(COUNTIFS(资产清单!$A$6:$A$25,A123)&lt;&gt;1,"",IF(INDEX(资产清单!$H$6:$H$25,MATCH(A123,资产清单!$A$6:$A$25,0))="","",INDEX(资产清单!$H$6:$H$25,MATCH(A123,资产清单!$A$6:$A$25,0))))&lt;&gt;"场地"),H123/I123,H123/H123))</f>
        <v>1</v>
      </c>
      <c r="K123" s="16" t="s">
        <v>234</v>
      </c>
      <c r="L123" s="16" t="s">
        <v>220</v>
      </c>
      <c r="M123" s="16" t="str">
        <f t="shared" si="9"/>
        <v>模拟评分记录完整</v>
      </c>
      <c r="N123" s="8" t="s">
        <v>155</v>
      </c>
    </row>
    <row r="124" spans="1:14" ht="46.05" customHeight="1">
      <c r="A124" s="16" t="s">
        <v>75</v>
      </c>
      <c r="B124" s="16">
        <v>2</v>
      </c>
      <c r="C124" s="17" t="str">
        <f>三案例选用!C8</f>
        <v>SC-005</v>
      </c>
      <c r="D124" s="16" t="s">
        <v>221</v>
      </c>
      <c r="E124" s="16" t="str">
        <f t="shared" ref="E124:E129" si="16">IF(TRUE,"适用","不适用采用100/100")</f>
        <v>适用</v>
      </c>
      <c r="F124" s="17" t="str">
        <f>IF(TRUE,IF(COUNTIFS(资产清单!$A$6:$A$25,A124)&lt;&gt;1,"",IF(INDEX(资产清单!$I$6:$I$25,MATCH(A124,资产清单!$A$6:$A$25,0))="","",INDEX(资产清单!$I$6:$I$25,MATCH(A124,资产清单!$A$6:$A$25,0)))),"不适用")</f>
        <v>临街商铺</v>
      </c>
      <c r="G124" s="17" t="str">
        <f>IF(TRUE,IF(COUNTIFS(市场案例库!$A$6:$A$35,C124)&lt;&gt;1,"",IF(INDEX(市场案例库!$O$6:$O$35,MATCH(C124,市场案例库!$A$6:$A$35,0))="","",INDEX(市场案例库!$O$6:$O$35,MATCH(C124,市场案例库!$A$6:$A$35,0)))),"不适用")</f>
        <v>临街商铺</v>
      </c>
      <c r="H124" s="19">
        <f>测算参数!$B$6</f>
        <v>100</v>
      </c>
      <c r="I124" s="10">
        <v>100</v>
      </c>
      <c r="J124" s="20">
        <f t="shared" ref="J124:J129" si="17">IF(OR(C124&lt;&gt;N124,COUNT(H124:I124)&lt;&gt;2,H124&lt;=0,I124&lt;=0),"",IF(TRUE,H124/I124,H124/H124))</f>
        <v>1</v>
      </c>
      <c r="K124" s="16" t="s">
        <v>234</v>
      </c>
      <c r="L124" s="16" t="s">
        <v>215</v>
      </c>
      <c r="M124" s="16" t="str">
        <f t="shared" si="9"/>
        <v>模拟评分记录完整</v>
      </c>
      <c r="N124" s="8" t="s">
        <v>155</v>
      </c>
    </row>
    <row r="125" spans="1:14" ht="46.05" customHeight="1">
      <c r="A125" s="16" t="s">
        <v>75</v>
      </c>
      <c r="B125" s="16">
        <v>2</v>
      </c>
      <c r="C125" s="17" t="str">
        <f>三案例选用!C8</f>
        <v>SC-005</v>
      </c>
      <c r="D125" s="16" t="s">
        <v>222</v>
      </c>
      <c r="E125" s="16" t="str">
        <f t="shared" si="16"/>
        <v>适用</v>
      </c>
      <c r="F125" s="17" t="str">
        <f>IF(TRUE,IF(COUNTIFS(资产清单!$A$6:$A$25,A125)&lt;&gt;1,"",IF(INDEX(资产清单!$I$6:$I$25,MATCH(A125,资产清单!$A$6:$A$25,0))="","",INDEX(资产清单!$I$6:$I$25,MATCH(A125,资产清单!$A$6:$A$25,0)))),"不适用")</f>
        <v>临街商铺</v>
      </c>
      <c r="G125" s="17" t="str">
        <f>IF(TRUE,IF(COUNTIFS(市场案例库!$A$6:$A$35,C125)&lt;&gt;1,"",IF(INDEX(市场案例库!$O$6:$O$35,MATCH(C125,市场案例库!$A$6:$A$35,0))="","",INDEX(市场案例库!$O$6:$O$35,MATCH(C125,市场案例库!$A$6:$A$35,0)))),"不适用")</f>
        <v>临街商铺</v>
      </c>
      <c r="H125" s="19">
        <f>测算参数!$B$6</f>
        <v>100</v>
      </c>
      <c r="I125" s="10">
        <v>100</v>
      </c>
      <c r="J125" s="20">
        <f t="shared" si="17"/>
        <v>1</v>
      </c>
      <c r="K125" s="16" t="s">
        <v>234</v>
      </c>
      <c r="L125" s="16" t="s">
        <v>215</v>
      </c>
      <c r="M125" s="16" t="str">
        <f t="shared" si="9"/>
        <v>模拟评分记录完整</v>
      </c>
      <c r="N125" s="8" t="s">
        <v>155</v>
      </c>
    </row>
    <row r="126" spans="1:14" ht="46.05" customHeight="1">
      <c r="A126" s="16" t="s">
        <v>75</v>
      </c>
      <c r="B126" s="16">
        <v>2</v>
      </c>
      <c r="C126" s="17" t="str">
        <f>三案例选用!C8</f>
        <v>SC-005</v>
      </c>
      <c r="D126" s="16" t="s">
        <v>224</v>
      </c>
      <c r="E126" s="16" t="str">
        <f t="shared" si="16"/>
        <v>适用</v>
      </c>
      <c r="F126" s="17" t="str">
        <f>IF(TRUE,IF(COUNTIFS(资产清单!$A$6:$A$25,A126)&lt;&gt;1,"",IF(INDEX(资产清单!$I$6:$I$25,MATCH(A126,资产清单!$A$6:$A$25,0))="","",INDEX(资产清单!$I$6:$I$25,MATCH(A126,资产清单!$A$6:$A$25,0)))),"不适用")</f>
        <v>临街商铺</v>
      </c>
      <c r="G126" s="17" t="str">
        <f>IF(TRUE,IF(COUNTIFS(市场案例库!$A$6:$A$35,C126)&lt;&gt;1,"",IF(INDEX(市场案例库!$O$6:$O$35,MATCH(C126,市场案例库!$A$6:$A$35,0))="","",INDEX(市场案例库!$O$6:$O$35,MATCH(C126,市场案例库!$A$6:$A$35,0)))),"不适用")</f>
        <v>临街商铺</v>
      </c>
      <c r="H126" s="19">
        <f>测算参数!$B$6</f>
        <v>100</v>
      </c>
      <c r="I126" s="10">
        <v>100</v>
      </c>
      <c r="J126" s="20">
        <f t="shared" si="17"/>
        <v>1</v>
      </c>
      <c r="K126" s="16" t="s">
        <v>234</v>
      </c>
      <c r="L126" s="16" t="s">
        <v>215</v>
      </c>
      <c r="M126" s="16" t="str">
        <f t="shared" si="9"/>
        <v>模拟评分记录完整</v>
      </c>
      <c r="N126" s="8" t="s">
        <v>155</v>
      </c>
    </row>
    <row r="127" spans="1:14" ht="46.05" customHeight="1">
      <c r="A127" s="16" t="s">
        <v>75</v>
      </c>
      <c r="B127" s="16">
        <v>2</v>
      </c>
      <c r="C127" s="17" t="str">
        <f>三案例选用!C8</f>
        <v>SC-005</v>
      </c>
      <c r="D127" s="16" t="s">
        <v>225</v>
      </c>
      <c r="E127" s="16" t="str">
        <f t="shared" si="16"/>
        <v>适用</v>
      </c>
      <c r="F127" s="17" t="str">
        <f>IF(TRUE,IF(COUNTIFS(资产清单!$A$6:$A$25,A127)&lt;&gt;1,"",IF(INDEX(资产清单!$I$6:$I$25,MATCH(A127,资产清单!$A$6:$A$25,0))="","",INDEX(资产清单!$I$6:$I$25,MATCH(A127,资产清单!$A$6:$A$25,0)))),"不适用")</f>
        <v>临街商铺</v>
      </c>
      <c r="G127" s="17" t="str">
        <f>IF(TRUE,IF(COUNTIFS(市场案例库!$A$6:$A$35,C127)&lt;&gt;1,"",IF(INDEX(市场案例库!$O$6:$O$35,MATCH(C127,市场案例库!$A$6:$A$35,0))="","",INDEX(市场案例库!$O$6:$O$35,MATCH(C127,市场案例库!$A$6:$A$35,0)))),"不适用")</f>
        <v>临街商铺</v>
      </c>
      <c r="H127" s="19">
        <f>测算参数!$B$6</f>
        <v>100</v>
      </c>
      <c r="I127" s="10">
        <v>100</v>
      </c>
      <c r="J127" s="20">
        <f t="shared" si="17"/>
        <v>1</v>
      </c>
      <c r="K127" s="16" t="s">
        <v>234</v>
      </c>
      <c r="L127" s="16" t="s">
        <v>215</v>
      </c>
      <c r="M127" s="16" t="str">
        <f t="shared" si="9"/>
        <v>模拟评分记录完整</v>
      </c>
      <c r="N127" s="8" t="s">
        <v>155</v>
      </c>
    </row>
    <row r="128" spans="1:14" ht="46.05" customHeight="1">
      <c r="A128" s="16" t="s">
        <v>75</v>
      </c>
      <c r="B128" s="16">
        <v>2</v>
      </c>
      <c r="C128" s="17" t="str">
        <f>三案例选用!C8</f>
        <v>SC-005</v>
      </c>
      <c r="D128" s="16" t="s">
        <v>226</v>
      </c>
      <c r="E128" s="16" t="str">
        <f t="shared" si="16"/>
        <v>适用</v>
      </c>
      <c r="F128" s="17" t="str">
        <f>IF(TRUE,IF(COUNTIFS(资产清单!$A$6:$A$25,A128)&lt;&gt;1,"",IF(INDEX(资产清单!$I$6:$I$25,MATCH(A128,资产清单!$A$6:$A$25,0))="","",INDEX(资产清单!$I$6:$I$25,MATCH(A128,资产清单!$A$6:$A$25,0)))),"不适用")</f>
        <v>临街商铺</v>
      </c>
      <c r="G128" s="17" t="str">
        <f>IF(TRUE,IF(COUNTIFS(市场案例库!$A$6:$A$35,C128)&lt;&gt;1,"",IF(INDEX(市场案例库!$O$6:$O$35,MATCH(C128,市场案例库!$A$6:$A$35,0))="","",INDEX(市场案例库!$O$6:$O$35,MATCH(C128,市场案例库!$A$6:$A$35,0)))),"不适用")</f>
        <v>临街商铺</v>
      </c>
      <c r="H128" s="19">
        <f>测算参数!$B$6</f>
        <v>100</v>
      </c>
      <c r="I128" s="10">
        <v>100</v>
      </c>
      <c r="J128" s="20">
        <f t="shared" si="17"/>
        <v>1</v>
      </c>
      <c r="K128" s="16" t="s">
        <v>234</v>
      </c>
      <c r="L128" s="16" t="s">
        <v>215</v>
      </c>
      <c r="M128" s="16" t="str">
        <f t="shared" si="9"/>
        <v>模拟评分记录完整</v>
      </c>
      <c r="N128" s="8" t="s">
        <v>155</v>
      </c>
    </row>
    <row r="129" spans="1:14" ht="46.05" customHeight="1">
      <c r="A129" s="16" t="s">
        <v>75</v>
      </c>
      <c r="B129" s="16">
        <v>2</v>
      </c>
      <c r="C129" s="17" t="str">
        <f>三案例选用!C8</f>
        <v>SC-005</v>
      </c>
      <c r="D129" s="16" t="s">
        <v>227</v>
      </c>
      <c r="E129" s="16" t="str">
        <f t="shared" si="16"/>
        <v>适用</v>
      </c>
      <c r="F129" s="17" t="str">
        <f>IF(TRUE,IF(COUNTIFS(资产清单!$A$6:$A$25,A129)&lt;&gt;1,"",IF(INDEX(资产清单!$I$6:$I$25,MATCH(A129,资产清单!$A$6:$A$25,0))="","",INDEX(资产清单!$I$6:$I$25,MATCH(A129,资产清单!$A$6:$A$25,0)))),"不适用")</f>
        <v>临街商铺</v>
      </c>
      <c r="G129" s="17" t="str">
        <f>IF(TRUE,IF(COUNTIFS(市场案例库!$A$6:$A$35,C129)&lt;&gt;1,"",IF(INDEX(市场案例库!$O$6:$O$35,MATCH(C129,市场案例库!$A$6:$A$35,0))="","",INDEX(市场案例库!$O$6:$O$35,MATCH(C129,市场案例库!$A$6:$A$35,0)))),"不适用")</f>
        <v>临街商铺</v>
      </c>
      <c r="H129" s="19">
        <f>测算参数!$B$6</f>
        <v>100</v>
      </c>
      <c r="I129" s="10">
        <v>100</v>
      </c>
      <c r="J129" s="20">
        <f t="shared" si="17"/>
        <v>1</v>
      </c>
      <c r="K129" s="16" t="s">
        <v>234</v>
      </c>
      <c r="L129" s="16" t="s">
        <v>215</v>
      </c>
      <c r="M129" s="16" t="str">
        <f t="shared" si="9"/>
        <v>模拟评分记录完整</v>
      </c>
      <c r="N129" s="8" t="s">
        <v>155</v>
      </c>
    </row>
    <row r="130" spans="1:14" ht="46.05" customHeight="1">
      <c r="A130" s="16" t="s">
        <v>75</v>
      </c>
      <c r="B130" s="16">
        <v>2</v>
      </c>
      <c r="C130" s="17" t="str">
        <f>三案例选用!C8</f>
        <v>SC-005</v>
      </c>
      <c r="D130" s="16" t="s">
        <v>228</v>
      </c>
      <c r="E130" s="17" t="str">
        <f>IF(AND(IF(COUNTIFS(资产清单!$A$6:$A$25,A130)&lt;&gt;1,"",IF(INDEX(资产清单!$H$6:$H$25,MATCH(A130,资产清单!$A$6:$A$25,0))="","",INDEX(资产清单!$H$6:$H$25,MATCH(A130,资产清单!$A$6:$A$25,0))))&lt;&gt;"场地",IF(COUNTIFS(资产清单!$A$6:$A$25,A130)&lt;&gt;1,"",IF(INDEX(资产清单!$H$6:$H$25,MATCH(A130,资产清单!$A$6:$A$25,0))="","",INDEX(资产清单!$H$6:$H$25,MATCH(A130,资产清单!$A$6:$A$25,0))))&lt;&gt;"车位",IF(COUNTIFS(资产清单!$A$6:$A$25,A130)&lt;&gt;1,"",IF(INDEX(资产清单!$H$6:$H$25,MATCH(A130,资产清单!$A$6:$A$25,0))="","",INDEX(资产清单!$H$6:$H$25,MATCH(A130,资产清单!$A$6:$A$25,0))))&lt;&gt;"通信基站"),"适用","不适用采用100/100")</f>
        <v>适用</v>
      </c>
      <c r="F130" s="17" t="str">
        <f>IF(AND(IF(COUNTIFS(资产清单!$A$6:$A$25,A130)&lt;&gt;1,"",IF(INDEX(资产清单!$H$6:$H$25,MATCH(A130,资产清单!$A$6:$A$25,0))="","",INDEX(资产清单!$H$6:$H$25,MATCH(A130,资产清单!$A$6:$A$25,0))))&lt;&gt;"场地",IF(COUNTIFS(资产清单!$A$6:$A$25,A130)&lt;&gt;1,"",IF(INDEX(资产清单!$H$6:$H$25,MATCH(A130,资产清单!$A$6:$A$25,0))="","",INDEX(资产清单!$H$6:$H$25,MATCH(A130,资产清单!$A$6:$A$25,0))))&lt;&gt;"车位",IF(COUNTIFS(资产清单!$A$6:$A$25,A130)&lt;&gt;1,"",IF(INDEX(资产清单!$H$6:$H$25,MATCH(A130,资产清单!$A$6:$A$25,0))="","",INDEX(资产清单!$H$6:$H$25,MATCH(A130,资产清单!$A$6:$A$25,0))))&lt;&gt;"通信基站"),IF(COUNTIFS(资产清单!$A$6:$A$25,A130)&lt;&gt;1,"",IF(INDEX(资产清单!$I$6:$I$25,MATCH(A130,资产清单!$A$6:$A$25,0))="","",INDEX(资产清单!$I$6:$I$25,MATCH(A130,资产清单!$A$6:$A$25,0)))),"不适用")</f>
        <v>临街商铺</v>
      </c>
      <c r="G130" s="17" t="str">
        <f>IF(AND(IF(COUNTIFS(资产清单!$A$6:$A$25,A130)&lt;&gt;1,"",IF(INDEX(资产清单!$H$6:$H$25,MATCH(A130,资产清单!$A$6:$A$25,0))="","",INDEX(资产清单!$H$6:$H$25,MATCH(A130,资产清单!$A$6:$A$25,0))))&lt;&gt;"场地",IF(COUNTIFS(资产清单!$A$6:$A$25,A130)&lt;&gt;1,"",IF(INDEX(资产清单!$H$6:$H$25,MATCH(A130,资产清单!$A$6:$A$25,0))="","",INDEX(资产清单!$H$6:$H$25,MATCH(A130,资产清单!$A$6:$A$25,0))))&lt;&gt;"车位",IF(COUNTIFS(资产清单!$A$6:$A$25,A130)&lt;&gt;1,"",IF(INDEX(资产清单!$H$6:$H$25,MATCH(A130,资产清单!$A$6:$A$25,0))="","",INDEX(资产清单!$H$6:$H$25,MATCH(A130,资产清单!$A$6:$A$25,0))))&lt;&gt;"通信基站"),IF(COUNTIFS(市场案例库!$A$6:$A$35,C130)&lt;&gt;1,"",IF(INDEX(市场案例库!$O$6:$O$35,MATCH(C130,市场案例库!$A$6:$A$35,0))="","",INDEX(市场案例库!$O$6:$O$35,MATCH(C130,市场案例库!$A$6:$A$35,0)))),"不适用")</f>
        <v>临街商铺</v>
      </c>
      <c r="H130" s="19">
        <f>测算参数!$B$6</f>
        <v>100</v>
      </c>
      <c r="I130" s="10">
        <v>100</v>
      </c>
      <c r="J130" s="21">
        <f>IF(OR(C130&lt;&gt;N130,COUNT(H130:I130)&lt;&gt;2,H130&lt;=0,I130&lt;=0),"",IF(AND(IF(COUNTIFS(资产清单!$A$6:$A$25,A130)&lt;&gt;1,"",IF(INDEX(资产清单!$H$6:$H$25,MATCH(A130,资产清单!$A$6:$A$25,0))="","",INDEX(资产清单!$H$6:$H$25,MATCH(A130,资产清单!$A$6:$A$25,0))))&lt;&gt;"场地",IF(COUNTIFS(资产清单!$A$6:$A$25,A130)&lt;&gt;1,"",IF(INDEX(资产清单!$H$6:$H$25,MATCH(A130,资产清单!$A$6:$A$25,0))="","",INDEX(资产清单!$H$6:$H$25,MATCH(A130,资产清单!$A$6:$A$25,0))))&lt;&gt;"车位",IF(COUNTIFS(资产清单!$A$6:$A$25,A130)&lt;&gt;1,"",IF(INDEX(资产清单!$H$6:$H$25,MATCH(A130,资产清单!$A$6:$A$25,0))="","",INDEX(资产清单!$H$6:$H$25,MATCH(A130,资产清单!$A$6:$A$25,0))))&lt;&gt;"通信基站"),H130/I130,H130/H130))</f>
        <v>1</v>
      </c>
      <c r="K130" s="16" t="s">
        <v>234</v>
      </c>
      <c r="L130" s="16" t="s">
        <v>215</v>
      </c>
      <c r="M130" s="16" t="str">
        <f t="shared" si="9"/>
        <v>模拟评分记录完整</v>
      </c>
      <c r="N130" s="8" t="s">
        <v>155</v>
      </c>
    </row>
    <row r="131" spans="1:14" ht="46.05" customHeight="1">
      <c r="A131" s="16" t="s">
        <v>75</v>
      </c>
      <c r="B131" s="16">
        <v>2</v>
      </c>
      <c r="C131" s="17" t="str">
        <f>三案例选用!C8</f>
        <v>SC-005</v>
      </c>
      <c r="D131" s="16" t="s">
        <v>229</v>
      </c>
      <c r="E131" s="17" t="str">
        <f>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"适用","不适用采用100/100")</f>
        <v>适用</v>
      </c>
      <c r="F131" s="17">
        <f>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IF(COUNTIFS(资产清单!$A$6:$A$25,A131)&lt;&gt;1,"",IF(COUNT(INDEX(资产清单!$N$6:$N$25,MATCH(A131,资产清单!$A$6:$A$25,0)))&lt;&gt;1,"",INDEX(资产清单!$N$6:$N$25,MATCH(A131,资产清单!$A$6:$A$25,0)))),"不适用")</f>
        <v>2</v>
      </c>
      <c r="G131" s="17">
        <f>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IF(COUNTIFS(市场案例库!$A$6:$A$35,C131)&lt;&gt;1,"",IF(COUNT(INDEX(市场案例库!$I$6:$I$35,MATCH(C131,市场案例库!$A$6:$A$35,0)))&lt;&gt;1,"",INDEX(市场案例库!$I$6:$I$35,MATCH(C131,市场案例库!$A$6:$A$35,0)))),"不适用")</f>
        <v>3</v>
      </c>
      <c r="H131" s="19">
        <f>测算参数!$B$6</f>
        <v>100</v>
      </c>
      <c r="I131" s="19">
        <f>IF(OR(COUNTIFS(市场案例库!$A$6:$A$35,C131)&lt;&gt;1,AND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OR(COUNT(IF(COUNTIFS(资产清单!$A$6:$A$25,A131)&lt;&gt;1,"",IF(COUNT(INDEX(资产清单!$N$6:$N$25,MATCH(A131,资产清单!$A$6:$A$25,0)))&lt;&gt;1,"",INDEX(资产清单!$N$6:$N$25,MATCH(A131,资产清单!$A$6:$A$25,0)))),IF(COUNTIFS(市场案例库!$A$6:$A$35,C131)&lt;&gt;1,"",IF(COUNT(INDEX(市场案例库!$I$6:$I$35,MATCH(C131,市场案例库!$A$6:$A$35,0)))&lt;&gt;1,"",INDEX(市场案例库!$I$6:$I$35,MATCH(C131,市场案例库!$A$6:$A$35,0)))))&lt;&gt;2,IF(COUNTIFS(资产清单!$A$6:$A$25,A131)&lt;&gt;1,"",IF(COUNT(INDEX(资产清单!$N$6:$N$25,MATCH(A131,资产清单!$A$6:$A$25,0)))&lt;&gt;1,"",INDEX(资产清单!$N$6:$N$25,MATCH(A131,资产清单!$A$6:$A$25,0))))&lt;1,IF(COUNTIFS(资产清单!$A$6:$A$25,A131)&lt;&gt;1,"",IF(COUNT(INDEX(资产清单!$N$6:$N$25,MATCH(A131,资产清单!$A$6:$A$25,0)))&lt;&gt;1,"",INDEX(资产清单!$N$6:$N$25,MATCH(A131,资产清单!$A$6:$A$25,0))))&gt;4,IF(COUNTIFS(市场案例库!$A$6:$A$35,C131)&lt;&gt;1,"",IF(COUNT(INDEX(市场案例库!$I$6:$I$35,MATCH(C131,市场案例库!$A$6:$A$35,0)))&lt;&gt;1,"",INDEX(市场案例库!$I$6:$I$35,MATCH(C131,市场案例库!$A$6:$A$35,0))))&lt;1,IF(COUNTIFS(市场案例库!$A$6:$A$35,C131)&lt;&gt;1,"",IF(COUNT(INDEX(市场案例库!$I$6:$I$35,MATCH(C131,市场案例库!$A$6:$A$35,0)))&lt;&gt;1,"",INDEX(市场案例库!$I$6:$I$35,MATCH(C131,市场案例库!$A$6:$A$35,0))))&gt;4))),"",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INDEX(测算参数!$B$35:$B$41,MATCH(IF(COUNTIFS(市场案例库!$A$6:$A$35,C131)&lt;&gt;1,"",IF(COUNT(INDEX(市场案例库!$I$6:$I$35,MATCH(C131,市场案例库!$A$6:$A$35,0)))&lt;&gt;1,"",INDEX(市场案例库!$I$6:$I$35,MATCH(C131,市场案例库!$A$6:$A$35,0))))-IF(COUNTIFS(资产清单!$A$6:$A$25,A131)&lt;&gt;1,"",IF(COUNT(INDEX(资产清单!$N$6:$N$25,MATCH(A131,资产清单!$A$6:$A$25,0)))&lt;&gt;1,"",INDEX(资产清单!$N$6:$N$25,MATCH(A131,资产清单!$A$6:$A$25,0)))),测算参数!$A$35:$A$41,0)),测算参数!$B$6))</f>
        <v>102</v>
      </c>
      <c r="J131" s="21">
        <f>IF(OR(C131&lt;&gt;N131,COUNT(H131:I131)&lt;&gt;2,H131&lt;=0,I131&lt;=0),"",IF(AND(IF(COUNTIFS(资产清单!$A$6:$A$25,A131)&lt;&gt;1,"",IF(INDEX(资产清单!$H$6:$H$25,MATCH(A131,资产清单!$A$6:$A$25,0))="","",INDEX(资产清单!$H$6:$H$25,MATCH(A131,资产清单!$A$6:$A$25,0))))&lt;&gt;"场地",IF(COUNTIFS(资产清单!$A$6:$A$25,A131)&lt;&gt;1,"",IF(INDEX(资产清单!$H$6:$H$25,MATCH(A131,资产清单!$A$6:$A$25,0))="","",INDEX(资产清单!$H$6:$H$25,MATCH(A131,资产清单!$A$6:$A$25,0))))&lt;&gt;"车位",IF(COUNTIFS(资产清单!$A$6:$A$25,A131)&lt;&gt;1,"",IF(INDEX(资产清单!$H$6:$H$25,MATCH(A131,资产清单!$A$6:$A$25,0))="","",INDEX(资产清单!$H$6:$H$25,MATCH(A131,资产清单!$A$6:$A$25,0))))&lt;&gt;"通信基站"),H131/I131,H131/H131))</f>
        <v>0.98039215686274506</v>
      </c>
      <c r="K131" s="16" t="s">
        <v>234</v>
      </c>
      <c r="L131" s="16" t="s">
        <v>230</v>
      </c>
      <c r="M131" s="16" t="str">
        <f t="shared" si="9"/>
        <v>模拟评分记录完整</v>
      </c>
      <c r="N131" s="8" t="s">
        <v>155</v>
      </c>
    </row>
    <row r="132" spans="1:14" ht="46.05" customHeight="1">
      <c r="A132" s="16" t="s">
        <v>75</v>
      </c>
      <c r="B132" s="16">
        <v>2</v>
      </c>
      <c r="C132" s="17" t="str">
        <f>三案例选用!C8</f>
        <v>SC-005</v>
      </c>
      <c r="D132" s="16" t="s">
        <v>231</v>
      </c>
      <c r="E132" s="17" t="str">
        <f>IF(AND(IF(COUNTIFS(资产清单!$A$6:$A$25,A132)&lt;&gt;1,"",IF(INDEX(资产清单!$H$6:$H$25,MATCH(A132,资产清单!$A$6:$A$25,0))="","",INDEX(资产清单!$H$6:$H$25,MATCH(A132,资产清单!$A$6:$A$25,0))))&lt;&gt;"场地",IF(COUNTIFS(资产清单!$A$6:$A$25,A132)&lt;&gt;1,"",IF(INDEX(资产清单!$H$6:$H$25,MATCH(A132,资产清单!$A$6:$A$25,0))="","",INDEX(资产清单!$H$6:$H$25,MATCH(A132,资产清单!$A$6:$A$25,0))))&lt;&gt;"车位",IF(COUNTIFS(资产清单!$A$6:$A$25,A132)&lt;&gt;1,"",IF(INDEX(资产清单!$H$6:$H$25,MATCH(A132,资产清单!$A$6:$A$25,0))="","",INDEX(资产清单!$H$6:$H$25,MATCH(A132,资产清单!$A$6:$A$25,0))))&lt;&gt;"通信基站"),"适用","不适用采用100/100")</f>
        <v>适用</v>
      </c>
      <c r="F132" s="17" t="str">
        <f>IF(AND(IF(COUNTIFS(资产清单!$A$6:$A$25,A132)&lt;&gt;1,"",IF(INDEX(资产清单!$H$6:$H$25,MATCH(A132,资产清单!$A$6:$A$25,0))="","",INDEX(资产清单!$H$6:$H$25,MATCH(A132,资产清单!$A$6:$A$25,0))))&lt;&gt;"场地",IF(COUNTIFS(资产清单!$A$6:$A$25,A132)&lt;&gt;1,"",IF(INDEX(资产清单!$H$6:$H$25,MATCH(A132,资产清单!$A$6:$A$25,0))="","",INDEX(资产清单!$H$6:$H$25,MATCH(A132,资产清单!$A$6:$A$25,0))))&lt;&gt;"车位",IF(COUNTIFS(资产清单!$A$6:$A$25,A132)&lt;&gt;1,"",IF(INDEX(资产清单!$H$6:$H$25,MATCH(A132,资产清单!$A$6:$A$25,0))="","",INDEX(资产清单!$H$6:$H$25,MATCH(A132,资产清单!$A$6:$A$25,0))))&lt;&gt;"通信基站"),IF(COUNTIFS(资产清单!$A$6:$A$25,A132)&lt;&gt;1,"",IF(INDEX(资产清单!$I$6:$I$25,MATCH(A132,资产清单!$A$6:$A$25,0))="","",INDEX(资产清单!$I$6:$I$25,MATCH(A132,资产清单!$A$6:$A$25,0)))),"不适用")</f>
        <v>临街商铺</v>
      </c>
      <c r="G132" s="17" t="str">
        <f>IF(AND(IF(COUNTIFS(资产清单!$A$6:$A$25,A132)&lt;&gt;1,"",IF(INDEX(资产清单!$H$6:$H$25,MATCH(A132,资产清单!$A$6:$A$25,0))="","",INDEX(资产清单!$H$6:$H$25,MATCH(A132,资产清单!$A$6:$A$25,0))))&lt;&gt;"场地",IF(COUNTIFS(资产清单!$A$6:$A$25,A132)&lt;&gt;1,"",IF(INDEX(资产清单!$H$6:$H$25,MATCH(A132,资产清单!$A$6:$A$25,0))="","",INDEX(资产清单!$H$6:$H$25,MATCH(A132,资产清单!$A$6:$A$25,0))))&lt;&gt;"车位",IF(COUNTIFS(资产清单!$A$6:$A$25,A132)&lt;&gt;1,"",IF(INDEX(资产清单!$H$6:$H$25,MATCH(A132,资产清单!$A$6:$A$25,0))="","",INDEX(资产清单!$H$6:$H$25,MATCH(A132,资产清单!$A$6:$A$25,0))))&lt;&gt;"通信基站"),IF(COUNTIFS(市场案例库!$A$6:$A$35,C132)&lt;&gt;1,"",IF(INDEX(市场案例库!$O$6:$O$35,MATCH(C132,市场案例库!$A$6:$A$35,0))="","",INDEX(市场案例库!$O$6:$O$35,MATCH(C132,市场案例库!$A$6:$A$35,0)))),"不适用")</f>
        <v>临街商铺</v>
      </c>
      <c r="H132" s="19">
        <f>测算参数!$B$6</f>
        <v>100</v>
      </c>
      <c r="I132" s="10">
        <v>100</v>
      </c>
      <c r="J132" s="21">
        <f>IF(OR(C132&lt;&gt;N132,COUNT(H132:I132)&lt;&gt;2,H132&lt;=0,I132&lt;=0),"",IF(AND(IF(COUNTIFS(资产清单!$A$6:$A$25,A132)&lt;&gt;1,"",IF(INDEX(资产清单!$H$6:$H$25,MATCH(A132,资产清单!$A$6:$A$25,0))="","",INDEX(资产清单!$H$6:$H$25,MATCH(A132,资产清单!$A$6:$A$25,0))))&lt;&gt;"场地",IF(COUNTIFS(资产清单!$A$6:$A$25,A132)&lt;&gt;1,"",IF(INDEX(资产清单!$H$6:$H$25,MATCH(A132,资产清单!$A$6:$A$25,0))="","",INDEX(资产清单!$H$6:$H$25,MATCH(A132,资产清单!$A$6:$A$25,0))))&lt;&gt;"车位",IF(COUNTIFS(资产清单!$A$6:$A$25,A132)&lt;&gt;1,"",IF(INDEX(资产清单!$H$6:$H$25,MATCH(A132,资产清单!$A$6:$A$25,0))="","",INDEX(资产清单!$H$6:$H$25,MATCH(A132,资产清单!$A$6:$A$25,0))))&lt;&gt;"通信基站"),H132/I132,H132/H132))</f>
        <v>1</v>
      </c>
      <c r="K132" s="16" t="s">
        <v>234</v>
      </c>
      <c r="L132" s="16" t="s">
        <v>215</v>
      </c>
      <c r="M132" s="16" t="str">
        <f t="shared" si="9"/>
        <v>模拟评分记录完整</v>
      </c>
      <c r="N132" s="8" t="s">
        <v>155</v>
      </c>
    </row>
    <row r="133" spans="1:14" ht="46.05" customHeight="1">
      <c r="A133" s="16" t="s">
        <v>75</v>
      </c>
      <c r="B133" s="16">
        <v>2</v>
      </c>
      <c r="C133" s="17" t="str">
        <f>三案例选用!C8</f>
        <v>SC-005</v>
      </c>
      <c r="D133" s="16" t="s">
        <v>232</v>
      </c>
      <c r="E133" s="16" t="str">
        <f>IF(TRUE,"适用","不适用采用100/100")</f>
        <v>适用</v>
      </c>
      <c r="F133" s="17" t="str">
        <f>IF(TRUE,IF(COUNTIFS(资产清单!$A$6:$A$25,A133)&lt;&gt;1,"",IF(INDEX(资产清单!$I$6:$I$25,MATCH(A133,资产清单!$A$6:$A$25,0))="","",INDEX(资产清单!$I$6:$I$25,MATCH(A133,资产清单!$A$6:$A$25,0)))),"不适用")</f>
        <v>临街商铺</v>
      </c>
      <c r="G133" s="17" t="str">
        <f>IF(TRUE,IF(COUNTIFS(市场案例库!$A$6:$A$35,C133)&lt;&gt;1,"",IF(INDEX(市场案例库!$O$6:$O$35,MATCH(C133,市场案例库!$A$6:$A$35,0))="","",INDEX(市场案例库!$O$6:$O$35,MATCH(C133,市场案例库!$A$6:$A$35,0)))),"不适用")</f>
        <v>临街商铺</v>
      </c>
      <c r="H133" s="19">
        <f>测算参数!$B$6</f>
        <v>100</v>
      </c>
      <c r="I133" s="10">
        <v>100</v>
      </c>
      <c r="J133" s="20">
        <f>IF(OR(C133&lt;&gt;N133,COUNT(H133:I133)&lt;&gt;2,H133&lt;=0,I133&lt;=0),"",IF(TRUE,H133/I133,H133/H133))</f>
        <v>1</v>
      </c>
      <c r="K133" s="16" t="s">
        <v>234</v>
      </c>
      <c r="L133" s="16" t="s">
        <v>215</v>
      </c>
      <c r="M133" s="16" t="str">
        <f t="shared" si="9"/>
        <v>模拟评分记录完整</v>
      </c>
      <c r="N133" s="8" t="s">
        <v>155</v>
      </c>
    </row>
    <row r="134" spans="1:14" ht="46.05" customHeight="1">
      <c r="A134" s="16" t="s">
        <v>75</v>
      </c>
      <c r="B134" s="16">
        <v>3</v>
      </c>
      <c r="C134" s="17" t="str">
        <f>三案例选用!D8</f>
        <v>SC-006</v>
      </c>
      <c r="D134" s="16" t="s">
        <v>209</v>
      </c>
      <c r="E134" s="16" t="str">
        <f>IF(TRUE,"适用","不适用采用100/100")</f>
        <v>适用</v>
      </c>
      <c r="F134" s="17" t="str">
        <f>IF(TRUE,IF(COUNTIFS(资产清单!$A$6:$A$25,A134)&lt;&gt;1,"",IF(INDEX(资产清单!$I$6:$I$25,MATCH(A134,资产清单!$A$6:$A$25,0))="","",INDEX(资产清单!$I$6:$I$25,MATCH(A134,资产清单!$A$6:$A$25,0)))),"不适用")</f>
        <v>临街商铺</v>
      </c>
      <c r="G134" s="17" t="str">
        <f>IF(TRUE,IF(COUNTIFS(市场案例库!$A$6:$A$35,C134)&lt;&gt;1,"",IF(INDEX(市场案例库!$O$6:$O$35,MATCH(C134,市场案例库!$A$6:$A$35,0))="","",INDEX(市场案例库!$O$6:$O$35,MATCH(C134,市场案例库!$A$6:$A$35,0)))),"不适用")</f>
        <v>临街商铺</v>
      </c>
      <c r="H134" s="19">
        <f>测算参数!$B$6</f>
        <v>100</v>
      </c>
      <c r="I134" s="19">
        <f>IF(OR(COUNTIFS(市场案例库!$A$6:$A$35,C134)&lt;&gt;1),"",IF(COUNTIFS(市场案例库!$A$6:$A$35,C134)&lt;&gt;1,"",IF(COUNT(INDEX(市场案例库!$M$6:$M$35,MATCH(C134,市场案例库!$A$6:$A$35,0)))&lt;&gt;1,"",INDEX(市场案例库!$M$6:$M$35,MATCH(C134,市场案例库!$A$6:$A$35,0)))))</f>
        <v>102</v>
      </c>
      <c r="J134" s="20">
        <f>IF(OR(C134&lt;&gt;N134,COUNT(H134:I134)&lt;&gt;2,H134&lt;=0,I134&lt;=0),"",IF(TRUE,H134/I134,H134/H134))</f>
        <v>0.98039215686274506</v>
      </c>
      <c r="K134" s="16" t="s">
        <v>234</v>
      </c>
      <c r="L134" s="16" t="s">
        <v>211</v>
      </c>
      <c r="M134" s="16" t="str">
        <f t="shared" ref="M134:M197" si="18">IF(C134&lt;&gt;N134,"待重判评分",IF(COUNT(J134)&lt;&gt;1,"待补评分",IF(OR(K134="",L134=""),"待补依据","模拟评分记录完整")))</f>
        <v>模拟评分记录完整</v>
      </c>
      <c r="N134" s="8" t="s">
        <v>156</v>
      </c>
    </row>
    <row r="135" spans="1:14" ht="46.05" customHeight="1">
      <c r="A135" s="16" t="s">
        <v>75</v>
      </c>
      <c r="B135" s="16">
        <v>3</v>
      </c>
      <c r="C135" s="17" t="str">
        <f>三案例选用!D8</f>
        <v>SC-006</v>
      </c>
      <c r="D135" s="16" t="s">
        <v>212</v>
      </c>
      <c r="E135" s="16" t="str">
        <f>IF(TRUE,"适用","不适用采用100/100")</f>
        <v>适用</v>
      </c>
      <c r="F135" s="17" t="str">
        <f>IF(TRUE,IF(COUNTIFS(资产清单!$A$6:$A$25,A135)&lt;&gt;1,"",IF(INDEX(资产清单!$I$6:$I$25,MATCH(A135,资产清单!$A$6:$A$25,0))="","",INDEX(资产清单!$I$6:$I$25,MATCH(A135,资产清单!$A$6:$A$25,0)))),"不适用")</f>
        <v>临街商铺</v>
      </c>
      <c r="G135" s="17" t="str">
        <f>IF(TRUE,IF(COUNTIFS(市场案例库!$A$6:$A$35,C135)&lt;&gt;1,"",IF(INDEX(市场案例库!$O$6:$O$35,MATCH(C135,市场案例库!$A$6:$A$35,0))="","",INDEX(市场案例库!$O$6:$O$35,MATCH(C135,市场案例库!$A$6:$A$35,0)))),"不适用")</f>
        <v>临街商铺</v>
      </c>
      <c r="H135" s="19">
        <f>测算参数!$B$6</f>
        <v>100</v>
      </c>
      <c r="I135" s="19">
        <f>IF(OR(COUNTIFS(市场案例库!$A$6:$A$35,C135)&lt;&gt;1),"",IF(COUNTIFS(市场案例库!$A$6:$A$35,C135)&lt;&gt;1,"",IF(COUNT(INDEX(市场案例库!$N$6:$N$35,MATCH(C135,市场案例库!$A$6:$A$35,0)))&lt;&gt;1,"",INDEX(市场案例库!$N$6:$N$35,MATCH(C135,市场案例库!$A$6:$A$35,0)))))</f>
        <v>100</v>
      </c>
      <c r="J135" s="20">
        <f>IF(OR(C135&lt;&gt;N135,COUNT(H135:I135)&lt;&gt;2,H135&lt;=0,I135&lt;=0),"",IF(TRUE,H135/I135,H135/H135))</f>
        <v>1</v>
      </c>
      <c r="K135" s="16" t="s">
        <v>234</v>
      </c>
      <c r="L135" s="16" t="s">
        <v>213</v>
      </c>
      <c r="M135" s="16" t="str">
        <f t="shared" si="18"/>
        <v>模拟评分记录完整</v>
      </c>
      <c r="N135" s="8" t="s">
        <v>156</v>
      </c>
    </row>
    <row r="136" spans="1:14" ht="46.05" customHeight="1">
      <c r="A136" s="16" t="s">
        <v>75</v>
      </c>
      <c r="B136" s="16">
        <v>3</v>
      </c>
      <c r="C136" s="17" t="str">
        <f>三案例选用!D8</f>
        <v>SC-006</v>
      </c>
      <c r="D136" s="16" t="s">
        <v>214</v>
      </c>
      <c r="E136" s="16" t="str">
        <f>IF(TRUE,"适用","不适用采用100/100")</f>
        <v>适用</v>
      </c>
      <c r="F136" s="17" t="str">
        <f>IF(TRUE,IF(COUNTIFS(资产清单!$A$6:$A$25,A136)&lt;&gt;1,"",IF(INDEX(资产清单!$I$6:$I$25,MATCH(A136,资产清单!$A$6:$A$25,0))="","",INDEX(资产清单!$I$6:$I$25,MATCH(A136,资产清单!$A$6:$A$25,0)))),"不适用")</f>
        <v>临街商铺</v>
      </c>
      <c r="G136" s="17" t="str">
        <f>IF(TRUE,IF(COUNTIFS(市场案例库!$A$6:$A$35,C136)&lt;&gt;1,"",IF(INDEX(市场案例库!$O$6:$O$35,MATCH(C136,市场案例库!$A$6:$A$35,0))="","",INDEX(市场案例库!$O$6:$O$35,MATCH(C136,市场案例库!$A$6:$A$35,0)))),"不适用")</f>
        <v>临街商铺</v>
      </c>
      <c r="H136" s="19">
        <f>测算参数!$B$6</f>
        <v>100</v>
      </c>
      <c r="I136" s="10">
        <v>100</v>
      </c>
      <c r="J136" s="20">
        <f>IF(OR(C136&lt;&gt;N136,COUNT(H136:I136)&lt;&gt;2,H136&lt;=0,I136&lt;=0),"",IF(TRUE,H136/I136,H136/H136))</f>
        <v>1</v>
      </c>
      <c r="K136" s="16" t="s">
        <v>234</v>
      </c>
      <c r="L136" s="16" t="s">
        <v>215</v>
      </c>
      <c r="M136" s="16" t="str">
        <f t="shared" si="18"/>
        <v>模拟评分记录完整</v>
      </c>
      <c r="N136" s="8" t="s">
        <v>156</v>
      </c>
    </row>
    <row r="137" spans="1:14" ht="46.05" customHeight="1">
      <c r="A137" s="16" t="s">
        <v>75</v>
      </c>
      <c r="B137" s="16">
        <v>3</v>
      </c>
      <c r="C137" s="17" t="str">
        <f>三案例选用!D8</f>
        <v>SC-006</v>
      </c>
      <c r="D137" s="16" t="s">
        <v>216</v>
      </c>
      <c r="E137" s="16" t="str">
        <f>IF(TRUE,"适用","不适用采用100/100")</f>
        <v>适用</v>
      </c>
      <c r="F137" s="17" t="str">
        <f>IF(TRUE,IF(COUNTIFS(资产清单!$A$6:$A$25,A137)&lt;&gt;1,"",IF(INDEX(资产清单!$I$6:$I$25,MATCH(A137,资产清单!$A$6:$A$25,0))="","",INDEX(资产清单!$I$6:$I$25,MATCH(A137,资产清单!$A$6:$A$25,0)))),"不适用")</f>
        <v>临街商铺</v>
      </c>
      <c r="G137" s="17" t="str">
        <f>IF(TRUE,IF(COUNTIFS(市场案例库!$A$6:$A$35,C137)&lt;&gt;1,"",IF(INDEX(市场案例库!$O$6:$O$35,MATCH(C137,市场案例库!$A$6:$A$35,0))="","",INDEX(市场案例库!$O$6:$O$35,MATCH(C137,市场案例库!$A$6:$A$35,0)))),"不适用")</f>
        <v>临街商铺</v>
      </c>
      <c r="H137" s="19">
        <f>测算参数!$B$6</f>
        <v>100</v>
      </c>
      <c r="I137" s="10">
        <v>100</v>
      </c>
      <c r="J137" s="20">
        <f>IF(OR(C137&lt;&gt;N137,COUNT(H137:I137)&lt;&gt;2,H137&lt;=0,I137&lt;=0),"",IF(TRUE,H137/I137,H137/H137))</f>
        <v>1</v>
      </c>
      <c r="K137" s="16" t="s">
        <v>234</v>
      </c>
      <c r="L137" s="16" t="s">
        <v>215</v>
      </c>
      <c r="M137" s="16" t="str">
        <f t="shared" si="18"/>
        <v>模拟评分记录完整</v>
      </c>
      <c r="N137" s="8" t="s">
        <v>156</v>
      </c>
    </row>
    <row r="138" spans="1:14" ht="46.05" customHeight="1">
      <c r="A138" s="16" t="s">
        <v>75</v>
      </c>
      <c r="B138" s="16">
        <v>3</v>
      </c>
      <c r="C138" s="17" t="str">
        <f>三案例选用!D8</f>
        <v>SC-006</v>
      </c>
      <c r="D138" s="16" t="s">
        <v>217</v>
      </c>
      <c r="E138" s="17" t="str">
        <f>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"适用","不适用采用100/100")</f>
        <v>适用</v>
      </c>
      <c r="F138" s="17">
        <f>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IF(COUNTIFS(资产清单!$A$6:$A$25,A138)&lt;&gt;1,"",IF(COUNT(INDEX(资产清单!$M$6:$M$25,MATCH(A138,资产清单!$A$6:$A$25,0)))&lt;&gt;1,"",INDEX(资产清单!$M$6:$M$25,MATCH(A138,资产清单!$A$6:$A$25,0)))),"不适用")</f>
        <v>2</v>
      </c>
      <c r="G138" s="17">
        <f>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IF(COUNTIFS(市场案例库!$A$6:$A$35,C138)&lt;&gt;1,"",IF(COUNT(INDEX(市场案例库!$H$6:$H$35,MATCH(C138,市场案例库!$A$6:$A$35,0)))&lt;&gt;1,"",INDEX(市场案例库!$H$6:$H$35,MATCH(C138,市场案例库!$A$6:$A$35,0)))),"不适用")</f>
        <v>3</v>
      </c>
      <c r="H138" s="19">
        <f>测算参数!$B$6</f>
        <v>100</v>
      </c>
      <c r="I138" s="19">
        <f>IF(OR(COUNTIFS(市场案例库!$A$6:$A$35,C138)&lt;&gt;1,AND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COUNT(IF(COUNTIFS(资产清单!$A$6:$A$25,A138)&lt;&gt;1,"",IF(COUNT(INDEX(资产清单!$M$6:$M$25,MATCH(A138,资产清单!$A$6:$A$25,0)))&lt;&gt;1,"",INDEX(资产清单!$M$6:$M$25,MATCH(A138,资产清单!$A$6:$A$25,0)))),IF(COUNTIFS(市场案例库!$A$6:$A$35,C138)&lt;&gt;1,"",IF(COUNT(INDEX(市场案例库!$H$6:$H$35,MATCH(C138,市场案例库!$A$6:$A$35,0)))&lt;&gt;1,"",INDEX(市场案例库!$H$6:$H$35,MATCH(C138,市场案例库!$A$6:$A$35,0)))))&lt;&gt;2)),"",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INDEX(测算参数!$B$25:$B$31,MATCH(MAX(-测算参数!$B$11,MIN(测算参数!$B$11,IF(COUNTIFS(资产清单!$A$6:$A$25,A138)&lt;&gt;1,"",IF(COUNT(INDEX(资产清单!$M$6:$M$25,MATCH(A138,资产清单!$A$6:$A$25,0)))&lt;&gt;1,"",INDEX(资产清单!$M$6:$M$25,MATCH(A138,资产清单!$A$6:$A$25,0))))-IF(COUNTIFS(市场案例库!$A$6:$A$35,C138)&lt;&gt;1,"",IF(COUNT(INDEX(市场案例库!$H$6:$H$35,MATCH(C138,市场案例库!$A$6:$A$35,0)))&lt;&gt;1,"",INDEX(市场案例库!$H$6:$H$35,MATCH(C138,市场案例库!$A$6:$A$35,0)))))),测算参数!$A$25:$A$31,0)),测算参数!$B$6))</f>
        <v>99</v>
      </c>
      <c r="J138" s="21">
        <f>IF(OR(C138&lt;&gt;N138,COUNT(H138:I138)&lt;&gt;2,H138&lt;=0,I138&lt;=0),"",IF(OR(IF(COUNTIFS(资产清单!$A$6:$A$25,A138)&lt;&gt;1,"",IF(INDEX(资产清单!$H$6:$H$25,MATCH(A138,资产清单!$A$6:$A$25,0))="","",INDEX(资产清单!$H$6:$H$25,MATCH(A138,资产清单!$A$6:$A$25,0))))="商业",IF(COUNTIFS(资产清单!$A$6:$A$25,A138)&lt;&gt;1,"",IF(INDEX(资产清单!$H$6:$H$25,MATCH(A138,资产清单!$A$6:$A$25,0))="","",INDEX(资产清单!$H$6:$H$25,MATCH(A138,资产清单!$A$6:$A$25,0))))="办公",IF(COUNTIFS(资产清单!$A$6:$A$25,A138)&lt;&gt;1,"",IF(INDEX(资产清单!$H$6:$H$25,MATCH(A138,资产清单!$A$6:$A$25,0))="","",INDEX(资产清单!$H$6:$H$25,MATCH(A138,资产清单!$A$6:$A$25,0))))="住宅"),H138/I138,H138/H138))</f>
        <v>1.0101010101010102</v>
      </c>
      <c r="K138" s="16" t="s">
        <v>234</v>
      </c>
      <c r="L138" s="16" t="s">
        <v>218</v>
      </c>
      <c r="M138" s="16" t="str">
        <f t="shared" si="18"/>
        <v>模拟评分记录完整</v>
      </c>
      <c r="N138" s="8" t="s">
        <v>156</v>
      </c>
    </row>
    <row r="139" spans="1:14" ht="46.05" customHeight="1">
      <c r="A139" s="16" t="s">
        <v>75</v>
      </c>
      <c r="B139" s="16">
        <v>3</v>
      </c>
      <c r="C139" s="17" t="str">
        <f>三案例选用!D8</f>
        <v>SC-006</v>
      </c>
      <c r="D139" s="16" t="s">
        <v>219</v>
      </c>
      <c r="E139" s="17" t="str">
        <f>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"适用","不适用采用100/100")</f>
        <v>适用</v>
      </c>
      <c r="F139" s="17">
        <f>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IF(COUNTIFS(资产清单!$A$6:$A$25,A139)&lt;&gt;1,"",IF(COUNT(INDEX(资产清单!$L$6:$L$25,MATCH(A139,资产清单!$A$6:$A$25,0)))&lt;&gt;1,"",INDEX(资产清单!$L$6:$L$25,MATCH(A139,资产清单!$A$6:$A$25,0)))),"不适用")</f>
        <v>95</v>
      </c>
      <c r="G139" s="17">
        <f>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IF(COUNTIFS(市场案例库!$A$6:$A$35,C139)&lt;&gt;1,"",IF(COUNT(INDEX(市场案例库!$G$6:$G$35,MATCH(C139,市场案例库!$A$6:$A$35,0)))&lt;&gt;1,"",INDEX(市场案例库!$G$6:$G$35,MATCH(C139,市场案例库!$A$6:$A$35,0)))),"不适用")</f>
        <v>120</v>
      </c>
      <c r="H139" s="19">
        <f>测算参数!$B$6</f>
        <v>100</v>
      </c>
      <c r="I139" s="19">
        <f>IF(OR(COUNTIFS(市场案例库!$A$6:$A$35,C139)&lt;&gt;1,AND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OR(COUNT(IF(COUNTIFS(资产清单!$A$6:$A$25,A139)&lt;&gt;1,"",IF(COUNT(INDEX(资产清单!$L$6:$L$25,MATCH(A139,资产清单!$A$6:$A$25,0)))&lt;&gt;1,"",INDEX(资产清单!$L$6:$L$25,MATCH(A139,资产清单!$A$6:$A$25,0)))),IF(COUNTIFS(市场案例库!$A$6:$A$35,C139)&lt;&gt;1,"",IF(COUNT(INDEX(市场案例库!$G$6:$G$35,MATCH(C139,市场案例库!$A$6:$A$35,0)))&lt;&gt;1,"",INDEX(市场案例库!$G$6:$G$35,MATCH(C139,市场案例库!$A$6:$A$35,0)))))&lt;&gt;2,IF(COUNTIFS(资产清单!$A$6:$A$25,A139)&lt;&gt;1,"",IF(COUNT(INDEX(资产清单!$L$6:$L$25,MATCH(A139,资产清单!$A$6:$A$25,0)))&lt;&gt;1,"",INDEX(资产清单!$L$6:$L$25,MATCH(A139,资产清单!$A$6:$A$25,0))))&lt;=0,IF(COUNTIFS(市场案例库!$A$6:$A$35,C139)&lt;&gt;1,"",IF(COUNT(INDEX(市场案例库!$G$6:$G$35,MATCH(C139,市场案例库!$A$6:$A$35,0)))&lt;&gt;1,"",INDEX(市场案例库!$G$6:$G$35,MATCH(C139,市场案例库!$A$6:$A$35,0))))&lt;=0))),"",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LOOKUP(IF(COUNTIFS(市场案例库!$A$6:$A$35,C139)&lt;&gt;1,"",IF(COUNT(INDEX(市场案例库!$G$6:$G$35,MATCH(C139,市场案例库!$A$6:$A$35,0)))&lt;&gt;1,"",INDEX(市场案例库!$G$6:$G$35,MATCH(C139,市场案例库!$A$6:$A$35,0))))/IF(COUNTIFS(资产清单!$A$6:$A$25,A139)&lt;&gt;1,"",IF(COUNT(INDEX(资产清单!$L$6:$L$25,MATCH(A139,资产清单!$A$6:$A$25,0)))&lt;&gt;1,"",INDEX(资产清单!$L$6:$L$25,MATCH(A139,资产清单!$A$6:$A$25,0)))),测算参数!$A$15:$A$21,测算参数!$C$15:$C$21),测算参数!$B$6))</f>
        <v>98</v>
      </c>
      <c r="J139" s="21">
        <f>IF(OR(C139&lt;&gt;N139,COUNT(H139:I139)&lt;&gt;2,H139&lt;=0,I139&lt;=0),"",IF(AND(IF(COUNTIFS(资产清单!$A$6:$A$25,A139)&lt;&gt;1,"",IF(INDEX(资产清单!$J$6:$J$25,MATCH(A139,资产清单!$A$6:$A$25,0))="","",INDEX(资产清单!$J$6:$J$25,MATCH(A139,资产清单!$A$6:$A$25,0))))="元/㎡/月",IF(COUNTIFS(资产清单!$A$6:$A$25,A139)&lt;&gt;1,"",IF(INDEX(资产清单!$H$6:$H$25,MATCH(A139,资产清单!$A$6:$A$25,0))="","",INDEX(资产清单!$H$6:$H$25,MATCH(A139,资产清单!$A$6:$A$25,0))))&lt;&gt;"场地"),H139/I139,H139/H139))</f>
        <v>1.0204081632653061</v>
      </c>
      <c r="K139" s="16" t="s">
        <v>234</v>
      </c>
      <c r="L139" s="16" t="s">
        <v>220</v>
      </c>
      <c r="M139" s="16" t="str">
        <f t="shared" si="18"/>
        <v>模拟评分记录完整</v>
      </c>
      <c r="N139" s="8" t="s">
        <v>156</v>
      </c>
    </row>
    <row r="140" spans="1:14" ht="46.05" customHeight="1">
      <c r="A140" s="16" t="s">
        <v>75</v>
      </c>
      <c r="B140" s="16">
        <v>3</v>
      </c>
      <c r="C140" s="17" t="str">
        <f>三案例选用!D8</f>
        <v>SC-006</v>
      </c>
      <c r="D140" s="16" t="s">
        <v>221</v>
      </c>
      <c r="E140" s="16" t="str">
        <f t="shared" ref="E140:E145" si="19">IF(TRUE,"适用","不适用采用100/100")</f>
        <v>适用</v>
      </c>
      <c r="F140" s="17" t="str">
        <f>IF(TRUE,IF(COUNTIFS(资产清单!$A$6:$A$25,A140)&lt;&gt;1,"",IF(INDEX(资产清单!$I$6:$I$25,MATCH(A140,资产清单!$A$6:$A$25,0))="","",INDEX(资产清单!$I$6:$I$25,MATCH(A140,资产清单!$A$6:$A$25,0)))),"不适用")</f>
        <v>临街商铺</v>
      </c>
      <c r="G140" s="17" t="str">
        <f>IF(TRUE,IF(COUNTIFS(市场案例库!$A$6:$A$35,C140)&lt;&gt;1,"",IF(INDEX(市场案例库!$O$6:$O$35,MATCH(C140,市场案例库!$A$6:$A$35,0))="","",INDEX(市场案例库!$O$6:$O$35,MATCH(C140,市场案例库!$A$6:$A$35,0)))),"不适用")</f>
        <v>临街商铺</v>
      </c>
      <c r="H140" s="19">
        <f>测算参数!$B$6</f>
        <v>100</v>
      </c>
      <c r="I140" s="10">
        <v>100</v>
      </c>
      <c r="J140" s="20">
        <f t="shared" ref="J140:J145" si="20">IF(OR(C140&lt;&gt;N140,COUNT(H140:I140)&lt;&gt;2,H140&lt;=0,I140&lt;=0),"",IF(TRUE,H140/I140,H140/H140))</f>
        <v>1</v>
      </c>
      <c r="K140" s="16" t="s">
        <v>234</v>
      </c>
      <c r="L140" s="16" t="s">
        <v>215</v>
      </c>
      <c r="M140" s="16" t="str">
        <f t="shared" si="18"/>
        <v>模拟评分记录完整</v>
      </c>
      <c r="N140" s="8" t="s">
        <v>156</v>
      </c>
    </row>
    <row r="141" spans="1:14" ht="46.05" customHeight="1">
      <c r="A141" s="16" t="s">
        <v>75</v>
      </c>
      <c r="B141" s="16">
        <v>3</v>
      </c>
      <c r="C141" s="17" t="str">
        <f>三案例选用!D8</f>
        <v>SC-006</v>
      </c>
      <c r="D141" s="16" t="s">
        <v>222</v>
      </c>
      <c r="E141" s="16" t="str">
        <f t="shared" si="19"/>
        <v>适用</v>
      </c>
      <c r="F141" s="17" t="str">
        <f>IF(TRUE,IF(COUNTIFS(资产清单!$A$6:$A$25,A141)&lt;&gt;1,"",IF(INDEX(资产清单!$I$6:$I$25,MATCH(A141,资产清单!$A$6:$A$25,0))="","",INDEX(资产清单!$I$6:$I$25,MATCH(A141,资产清单!$A$6:$A$25,0)))),"不适用")</f>
        <v>临街商铺</v>
      </c>
      <c r="G141" s="17" t="str">
        <f>IF(TRUE,IF(COUNTIFS(市场案例库!$A$6:$A$35,C141)&lt;&gt;1,"",IF(INDEX(市场案例库!$O$6:$O$35,MATCH(C141,市场案例库!$A$6:$A$35,0))="","",INDEX(市场案例库!$O$6:$O$35,MATCH(C141,市场案例库!$A$6:$A$35,0)))),"不适用")</f>
        <v>临街商铺</v>
      </c>
      <c r="H141" s="19">
        <f>测算参数!$B$6</f>
        <v>100</v>
      </c>
      <c r="I141" s="10">
        <v>100</v>
      </c>
      <c r="J141" s="20">
        <f t="shared" si="20"/>
        <v>1</v>
      </c>
      <c r="K141" s="16" t="s">
        <v>234</v>
      </c>
      <c r="L141" s="16" t="s">
        <v>215</v>
      </c>
      <c r="M141" s="16" t="str">
        <f t="shared" si="18"/>
        <v>模拟评分记录完整</v>
      </c>
      <c r="N141" s="8" t="s">
        <v>156</v>
      </c>
    </row>
    <row r="142" spans="1:14" ht="46.05" customHeight="1">
      <c r="A142" s="16" t="s">
        <v>75</v>
      </c>
      <c r="B142" s="16">
        <v>3</v>
      </c>
      <c r="C142" s="17" t="str">
        <f>三案例选用!D8</f>
        <v>SC-006</v>
      </c>
      <c r="D142" s="16" t="s">
        <v>224</v>
      </c>
      <c r="E142" s="16" t="str">
        <f t="shared" si="19"/>
        <v>适用</v>
      </c>
      <c r="F142" s="17" t="str">
        <f>IF(TRUE,IF(COUNTIFS(资产清单!$A$6:$A$25,A142)&lt;&gt;1,"",IF(INDEX(资产清单!$I$6:$I$25,MATCH(A142,资产清单!$A$6:$A$25,0))="","",INDEX(资产清单!$I$6:$I$25,MATCH(A142,资产清单!$A$6:$A$25,0)))),"不适用")</f>
        <v>临街商铺</v>
      </c>
      <c r="G142" s="17" t="str">
        <f>IF(TRUE,IF(COUNTIFS(市场案例库!$A$6:$A$35,C142)&lt;&gt;1,"",IF(INDEX(市场案例库!$O$6:$O$35,MATCH(C142,市场案例库!$A$6:$A$35,0))="","",INDEX(市场案例库!$O$6:$O$35,MATCH(C142,市场案例库!$A$6:$A$35,0)))),"不适用")</f>
        <v>临街商铺</v>
      </c>
      <c r="H142" s="19">
        <f>测算参数!$B$6</f>
        <v>100</v>
      </c>
      <c r="I142" s="10">
        <v>100</v>
      </c>
      <c r="J142" s="20">
        <f t="shared" si="20"/>
        <v>1</v>
      </c>
      <c r="K142" s="16" t="s">
        <v>234</v>
      </c>
      <c r="L142" s="16" t="s">
        <v>215</v>
      </c>
      <c r="M142" s="16" t="str">
        <f t="shared" si="18"/>
        <v>模拟评分记录完整</v>
      </c>
      <c r="N142" s="8" t="s">
        <v>156</v>
      </c>
    </row>
    <row r="143" spans="1:14" ht="46.05" customHeight="1">
      <c r="A143" s="16" t="s">
        <v>75</v>
      </c>
      <c r="B143" s="16">
        <v>3</v>
      </c>
      <c r="C143" s="17" t="str">
        <f>三案例选用!D8</f>
        <v>SC-006</v>
      </c>
      <c r="D143" s="16" t="s">
        <v>225</v>
      </c>
      <c r="E143" s="16" t="str">
        <f t="shared" si="19"/>
        <v>适用</v>
      </c>
      <c r="F143" s="17" t="str">
        <f>IF(TRUE,IF(COUNTIFS(资产清单!$A$6:$A$25,A143)&lt;&gt;1,"",IF(INDEX(资产清单!$I$6:$I$25,MATCH(A143,资产清单!$A$6:$A$25,0))="","",INDEX(资产清单!$I$6:$I$25,MATCH(A143,资产清单!$A$6:$A$25,0)))),"不适用")</f>
        <v>临街商铺</v>
      </c>
      <c r="G143" s="17" t="str">
        <f>IF(TRUE,IF(COUNTIFS(市场案例库!$A$6:$A$35,C143)&lt;&gt;1,"",IF(INDEX(市场案例库!$O$6:$O$35,MATCH(C143,市场案例库!$A$6:$A$35,0))="","",INDEX(市场案例库!$O$6:$O$35,MATCH(C143,市场案例库!$A$6:$A$35,0)))),"不适用")</f>
        <v>临街商铺</v>
      </c>
      <c r="H143" s="19">
        <f>测算参数!$B$6</f>
        <v>100</v>
      </c>
      <c r="I143" s="10">
        <v>100</v>
      </c>
      <c r="J143" s="20">
        <f t="shared" si="20"/>
        <v>1</v>
      </c>
      <c r="K143" s="16" t="s">
        <v>234</v>
      </c>
      <c r="L143" s="16" t="s">
        <v>215</v>
      </c>
      <c r="M143" s="16" t="str">
        <f t="shared" si="18"/>
        <v>模拟评分记录完整</v>
      </c>
      <c r="N143" s="8" t="s">
        <v>156</v>
      </c>
    </row>
    <row r="144" spans="1:14" ht="46.05" customHeight="1">
      <c r="A144" s="16" t="s">
        <v>75</v>
      </c>
      <c r="B144" s="16">
        <v>3</v>
      </c>
      <c r="C144" s="17" t="str">
        <f>三案例选用!D8</f>
        <v>SC-006</v>
      </c>
      <c r="D144" s="16" t="s">
        <v>226</v>
      </c>
      <c r="E144" s="16" t="str">
        <f t="shared" si="19"/>
        <v>适用</v>
      </c>
      <c r="F144" s="17" t="str">
        <f>IF(TRUE,IF(COUNTIFS(资产清单!$A$6:$A$25,A144)&lt;&gt;1,"",IF(INDEX(资产清单!$I$6:$I$25,MATCH(A144,资产清单!$A$6:$A$25,0))="","",INDEX(资产清单!$I$6:$I$25,MATCH(A144,资产清单!$A$6:$A$25,0)))),"不适用")</f>
        <v>临街商铺</v>
      </c>
      <c r="G144" s="17" t="str">
        <f>IF(TRUE,IF(COUNTIFS(市场案例库!$A$6:$A$35,C144)&lt;&gt;1,"",IF(INDEX(市场案例库!$O$6:$O$35,MATCH(C144,市场案例库!$A$6:$A$35,0))="","",INDEX(市场案例库!$O$6:$O$35,MATCH(C144,市场案例库!$A$6:$A$35,0)))),"不适用")</f>
        <v>临街商铺</v>
      </c>
      <c r="H144" s="19">
        <f>测算参数!$B$6</f>
        <v>100</v>
      </c>
      <c r="I144" s="10">
        <v>100</v>
      </c>
      <c r="J144" s="20">
        <f t="shared" si="20"/>
        <v>1</v>
      </c>
      <c r="K144" s="16" t="s">
        <v>234</v>
      </c>
      <c r="L144" s="16" t="s">
        <v>215</v>
      </c>
      <c r="M144" s="16" t="str">
        <f t="shared" si="18"/>
        <v>模拟评分记录完整</v>
      </c>
      <c r="N144" s="8" t="s">
        <v>156</v>
      </c>
    </row>
    <row r="145" spans="1:14" ht="46.05" customHeight="1">
      <c r="A145" s="16" t="s">
        <v>75</v>
      </c>
      <c r="B145" s="16">
        <v>3</v>
      </c>
      <c r="C145" s="17" t="str">
        <f>三案例选用!D8</f>
        <v>SC-006</v>
      </c>
      <c r="D145" s="16" t="s">
        <v>227</v>
      </c>
      <c r="E145" s="16" t="str">
        <f t="shared" si="19"/>
        <v>适用</v>
      </c>
      <c r="F145" s="17" t="str">
        <f>IF(TRUE,IF(COUNTIFS(资产清单!$A$6:$A$25,A145)&lt;&gt;1,"",IF(INDEX(资产清单!$I$6:$I$25,MATCH(A145,资产清单!$A$6:$A$25,0))="","",INDEX(资产清单!$I$6:$I$25,MATCH(A145,资产清单!$A$6:$A$25,0)))),"不适用")</f>
        <v>临街商铺</v>
      </c>
      <c r="G145" s="17" t="str">
        <f>IF(TRUE,IF(COUNTIFS(市场案例库!$A$6:$A$35,C145)&lt;&gt;1,"",IF(INDEX(市场案例库!$O$6:$O$35,MATCH(C145,市场案例库!$A$6:$A$35,0))="","",INDEX(市场案例库!$O$6:$O$35,MATCH(C145,市场案例库!$A$6:$A$35,0)))),"不适用")</f>
        <v>临街商铺</v>
      </c>
      <c r="H145" s="19">
        <f>测算参数!$B$6</f>
        <v>100</v>
      </c>
      <c r="I145" s="10">
        <v>100</v>
      </c>
      <c r="J145" s="20">
        <f t="shared" si="20"/>
        <v>1</v>
      </c>
      <c r="K145" s="16" t="s">
        <v>234</v>
      </c>
      <c r="L145" s="16" t="s">
        <v>215</v>
      </c>
      <c r="M145" s="16" t="str">
        <f t="shared" si="18"/>
        <v>模拟评分记录完整</v>
      </c>
      <c r="N145" s="8" t="s">
        <v>156</v>
      </c>
    </row>
    <row r="146" spans="1:14" ht="46.05" customHeight="1">
      <c r="A146" s="16" t="s">
        <v>75</v>
      </c>
      <c r="B146" s="16">
        <v>3</v>
      </c>
      <c r="C146" s="17" t="str">
        <f>三案例选用!D8</f>
        <v>SC-006</v>
      </c>
      <c r="D146" s="16" t="s">
        <v>228</v>
      </c>
      <c r="E146" s="17" t="str">
        <f>IF(AND(IF(COUNTIFS(资产清单!$A$6:$A$25,A146)&lt;&gt;1,"",IF(INDEX(资产清单!$H$6:$H$25,MATCH(A146,资产清单!$A$6:$A$25,0))="","",INDEX(资产清单!$H$6:$H$25,MATCH(A146,资产清单!$A$6:$A$25,0))))&lt;&gt;"场地",IF(COUNTIFS(资产清单!$A$6:$A$25,A146)&lt;&gt;1,"",IF(INDEX(资产清单!$H$6:$H$25,MATCH(A146,资产清单!$A$6:$A$25,0))="","",INDEX(资产清单!$H$6:$H$25,MATCH(A146,资产清单!$A$6:$A$25,0))))&lt;&gt;"车位",IF(COUNTIFS(资产清单!$A$6:$A$25,A146)&lt;&gt;1,"",IF(INDEX(资产清单!$H$6:$H$25,MATCH(A146,资产清单!$A$6:$A$25,0))="","",INDEX(资产清单!$H$6:$H$25,MATCH(A146,资产清单!$A$6:$A$25,0))))&lt;&gt;"通信基站"),"适用","不适用采用100/100")</f>
        <v>适用</v>
      </c>
      <c r="F146" s="17" t="str">
        <f>IF(AND(IF(COUNTIFS(资产清单!$A$6:$A$25,A146)&lt;&gt;1,"",IF(INDEX(资产清单!$H$6:$H$25,MATCH(A146,资产清单!$A$6:$A$25,0))="","",INDEX(资产清单!$H$6:$H$25,MATCH(A146,资产清单!$A$6:$A$25,0))))&lt;&gt;"场地",IF(COUNTIFS(资产清单!$A$6:$A$25,A146)&lt;&gt;1,"",IF(INDEX(资产清单!$H$6:$H$25,MATCH(A146,资产清单!$A$6:$A$25,0))="","",INDEX(资产清单!$H$6:$H$25,MATCH(A146,资产清单!$A$6:$A$25,0))))&lt;&gt;"车位",IF(COUNTIFS(资产清单!$A$6:$A$25,A146)&lt;&gt;1,"",IF(INDEX(资产清单!$H$6:$H$25,MATCH(A146,资产清单!$A$6:$A$25,0))="","",INDEX(资产清单!$H$6:$H$25,MATCH(A146,资产清单!$A$6:$A$25,0))))&lt;&gt;"通信基站"),IF(COUNTIFS(资产清单!$A$6:$A$25,A146)&lt;&gt;1,"",IF(INDEX(资产清单!$I$6:$I$25,MATCH(A146,资产清单!$A$6:$A$25,0))="","",INDEX(资产清单!$I$6:$I$25,MATCH(A146,资产清单!$A$6:$A$25,0)))),"不适用")</f>
        <v>临街商铺</v>
      </c>
      <c r="G146" s="17" t="str">
        <f>IF(AND(IF(COUNTIFS(资产清单!$A$6:$A$25,A146)&lt;&gt;1,"",IF(INDEX(资产清单!$H$6:$H$25,MATCH(A146,资产清单!$A$6:$A$25,0))="","",INDEX(资产清单!$H$6:$H$25,MATCH(A146,资产清单!$A$6:$A$25,0))))&lt;&gt;"场地",IF(COUNTIFS(资产清单!$A$6:$A$25,A146)&lt;&gt;1,"",IF(INDEX(资产清单!$H$6:$H$25,MATCH(A146,资产清单!$A$6:$A$25,0))="","",INDEX(资产清单!$H$6:$H$25,MATCH(A146,资产清单!$A$6:$A$25,0))))&lt;&gt;"车位",IF(COUNTIFS(资产清单!$A$6:$A$25,A146)&lt;&gt;1,"",IF(INDEX(资产清单!$H$6:$H$25,MATCH(A146,资产清单!$A$6:$A$25,0))="","",INDEX(资产清单!$H$6:$H$25,MATCH(A146,资产清单!$A$6:$A$25,0))))&lt;&gt;"通信基站"),IF(COUNTIFS(市场案例库!$A$6:$A$35,C146)&lt;&gt;1,"",IF(INDEX(市场案例库!$O$6:$O$35,MATCH(C146,市场案例库!$A$6:$A$35,0))="","",INDEX(市场案例库!$O$6:$O$35,MATCH(C146,市场案例库!$A$6:$A$35,0)))),"不适用")</f>
        <v>临街商铺</v>
      </c>
      <c r="H146" s="19">
        <f>测算参数!$B$6</f>
        <v>100</v>
      </c>
      <c r="I146" s="10">
        <v>100</v>
      </c>
      <c r="J146" s="21">
        <f>IF(OR(C146&lt;&gt;N146,COUNT(H146:I146)&lt;&gt;2,H146&lt;=0,I146&lt;=0),"",IF(AND(IF(COUNTIFS(资产清单!$A$6:$A$25,A146)&lt;&gt;1,"",IF(INDEX(资产清单!$H$6:$H$25,MATCH(A146,资产清单!$A$6:$A$25,0))="","",INDEX(资产清单!$H$6:$H$25,MATCH(A146,资产清单!$A$6:$A$25,0))))&lt;&gt;"场地",IF(COUNTIFS(资产清单!$A$6:$A$25,A146)&lt;&gt;1,"",IF(INDEX(资产清单!$H$6:$H$25,MATCH(A146,资产清单!$A$6:$A$25,0))="","",INDEX(资产清单!$H$6:$H$25,MATCH(A146,资产清单!$A$6:$A$25,0))))&lt;&gt;"车位",IF(COUNTIFS(资产清单!$A$6:$A$25,A146)&lt;&gt;1,"",IF(INDEX(资产清单!$H$6:$H$25,MATCH(A146,资产清单!$A$6:$A$25,0))="","",INDEX(资产清单!$H$6:$H$25,MATCH(A146,资产清单!$A$6:$A$25,0))))&lt;&gt;"通信基站"),H146/I146,H146/H146))</f>
        <v>1</v>
      </c>
      <c r="K146" s="16" t="s">
        <v>234</v>
      </c>
      <c r="L146" s="16" t="s">
        <v>215</v>
      </c>
      <c r="M146" s="16" t="str">
        <f t="shared" si="18"/>
        <v>模拟评分记录完整</v>
      </c>
      <c r="N146" s="8" t="s">
        <v>156</v>
      </c>
    </row>
    <row r="147" spans="1:14" ht="46.05" customHeight="1">
      <c r="A147" s="16" t="s">
        <v>75</v>
      </c>
      <c r="B147" s="16">
        <v>3</v>
      </c>
      <c r="C147" s="17" t="str">
        <f>三案例选用!D8</f>
        <v>SC-006</v>
      </c>
      <c r="D147" s="16" t="s">
        <v>229</v>
      </c>
      <c r="E147" s="17" t="str">
        <f>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"适用","不适用采用100/100")</f>
        <v>适用</v>
      </c>
      <c r="F147" s="17">
        <f>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IF(COUNTIFS(资产清单!$A$6:$A$25,A147)&lt;&gt;1,"",IF(COUNT(INDEX(资产清单!$N$6:$N$25,MATCH(A147,资产清单!$A$6:$A$25,0)))&lt;&gt;1,"",INDEX(资产清单!$N$6:$N$25,MATCH(A147,资产清单!$A$6:$A$25,0)))),"不适用")</f>
        <v>2</v>
      </c>
      <c r="G147" s="17">
        <f>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IF(COUNTIFS(市场案例库!$A$6:$A$35,C147)&lt;&gt;1,"",IF(COUNT(INDEX(市场案例库!$I$6:$I$35,MATCH(C147,市场案例库!$A$6:$A$35,0)))&lt;&gt;1,"",INDEX(市场案例库!$I$6:$I$35,MATCH(C147,市场案例库!$A$6:$A$35,0)))),"不适用")</f>
        <v>2</v>
      </c>
      <c r="H147" s="19">
        <f>测算参数!$B$6</f>
        <v>100</v>
      </c>
      <c r="I147" s="19">
        <f>IF(OR(COUNTIFS(市场案例库!$A$6:$A$35,C147)&lt;&gt;1,AND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OR(COUNT(IF(COUNTIFS(资产清单!$A$6:$A$25,A147)&lt;&gt;1,"",IF(COUNT(INDEX(资产清单!$N$6:$N$25,MATCH(A147,资产清单!$A$6:$A$25,0)))&lt;&gt;1,"",INDEX(资产清单!$N$6:$N$25,MATCH(A147,资产清单!$A$6:$A$25,0)))),IF(COUNTIFS(市场案例库!$A$6:$A$35,C147)&lt;&gt;1,"",IF(COUNT(INDEX(市场案例库!$I$6:$I$35,MATCH(C147,市场案例库!$A$6:$A$35,0)))&lt;&gt;1,"",INDEX(市场案例库!$I$6:$I$35,MATCH(C147,市场案例库!$A$6:$A$35,0)))))&lt;&gt;2,IF(COUNTIFS(资产清单!$A$6:$A$25,A147)&lt;&gt;1,"",IF(COUNT(INDEX(资产清单!$N$6:$N$25,MATCH(A147,资产清单!$A$6:$A$25,0)))&lt;&gt;1,"",INDEX(资产清单!$N$6:$N$25,MATCH(A147,资产清单!$A$6:$A$25,0))))&lt;1,IF(COUNTIFS(资产清单!$A$6:$A$25,A147)&lt;&gt;1,"",IF(COUNT(INDEX(资产清单!$N$6:$N$25,MATCH(A147,资产清单!$A$6:$A$25,0)))&lt;&gt;1,"",INDEX(资产清单!$N$6:$N$25,MATCH(A147,资产清单!$A$6:$A$25,0))))&gt;4,IF(COUNTIFS(市场案例库!$A$6:$A$35,C147)&lt;&gt;1,"",IF(COUNT(INDEX(市场案例库!$I$6:$I$35,MATCH(C147,市场案例库!$A$6:$A$35,0)))&lt;&gt;1,"",INDEX(市场案例库!$I$6:$I$35,MATCH(C147,市场案例库!$A$6:$A$35,0))))&lt;1,IF(COUNTIFS(市场案例库!$A$6:$A$35,C147)&lt;&gt;1,"",IF(COUNT(INDEX(市场案例库!$I$6:$I$35,MATCH(C147,市场案例库!$A$6:$A$35,0)))&lt;&gt;1,"",INDEX(市场案例库!$I$6:$I$35,MATCH(C147,市场案例库!$A$6:$A$35,0))))&gt;4))),"",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INDEX(测算参数!$B$35:$B$41,MATCH(IF(COUNTIFS(市场案例库!$A$6:$A$35,C147)&lt;&gt;1,"",IF(COUNT(INDEX(市场案例库!$I$6:$I$35,MATCH(C147,市场案例库!$A$6:$A$35,0)))&lt;&gt;1,"",INDEX(市场案例库!$I$6:$I$35,MATCH(C147,市场案例库!$A$6:$A$35,0))))-IF(COUNTIFS(资产清单!$A$6:$A$25,A147)&lt;&gt;1,"",IF(COUNT(INDEX(资产清单!$N$6:$N$25,MATCH(A147,资产清单!$A$6:$A$25,0)))&lt;&gt;1,"",INDEX(资产清单!$N$6:$N$25,MATCH(A147,资产清单!$A$6:$A$25,0)))),测算参数!$A$35:$A$41,0)),测算参数!$B$6))</f>
        <v>100</v>
      </c>
      <c r="J147" s="21">
        <f>IF(OR(C147&lt;&gt;N147,COUNT(H147:I147)&lt;&gt;2,H147&lt;=0,I147&lt;=0),"",IF(AND(IF(COUNTIFS(资产清单!$A$6:$A$25,A147)&lt;&gt;1,"",IF(INDEX(资产清单!$H$6:$H$25,MATCH(A147,资产清单!$A$6:$A$25,0))="","",INDEX(资产清单!$H$6:$H$25,MATCH(A147,资产清单!$A$6:$A$25,0))))&lt;&gt;"场地",IF(COUNTIFS(资产清单!$A$6:$A$25,A147)&lt;&gt;1,"",IF(INDEX(资产清单!$H$6:$H$25,MATCH(A147,资产清单!$A$6:$A$25,0))="","",INDEX(资产清单!$H$6:$H$25,MATCH(A147,资产清单!$A$6:$A$25,0))))&lt;&gt;"车位",IF(COUNTIFS(资产清单!$A$6:$A$25,A147)&lt;&gt;1,"",IF(INDEX(资产清单!$H$6:$H$25,MATCH(A147,资产清单!$A$6:$A$25,0))="","",INDEX(资产清单!$H$6:$H$25,MATCH(A147,资产清单!$A$6:$A$25,0))))&lt;&gt;"通信基站"),H147/I147,H147/H147))</f>
        <v>1</v>
      </c>
      <c r="K147" s="16" t="s">
        <v>234</v>
      </c>
      <c r="L147" s="16" t="s">
        <v>230</v>
      </c>
      <c r="M147" s="16" t="str">
        <f t="shared" si="18"/>
        <v>模拟评分记录完整</v>
      </c>
      <c r="N147" s="8" t="s">
        <v>156</v>
      </c>
    </row>
    <row r="148" spans="1:14" ht="46.05" customHeight="1">
      <c r="A148" s="16" t="s">
        <v>75</v>
      </c>
      <c r="B148" s="16">
        <v>3</v>
      </c>
      <c r="C148" s="17" t="str">
        <f>三案例选用!D8</f>
        <v>SC-006</v>
      </c>
      <c r="D148" s="16" t="s">
        <v>231</v>
      </c>
      <c r="E148" s="17" t="str">
        <f>IF(AND(IF(COUNTIFS(资产清单!$A$6:$A$25,A148)&lt;&gt;1,"",IF(INDEX(资产清单!$H$6:$H$25,MATCH(A148,资产清单!$A$6:$A$25,0))="","",INDEX(资产清单!$H$6:$H$25,MATCH(A148,资产清单!$A$6:$A$25,0))))&lt;&gt;"场地",IF(COUNTIFS(资产清单!$A$6:$A$25,A148)&lt;&gt;1,"",IF(INDEX(资产清单!$H$6:$H$25,MATCH(A148,资产清单!$A$6:$A$25,0))="","",INDEX(资产清单!$H$6:$H$25,MATCH(A148,资产清单!$A$6:$A$25,0))))&lt;&gt;"车位",IF(COUNTIFS(资产清单!$A$6:$A$25,A148)&lt;&gt;1,"",IF(INDEX(资产清单!$H$6:$H$25,MATCH(A148,资产清单!$A$6:$A$25,0))="","",INDEX(资产清单!$H$6:$H$25,MATCH(A148,资产清单!$A$6:$A$25,0))))&lt;&gt;"通信基站"),"适用","不适用采用100/100")</f>
        <v>适用</v>
      </c>
      <c r="F148" s="17" t="str">
        <f>IF(AND(IF(COUNTIFS(资产清单!$A$6:$A$25,A148)&lt;&gt;1,"",IF(INDEX(资产清单!$H$6:$H$25,MATCH(A148,资产清单!$A$6:$A$25,0))="","",INDEX(资产清单!$H$6:$H$25,MATCH(A148,资产清单!$A$6:$A$25,0))))&lt;&gt;"场地",IF(COUNTIFS(资产清单!$A$6:$A$25,A148)&lt;&gt;1,"",IF(INDEX(资产清单!$H$6:$H$25,MATCH(A148,资产清单!$A$6:$A$25,0))="","",INDEX(资产清单!$H$6:$H$25,MATCH(A148,资产清单!$A$6:$A$25,0))))&lt;&gt;"车位",IF(COUNTIFS(资产清单!$A$6:$A$25,A148)&lt;&gt;1,"",IF(INDEX(资产清单!$H$6:$H$25,MATCH(A148,资产清单!$A$6:$A$25,0))="","",INDEX(资产清单!$H$6:$H$25,MATCH(A148,资产清单!$A$6:$A$25,0))))&lt;&gt;"通信基站"),IF(COUNTIFS(资产清单!$A$6:$A$25,A148)&lt;&gt;1,"",IF(INDEX(资产清单!$I$6:$I$25,MATCH(A148,资产清单!$A$6:$A$25,0))="","",INDEX(资产清单!$I$6:$I$25,MATCH(A148,资产清单!$A$6:$A$25,0)))),"不适用")</f>
        <v>临街商铺</v>
      </c>
      <c r="G148" s="17" t="str">
        <f>IF(AND(IF(COUNTIFS(资产清单!$A$6:$A$25,A148)&lt;&gt;1,"",IF(INDEX(资产清单!$H$6:$H$25,MATCH(A148,资产清单!$A$6:$A$25,0))="","",INDEX(资产清单!$H$6:$H$25,MATCH(A148,资产清单!$A$6:$A$25,0))))&lt;&gt;"场地",IF(COUNTIFS(资产清单!$A$6:$A$25,A148)&lt;&gt;1,"",IF(INDEX(资产清单!$H$6:$H$25,MATCH(A148,资产清单!$A$6:$A$25,0))="","",INDEX(资产清单!$H$6:$H$25,MATCH(A148,资产清单!$A$6:$A$25,0))))&lt;&gt;"车位",IF(COUNTIFS(资产清单!$A$6:$A$25,A148)&lt;&gt;1,"",IF(INDEX(资产清单!$H$6:$H$25,MATCH(A148,资产清单!$A$6:$A$25,0))="","",INDEX(资产清单!$H$6:$H$25,MATCH(A148,资产清单!$A$6:$A$25,0))))&lt;&gt;"通信基站"),IF(COUNTIFS(市场案例库!$A$6:$A$35,C148)&lt;&gt;1,"",IF(INDEX(市场案例库!$O$6:$O$35,MATCH(C148,市场案例库!$A$6:$A$35,0))="","",INDEX(市场案例库!$O$6:$O$35,MATCH(C148,市场案例库!$A$6:$A$35,0)))),"不适用")</f>
        <v>临街商铺</v>
      </c>
      <c r="H148" s="19">
        <f>测算参数!$B$6</f>
        <v>100</v>
      </c>
      <c r="I148" s="10">
        <v>100</v>
      </c>
      <c r="J148" s="21">
        <f>IF(OR(C148&lt;&gt;N148,COUNT(H148:I148)&lt;&gt;2,H148&lt;=0,I148&lt;=0),"",IF(AND(IF(COUNTIFS(资产清单!$A$6:$A$25,A148)&lt;&gt;1,"",IF(INDEX(资产清单!$H$6:$H$25,MATCH(A148,资产清单!$A$6:$A$25,0))="","",INDEX(资产清单!$H$6:$H$25,MATCH(A148,资产清单!$A$6:$A$25,0))))&lt;&gt;"场地",IF(COUNTIFS(资产清单!$A$6:$A$25,A148)&lt;&gt;1,"",IF(INDEX(资产清单!$H$6:$H$25,MATCH(A148,资产清单!$A$6:$A$25,0))="","",INDEX(资产清单!$H$6:$H$25,MATCH(A148,资产清单!$A$6:$A$25,0))))&lt;&gt;"车位",IF(COUNTIFS(资产清单!$A$6:$A$25,A148)&lt;&gt;1,"",IF(INDEX(资产清单!$H$6:$H$25,MATCH(A148,资产清单!$A$6:$A$25,0))="","",INDEX(资产清单!$H$6:$H$25,MATCH(A148,资产清单!$A$6:$A$25,0))))&lt;&gt;"通信基站"),H148/I148,H148/H148))</f>
        <v>1</v>
      </c>
      <c r="K148" s="16" t="s">
        <v>234</v>
      </c>
      <c r="L148" s="16" t="s">
        <v>215</v>
      </c>
      <c r="M148" s="16" t="str">
        <f t="shared" si="18"/>
        <v>模拟评分记录完整</v>
      </c>
      <c r="N148" s="8" t="s">
        <v>156</v>
      </c>
    </row>
    <row r="149" spans="1:14" ht="46.05" customHeight="1">
      <c r="A149" s="16" t="s">
        <v>75</v>
      </c>
      <c r="B149" s="16">
        <v>3</v>
      </c>
      <c r="C149" s="17" t="str">
        <f>三案例选用!D8</f>
        <v>SC-006</v>
      </c>
      <c r="D149" s="16" t="s">
        <v>232</v>
      </c>
      <c r="E149" s="16" t="str">
        <f>IF(TRUE,"适用","不适用采用100/100")</f>
        <v>适用</v>
      </c>
      <c r="F149" s="17" t="str">
        <f>IF(TRUE,IF(COUNTIFS(资产清单!$A$6:$A$25,A149)&lt;&gt;1,"",IF(INDEX(资产清单!$I$6:$I$25,MATCH(A149,资产清单!$A$6:$A$25,0))="","",INDEX(资产清单!$I$6:$I$25,MATCH(A149,资产清单!$A$6:$A$25,0)))),"不适用")</f>
        <v>临街商铺</v>
      </c>
      <c r="G149" s="17" t="str">
        <f>IF(TRUE,IF(COUNTIFS(市场案例库!$A$6:$A$35,C149)&lt;&gt;1,"",IF(INDEX(市场案例库!$O$6:$O$35,MATCH(C149,市场案例库!$A$6:$A$35,0))="","",INDEX(市场案例库!$O$6:$O$35,MATCH(C149,市场案例库!$A$6:$A$35,0)))),"不适用")</f>
        <v>临街商铺</v>
      </c>
      <c r="H149" s="19">
        <f>测算参数!$B$6</f>
        <v>100</v>
      </c>
      <c r="I149" s="10">
        <v>100</v>
      </c>
      <c r="J149" s="20">
        <f>IF(OR(C149&lt;&gt;N149,COUNT(H149:I149)&lt;&gt;2,H149&lt;=0,I149&lt;=0),"",IF(TRUE,H149/I149,H149/H149))</f>
        <v>1</v>
      </c>
      <c r="K149" s="16" t="s">
        <v>234</v>
      </c>
      <c r="L149" s="16" t="s">
        <v>215</v>
      </c>
      <c r="M149" s="16" t="str">
        <f t="shared" si="18"/>
        <v>模拟评分记录完整</v>
      </c>
      <c r="N149" s="8" t="s">
        <v>156</v>
      </c>
    </row>
    <row r="150" spans="1:14" ht="46.05" customHeight="1">
      <c r="A150" s="16" t="s">
        <v>76</v>
      </c>
      <c r="B150" s="16">
        <v>1</v>
      </c>
      <c r="C150" s="17" t="str">
        <f>三案例选用!B9</f>
        <v>SC-007</v>
      </c>
      <c r="D150" s="16" t="s">
        <v>209</v>
      </c>
      <c r="E150" s="16" t="str">
        <f>IF(TRUE,"适用","不适用采用100/100")</f>
        <v>适用</v>
      </c>
      <c r="F150" s="17" t="str">
        <f>IF(TRUE,IF(COUNTIFS(资产清单!$A$6:$A$25,A150)&lt;&gt;1,"",IF(INDEX(资产清单!$I$6:$I$25,MATCH(A150,资产清单!$A$6:$A$25,0))="","",INDEX(资产清单!$I$6:$I$25,MATCH(A150,资产清单!$A$6:$A$25,0)))),"不适用")</f>
        <v>内部通道商铺</v>
      </c>
      <c r="G150" s="17" t="str">
        <f>IF(TRUE,IF(COUNTIFS(市场案例库!$A$6:$A$35,C150)&lt;&gt;1,"",IF(INDEX(市场案例库!$O$6:$O$35,MATCH(C150,市场案例库!$A$6:$A$35,0))="","",INDEX(市场案例库!$O$6:$O$35,MATCH(C150,市场案例库!$A$6:$A$35,0)))),"不适用")</f>
        <v>临街商铺</v>
      </c>
      <c r="H150" s="19">
        <f>测算参数!$B$6</f>
        <v>100</v>
      </c>
      <c r="I150" s="19">
        <f>IF(OR(COUNTIFS(市场案例库!$A$6:$A$35,C150)&lt;&gt;1),"",IF(COUNTIFS(市场案例库!$A$6:$A$35,C150)&lt;&gt;1,"",IF(COUNT(INDEX(市场案例库!$M$6:$M$35,MATCH(C150,市场案例库!$A$6:$A$35,0)))&lt;&gt;1,"",INDEX(市场案例库!$M$6:$M$35,MATCH(C150,市场案例库!$A$6:$A$35,0)))))</f>
        <v>102</v>
      </c>
      <c r="J150" s="20">
        <f>IF(OR(C150&lt;&gt;N150,COUNT(H150:I150)&lt;&gt;2,H150&lt;=0,I150&lt;=0),"",IF(TRUE,H150/I150,H150/H150))</f>
        <v>0.98039215686274506</v>
      </c>
      <c r="K150" s="16" t="s">
        <v>235</v>
      </c>
      <c r="L150" s="16" t="s">
        <v>211</v>
      </c>
      <c r="M150" s="16" t="str">
        <f t="shared" si="18"/>
        <v>模拟评分记录完整</v>
      </c>
      <c r="N150" s="8" t="s">
        <v>158</v>
      </c>
    </row>
    <row r="151" spans="1:14" ht="46.05" customHeight="1">
      <c r="A151" s="16" t="s">
        <v>76</v>
      </c>
      <c r="B151" s="16">
        <v>1</v>
      </c>
      <c r="C151" s="17" t="str">
        <f>三案例选用!B9</f>
        <v>SC-007</v>
      </c>
      <c r="D151" s="16" t="s">
        <v>212</v>
      </c>
      <c r="E151" s="16" t="str">
        <f>IF(TRUE,"适用","不适用采用100/100")</f>
        <v>适用</v>
      </c>
      <c r="F151" s="17" t="str">
        <f>IF(TRUE,IF(COUNTIFS(资产清单!$A$6:$A$25,A151)&lt;&gt;1,"",IF(INDEX(资产清单!$I$6:$I$25,MATCH(A151,资产清单!$A$6:$A$25,0))="","",INDEX(资产清单!$I$6:$I$25,MATCH(A151,资产清单!$A$6:$A$25,0)))),"不适用")</f>
        <v>内部通道商铺</v>
      </c>
      <c r="G151" s="17" t="str">
        <f>IF(TRUE,IF(COUNTIFS(市场案例库!$A$6:$A$35,C151)&lt;&gt;1,"",IF(INDEX(市场案例库!$O$6:$O$35,MATCH(C151,市场案例库!$A$6:$A$35,0))="","",INDEX(市场案例库!$O$6:$O$35,MATCH(C151,市场案例库!$A$6:$A$35,0)))),"不适用")</f>
        <v>临街商铺</v>
      </c>
      <c r="H151" s="19">
        <f>测算参数!$B$6</f>
        <v>100</v>
      </c>
      <c r="I151" s="19">
        <f>IF(OR(COUNTIFS(市场案例库!$A$6:$A$35,C151)&lt;&gt;1),"",IF(COUNTIFS(市场案例库!$A$6:$A$35,C151)&lt;&gt;1,"",IF(COUNT(INDEX(市场案例库!$N$6:$N$35,MATCH(C151,市场案例库!$A$6:$A$35,0)))&lt;&gt;1,"",INDEX(市场案例库!$N$6:$N$35,MATCH(C151,市场案例库!$A$6:$A$35,0)))))</f>
        <v>100</v>
      </c>
      <c r="J151" s="20">
        <f>IF(OR(C151&lt;&gt;N151,COUNT(H151:I151)&lt;&gt;2,H151&lt;=0,I151&lt;=0),"",IF(TRUE,H151/I151,H151/H151))</f>
        <v>1</v>
      </c>
      <c r="K151" s="16" t="s">
        <v>235</v>
      </c>
      <c r="L151" s="16" t="s">
        <v>213</v>
      </c>
      <c r="M151" s="16" t="str">
        <f t="shared" si="18"/>
        <v>模拟评分记录完整</v>
      </c>
      <c r="N151" s="8" t="s">
        <v>158</v>
      </c>
    </row>
    <row r="152" spans="1:14" ht="46.05" customHeight="1">
      <c r="A152" s="16" t="s">
        <v>76</v>
      </c>
      <c r="B152" s="16">
        <v>1</v>
      </c>
      <c r="C152" s="17" t="str">
        <f>三案例选用!B9</f>
        <v>SC-007</v>
      </c>
      <c r="D152" s="16" t="s">
        <v>214</v>
      </c>
      <c r="E152" s="16" t="str">
        <f>IF(TRUE,"适用","不适用采用100/100")</f>
        <v>适用</v>
      </c>
      <c r="F152" s="17" t="str">
        <f>IF(TRUE,IF(COUNTIFS(资产清单!$A$6:$A$25,A152)&lt;&gt;1,"",IF(INDEX(资产清单!$I$6:$I$25,MATCH(A152,资产清单!$A$6:$A$25,0))="","",INDEX(资产清单!$I$6:$I$25,MATCH(A152,资产清单!$A$6:$A$25,0)))),"不适用")</f>
        <v>内部通道商铺</v>
      </c>
      <c r="G152" s="17" t="str">
        <f>IF(TRUE,IF(COUNTIFS(市场案例库!$A$6:$A$35,C152)&lt;&gt;1,"",IF(INDEX(市场案例库!$O$6:$O$35,MATCH(C152,市场案例库!$A$6:$A$35,0))="","",INDEX(市场案例库!$O$6:$O$35,MATCH(C152,市场案例库!$A$6:$A$35,0)))),"不适用")</f>
        <v>临街商铺</v>
      </c>
      <c r="H152" s="19">
        <f>测算参数!$B$6</f>
        <v>100</v>
      </c>
      <c r="I152" s="10">
        <v>100</v>
      </c>
      <c r="J152" s="20">
        <f>IF(OR(C152&lt;&gt;N152,COUNT(H152:I152)&lt;&gt;2,H152&lt;=0,I152&lt;=0),"",IF(TRUE,H152/I152,H152/H152))</f>
        <v>1</v>
      </c>
      <c r="K152" s="16" t="s">
        <v>235</v>
      </c>
      <c r="L152" s="16" t="s">
        <v>215</v>
      </c>
      <c r="M152" s="16" t="str">
        <f t="shared" si="18"/>
        <v>模拟评分记录完整</v>
      </c>
      <c r="N152" s="8" t="s">
        <v>158</v>
      </c>
    </row>
    <row r="153" spans="1:14" ht="46.05" customHeight="1">
      <c r="A153" s="16" t="s">
        <v>76</v>
      </c>
      <c r="B153" s="16">
        <v>1</v>
      </c>
      <c r="C153" s="17" t="str">
        <f>三案例选用!B9</f>
        <v>SC-007</v>
      </c>
      <c r="D153" s="16" t="s">
        <v>216</v>
      </c>
      <c r="E153" s="16" t="str">
        <f>IF(TRUE,"适用","不适用采用100/100")</f>
        <v>适用</v>
      </c>
      <c r="F153" s="17" t="str">
        <f>IF(TRUE,IF(COUNTIFS(资产清单!$A$6:$A$25,A153)&lt;&gt;1,"",IF(INDEX(资产清单!$I$6:$I$25,MATCH(A153,资产清单!$A$6:$A$25,0))="","",INDEX(资产清单!$I$6:$I$25,MATCH(A153,资产清单!$A$6:$A$25,0)))),"不适用")</f>
        <v>内部通道商铺</v>
      </c>
      <c r="G153" s="17" t="str">
        <f>IF(TRUE,IF(COUNTIFS(市场案例库!$A$6:$A$35,C153)&lt;&gt;1,"",IF(INDEX(市场案例库!$O$6:$O$35,MATCH(C153,市场案例库!$A$6:$A$35,0))="","",INDEX(市场案例库!$O$6:$O$35,MATCH(C153,市场案例库!$A$6:$A$35,0)))),"不适用")</f>
        <v>临街商铺</v>
      </c>
      <c r="H153" s="19">
        <f>测算参数!$B$6</f>
        <v>100</v>
      </c>
      <c r="I153" s="10">
        <v>100</v>
      </c>
      <c r="J153" s="20">
        <f>IF(OR(C153&lt;&gt;N153,COUNT(H153:I153)&lt;&gt;2,H153&lt;=0,I153&lt;=0),"",IF(TRUE,H153/I153,H153/H153))</f>
        <v>1</v>
      </c>
      <c r="K153" s="16" t="s">
        <v>235</v>
      </c>
      <c r="L153" s="16" t="s">
        <v>215</v>
      </c>
      <c r="M153" s="16" t="str">
        <f t="shared" si="18"/>
        <v>模拟评分记录完整</v>
      </c>
      <c r="N153" s="8" t="s">
        <v>158</v>
      </c>
    </row>
    <row r="154" spans="1:14" ht="46.05" customHeight="1">
      <c r="A154" s="16" t="s">
        <v>76</v>
      </c>
      <c r="B154" s="16">
        <v>1</v>
      </c>
      <c r="C154" s="17" t="str">
        <f>三案例选用!B9</f>
        <v>SC-007</v>
      </c>
      <c r="D154" s="16" t="s">
        <v>217</v>
      </c>
      <c r="E154" s="17" t="str">
        <f>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"适用","不适用采用100/100")</f>
        <v>适用</v>
      </c>
      <c r="F154" s="17">
        <f>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IF(COUNTIFS(资产清单!$A$6:$A$25,A154)&lt;&gt;1,"",IF(COUNT(INDEX(资产清单!$M$6:$M$25,MATCH(A154,资产清单!$A$6:$A$25,0)))&lt;&gt;1,"",INDEX(资产清单!$M$6:$M$25,MATCH(A154,资产清单!$A$6:$A$25,0)))),"不适用")</f>
        <v>1</v>
      </c>
      <c r="G154" s="17">
        <f>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IF(COUNTIFS(市场案例库!$A$6:$A$35,C154)&lt;&gt;1,"",IF(COUNT(INDEX(市场案例库!$H$6:$H$35,MATCH(C154,市场案例库!$A$6:$A$35,0)))&lt;&gt;1,"",INDEX(市场案例库!$H$6:$H$35,MATCH(C154,市场案例库!$A$6:$A$35,0)))),"不适用")</f>
        <v>1</v>
      </c>
      <c r="H154" s="19">
        <f>测算参数!$B$6</f>
        <v>100</v>
      </c>
      <c r="I154" s="19">
        <f>IF(OR(COUNTIFS(市场案例库!$A$6:$A$35,C154)&lt;&gt;1,AND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COUNT(IF(COUNTIFS(资产清单!$A$6:$A$25,A154)&lt;&gt;1,"",IF(COUNT(INDEX(资产清单!$M$6:$M$25,MATCH(A154,资产清单!$A$6:$A$25,0)))&lt;&gt;1,"",INDEX(资产清单!$M$6:$M$25,MATCH(A154,资产清单!$A$6:$A$25,0)))),IF(COUNTIFS(市场案例库!$A$6:$A$35,C154)&lt;&gt;1,"",IF(COUNT(INDEX(市场案例库!$H$6:$H$35,MATCH(C154,市场案例库!$A$6:$A$35,0)))&lt;&gt;1,"",INDEX(市场案例库!$H$6:$H$35,MATCH(C154,市场案例库!$A$6:$A$35,0)))))&lt;&gt;2)),"",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INDEX(测算参数!$B$25:$B$31,MATCH(MAX(-测算参数!$B$11,MIN(测算参数!$B$11,IF(COUNTIFS(资产清单!$A$6:$A$25,A154)&lt;&gt;1,"",IF(COUNT(INDEX(资产清单!$M$6:$M$25,MATCH(A154,资产清单!$A$6:$A$25,0)))&lt;&gt;1,"",INDEX(资产清单!$M$6:$M$25,MATCH(A154,资产清单!$A$6:$A$25,0))))-IF(COUNTIFS(市场案例库!$A$6:$A$35,C154)&lt;&gt;1,"",IF(COUNT(INDEX(市场案例库!$H$6:$H$35,MATCH(C154,市场案例库!$A$6:$A$35,0)))&lt;&gt;1,"",INDEX(市场案例库!$H$6:$H$35,MATCH(C154,市场案例库!$A$6:$A$35,0)))))),测算参数!$A$25:$A$31,0)),测算参数!$B$6))</f>
        <v>100</v>
      </c>
      <c r="J154" s="21">
        <f>IF(OR(C154&lt;&gt;N154,COUNT(H154:I154)&lt;&gt;2,H154&lt;=0,I154&lt;=0),"",IF(OR(IF(COUNTIFS(资产清单!$A$6:$A$25,A154)&lt;&gt;1,"",IF(INDEX(资产清单!$H$6:$H$25,MATCH(A154,资产清单!$A$6:$A$25,0))="","",INDEX(资产清单!$H$6:$H$25,MATCH(A154,资产清单!$A$6:$A$25,0))))="商业",IF(COUNTIFS(资产清单!$A$6:$A$25,A154)&lt;&gt;1,"",IF(INDEX(资产清单!$H$6:$H$25,MATCH(A154,资产清单!$A$6:$A$25,0))="","",INDEX(资产清单!$H$6:$H$25,MATCH(A154,资产清单!$A$6:$A$25,0))))="办公",IF(COUNTIFS(资产清单!$A$6:$A$25,A154)&lt;&gt;1,"",IF(INDEX(资产清单!$H$6:$H$25,MATCH(A154,资产清单!$A$6:$A$25,0))="","",INDEX(资产清单!$H$6:$H$25,MATCH(A154,资产清单!$A$6:$A$25,0))))="住宅"),H154/I154,H154/H154))</f>
        <v>1</v>
      </c>
      <c r="K154" s="16" t="s">
        <v>235</v>
      </c>
      <c r="L154" s="16" t="s">
        <v>218</v>
      </c>
      <c r="M154" s="16" t="str">
        <f t="shared" si="18"/>
        <v>模拟评分记录完整</v>
      </c>
      <c r="N154" s="8" t="s">
        <v>158</v>
      </c>
    </row>
    <row r="155" spans="1:14" ht="46.05" customHeight="1">
      <c r="A155" s="16" t="s">
        <v>76</v>
      </c>
      <c r="B155" s="16">
        <v>1</v>
      </c>
      <c r="C155" s="17" t="str">
        <f>三案例选用!B9</f>
        <v>SC-007</v>
      </c>
      <c r="D155" s="16" t="s">
        <v>219</v>
      </c>
      <c r="E155" s="17" t="str">
        <f>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"适用","不适用采用100/100")</f>
        <v>适用</v>
      </c>
      <c r="F155" s="17">
        <f>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IF(COUNTIFS(资产清单!$A$6:$A$25,A155)&lt;&gt;1,"",IF(COUNT(INDEX(资产清单!$L$6:$L$25,MATCH(A155,资产清单!$A$6:$A$25,0)))&lt;&gt;1,"",INDEX(资产清单!$L$6:$L$25,MATCH(A155,资产清单!$A$6:$A$25,0)))),"不适用")</f>
        <v>38</v>
      </c>
      <c r="G155" s="17">
        <f>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IF(COUNTIFS(市场案例库!$A$6:$A$35,C155)&lt;&gt;1,"",IF(COUNT(INDEX(市场案例库!$G$6:$G$35,MATCH(C155,市场案例库!$A$6:$A$35,0)))&lt;&gt;1,"",INDEX(市场案例库!$G$6:$G$35,MATCH(C155,市场案例库!$A$6:$A$35,0)))),"不适用")</f>
        <v>35</v>
      </c>
      <c r="H155" s="19">
        <f>测算参数!$B$6</f>
        <v>100</v>
      </c>
      <c r="I155" s="19">
        <f>IF(OR(COUNTIFS(市场案例库!$A$6:$A$35,C155)&lt;&gt;1,AND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OR(COUNT(IF(COUNTIFS(资产清单!$A$6:$A$25,A155)&lt;&gt;1,"",IF(COUNT(INDEX(资产清单!$L$6:$L$25,MATCH(A155,资产清单!$A$6:$A$25,0)))&lt;&gt;1,"",INDEX(资产清单!$L$6:$L$25,MATCH(A155,资产清单!$A$6:$A$25,0)))),IF(COUNTIFS(市场案例库!$A$6:$A$35,C155)&lt;&gt;1,"",IF(COUNT(INDEX(市场案例库!$G$6:$G$35,MATCH(C155,市场案例库!$A$6:$A$35,0)))&lt;&gt;1,"",INDEX(市场案例库!$G$6:$G$35,MATCH(C155,市场案例库!$A$6:$A$35,0)))))&lt;&gt;2,IF(COUNTIFS(资产清单!$A$6:$A$25,A155)&lt;&gt;1,"",IF(COUNT(INDEX(资产清单!$L$6:$L$25,MATCH(A155,资产清单!$A$6:$A$25,0)))&lt;&gt;1,"",INDEX(资产清单!$L$6:$L$25,MATCH(A155,资产清单!$A$6:$A$25,0))))&lt;=0,IF(COUNTIFS(市场案例库!$A$6:$A$35,C155)&lt;&gt;1,"",IF(COUNT(INDEX(市场案例库!$G$6:$G$35,MATCH(C155,市场案例库!$A$6:$A$35,0)))&lt;&gt;1,"",INDEX(市场案例库!$G$6:$G$35,MATCH(C155,市场案例库!$A$6:$A$35,0))))&lt;=0))),"",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LOOKUP(IF(COUNTIFS(市场案例库!$A$6:$A$35,C155)&lt;&gt;1,"",IF(COUNT(INDEX(市场案例库!$G$6:$G$35,MATCH(C155,市场案例库!$A$6:$A$35,0)))&lt;&gt;1,"",INDEX(市场案例库!$G$6:$G$35,MATCH(C155,市场案例库!$A$6:$A$35,0))))/IF(COUNTIFS(资产清单!$A$6:$A$25,A155)&lt;&gt;1,"",IF(COUNT(INDEX(资产清单!$L$6:$L$25,MATCH(A155,资产清单!$A$6:$A$25,0)))&lt;&gt;1,"",INDEX(资产清单!$L$6:$L$25,MATCH(A155,资产清单!$A$6:$A$25,0)))),测算参数!$A$15:$A$21,测算参数!$C$15:$C$21),测算参数!$B$6))</f>
        <v>100</v>
      </c>
      <c r="J155" s="21">
        <f>IF(OR(C155&lt;&gt;N155,COUNT(H155:I155)&lt;&gt;2,H155&lt;=0,I155&lt;=0),"",IF(AND(IF(COUNTIFS(资产清单!$A$6:$A$25,A155)&lt;&gt;1,"",IF(INDEX(资产清单!$J$6:$J$25,MATCH(A155,资产清单!$A$6:$A$25,0))="","",INDEX(资产清单!$J$6:$J$25,MATCH(A155,资产清单!$A$6:$A$25,0))))="元/㎡/月",IF(COUNTIFS(资产清单!$A$6:$A$25,A155)&lt;&gt;1,"",IF(INDEX(资产清单!$H$6:$H$25,MATCH(A155,资产清单!$A$6:$A$25,0))="","",INDEX(资产清单!$H$6:$H$25,MATCH(A155,资产清单!$A$6:$A$25,0))))&lt;&gt;"场地"),H155/I155,H155/H155))</f>
        <v>1</v>
      </c>
      <c r="K155" s="16" t="s">
        <v>235</v>
      </c>
      <c r="L155" s="16" t="s">
        <v>220</v>
      </c>
      <c r="M155" s="16" t="str">
        <f t="shared" si="18"/>
        <v>模拟评分记录完整</v>
      </c>
      <c r="N155" s="8" t="s">
        <v>158</v>
      </c>
    </row>
    <row r="156" spans="1:14" ht="46.05" customHeight="1">
      <c r="A156" s="16" t="s">
        <v>76</v>
      </c>
      <c r="B156" s="16">
        <v>1</v>
      </c>
      <c r="C156" s="17" t="str">
        <f>三案例选用!B9</f>
        <v>SC-007</v>
      </c>
      <c r="D156" s="16" t="s">
        <v>221</v>
      </c>
      <c r="E156" s="16" t="str">
        <f t="shared" ref="E156:E161" si="21">IF(TRUE,"适用","不适用采用100/100")</f>
        <v>适用</v>
      </c>
      <c r="F156" s="17" t="str">
        <f>IF(TRUE,IF(COUNTIFS(资产清单!$A$6:$A$25,A156)&lt;&gt;1,"",IF(INDEX(资产清单!$I$6:$I$25,MATCH(A156,资产清单!$A$6:$A$25,0))="","",INDEX(资产清单!$I$6:$I$25,MATCH(A156,资产清单!$A$6:$A$25,0)))),"不适用")</f>
        <v>内部通道商铺</v>
      </c>
      <c r="G156" s="17" t="str">
        <f>IF(TRUE,IF(COUNTIFS(市场案例库!$A$6:$A$35,C156)&lt;&gt;1,"",IF(INDEX(市场案例库!$O$6:$O$35,MATCH(C156,市场案例库!$A$6:$A$35,0))="","",INDEX(市场案例库!$O$6:$O$35,MATCH(C156,市场案例库!$A$6:$A$35,0)))),"不适用")</f>
        <v>临街商铺</v>
      </c>
      <c r="H156" s="19">
        <f>测算参数!$B$6</f>
        <v>100</v>
      </c>
      <c r="I156" s="10">
        <v>100</v>
      </c>
      <c r="J156" s="20">
        <f t="shared" ref="J156:J161" si="22">IF(OR(C156&lt;&gt;N156,COUNT(H156:I156)&lt;&gt;2,H156&lt;=0,I156&lt;=0),"",IF(TRUE,H156/I156,H156/H156))</f>
        <v>1</v>
      </c>
      <c r="K156" s="16" t="s">
        <v>235</v>
      </c>
      <c r="L156" s="16" t="s">
        <v>215</v>
      </c>
      <c r="M156" s="16" t="str">
        <f t="shared" si="18"/>
        <v>模拟评分记录完整</v>
      </c>
      <c r="N156" s="8" t="s">
        <v>158</v>
      </c>
    </row>
    <row r="157" spans="1:14" ht="46.05" customHeight="1">
      <c r="A157" s="16" t="s">
        <v>76</v>
      </c>
      <c r="B157" s="16">
        <v>1</v>
      </c>
      <c r="C157" s="17" t="str">
        <f>三案例选用!B9</f>
        <v>SC-007</v>
      </c>
      <c r="D157" s="16" t="s">
        <v>222</v>
      </c>
      <c r="E157" s="16" t="str">
        <f t="shared" si="21"/>
        <v>适用</v>
      </c>
      <c r="F157" s="17" t="str">
        <f>IF(TRUE,IF(COUNTIFS(资产清单!$A$6:$A$25,A157)&lt;&gt;1,"",IF(INDEX(资产清单!$I$6:$I$25,MATCH(A157,资产清单!$A$6:$A$25,0))="","",INDEX(资产清单!$I$6:$I$25,MATCH(A157,资产清单!$A$6:$A$25,0)))),"不适用")</f>
        <v>内部通道商铺</v>
      </c>
      <c r="G157" s="17" t="str">
        <f>IF(TRUE,IF(COUNTIFS(市场案例库!$A$6:$A$35,C157)&lt;&gt;1,"",IF(INDEX(市场案例库!$O$6:$O$35,MATCH(C157,市场案例库!$A$6:$A$35,0))="","",INDEX(市场案例库!$O$6:$O$35,MATCH(C157,市场案例库!$A$6:$A$35,0)))),"不适用")</f>
        <v>临街商铺</v>
      </c>
      <c r="H157" s="19">
        <f>测算参数!$B$6</f>
        <v>100</v>
      </c>
      <c r="I157" s="10">
        <v>100</v>
      </c>
      <c r="J157" s="20">
        <f t="shared" si="22"/>
        <v>1</v>
      </c>
      <c r="K157" s="16" t="s">
        <v>235</v>
      </c>
      <c r="L157" s="16" t="s">
        <v>215</v>
      </c>
      <c r="M157" s="16" t="str">
        <f t="shared" si="18"/>
        <v>模拟评分记录完整</v>
      </c>
      <c r="N157" s="8" t="s">
        <v>158</v>
      </c>
    </row>
    <row r="158" spans="1:14" ht="46.05" customHeight="1">
      <c r="A158" s="16" t="s">
        <v>76</v>
      </c>
      <c r="B158" s="16">
        <v>1</v>
      </c>
      <c r="C158" s="17" t="str">
        <f>三案例选用!B9</f>
        <v>SC-007</v>
      </c>
      <c r="D158" s="16" t="s">
        <v>224</v>
      </c>
      <c r="E158" s="16" t="str">
        <f t="shared" si="21"/>
        <v>适用</v>
      </c>
      <c r="F158" s="17" t="str">
        <f>IF(TRUE,IF(COUNTIFS(资产清单!$A$6:$A$25,A158)&lt;&gt;1,"",IF(INDEX(资产清单!$I$6:$I$25,MATCH(A158,资产清单!$A$6:$A$25,0))="","",INDEX(资产清单!$I$6:$I$25,MATCH(A158,资产清单!$A$6:$A$25,0)))),"不适用")</f>
        <v>内部通道商铺</v>
      </c>
      <c r="G158" s="17" t="str">
        <f>IF(TRUE,IF(COUNTIFS(市场案例库!$A$6:$A$35,C158)&lt;&gt;1,"",IF(INDEX(市场案例库!$O$6:$O$35,MATCH(C158,市场案例库!$A$6:$A$35,0))="","",INDEX(市场案例库!$O$6:$O$35,MATCH(C158,市场案例库!$A$6:$A$35,0)))),"不适用")</f>
        <v>临街商铺</v>
      </c>
      <c r="H158" s="19">
        <f>测算参数!$B$6</f>
        <v>100</v>
      </c>
      <c r="I158" s="10">
        <v>100</v>
      </c>
      <c r="J158" s="20">
        <f t="shared" si="22"/>
        <v>1</v>
      </c>
      <c r="K158" s="16" t="s">
        <v>235</v>
      </c>
      <c r="L158" s="16" t="s">
        <v>215</v>
      </c>
      <c r="M158" s="16" t="str">
        <f t="shared" si="18"/>
        <v>模拟评分记录完整</v>
      </c>
      <c r="N158" s="8" t="s">
        <v>158</v>
      </c>
    </row>
    <row r="159" spans="1:14" ht="46.05" customHeight="1">
      <c r="A159" s="16" t="s">
        <v>76</v>
      </c>
      <c r="B159" s="16">
        <v>1</v>
      </c>
      <c r="C159" s="17" t="str">
        <f>三案例选用!B9</f>
        <v>SC-007</v>
      </c>
      <c r="D159" s="16" t="s">
        <v>225</v>
      </c>
      <c r="E159" s="16" t="str">
        <f t="shared" si="21"/>
        <v>适用</v>
      </c>
      <c r="F159" s="17" t="str">
        <f>IF(TRUE,IF(COUNTIFS(资产清单!$A$6:$A$25,A159)&lt;&gt;1,"",IF(INDEX(资产清单!$I$6:$I$25,MATCH(A159,资产清单!$A$6:$A$25,0))="","",INDEX(资产清单!$I$6:$I$25,MATCH(A159,资产清单!$A$6:$A$25,0)))),"不适用")</f>
        <v>内部通道商铺</v>
      </c>
      <c r="G159" s="17" t="str">
        <f>IF(TRUE,IF(COUNTIFS(市场案例库!$A$6:$A$35,C159)&lt;&gt;1,"",IF(INDEX(市场案例库!$O$6:$O$35,MATCH(C159,市场案例库!$A$6:$A$35,0))="","",INDEX(市场案例库!$O$6:$O$35,MATCH(C159,市场案例库!$A$6:$A$35,0)))),"不适用")</f>
        <v>临街商铺</v>
      </c>
      <c r="H159" s="19">
        <f>测算参数!$B$6</f>
        <v>100</v>
      </c>
      <c r="I159" s="10">
        <v>100</v>
      </c>
      <c r="J159" s="20">
        <f t="shared" si="22"/>
        <v>1</v>
      </c>
      <c r="K159" s="16" t="s">
        <v>235</v>
      </c>
      <c r="L159" s="16" t="s">
        <v>215</v>
      </c>
      <c r="M159" s="16" t="str">
        <f t="shared" si="18"/>
        <v>模拟评分记录完整</v>
      </c>
      <c r="N159" s="8" t="s">
        <v>158</v>
      </c>
    </row>
    <row r="160" spans="1:14" ht="46.05" customHeight="1">
      <c r="A160" s="16" t="s">
        <v>76</v>
      </c>
      <c r="B160" s="16">
        <v>1</v>
      </c>
      <c r="C160" s="17" t="str">
        <f>三案例选用!B9</f>
        <v>SC-007</v>
      </c>
      <c r="D160" s="16" t="s">
        <v>226</v>
      </c>
      <c r="E160" s="16" t="str">
        <f t="shared" si="21"/>
        <v>适用</v>
      </c>
      <c r="F160" s="17" t="str">
        <f>IF(TRUE,IF(COUNTIFS(资产清单!$A$6:$A$25,A160)&lt;&gt;1,"",IF(INDEX(资产清单!$I$6:$I$25,MATCH(A160,资产清单!$A$6:$A$25,0))="","",INDEX(资产清单!$I$6:$I$25,MATCH(A160,资产清单!$A$6:$A$25,0)))),"不适用")</f>
        <v>内部通道商铺</v>
      </c>
      <c r="G160" s="17" t="str">
        <f>IF(TRUE,IF(COUNTIFS(市场案例库!$A$6:$A$35,C160)&lt;&gt;1,"",IF(INDEX(市场案例库!$O$6:$O$35,MATCH(C160,市场案例库!$A$6:$A$35,0))="","",INDEX(市场案例库!$O$6:$O$35,MATCH(C160,市场案例库!$A$6:$A$35,0)))),"不适用")</f>
        <v>临街商铺</v>
      </c>
      <c r="H160" s="19">
        <f>测算参数!$B$6</f>
        <v>100</v>
      </c>
      <c r="I160" s="10">
        <v>100</v>
      </c>
      <c r="J160" s="20">
        <f t="shared" si="22"/>
        <v>1</v>
      </c>
      <c r="K160" s="16" t="s">
        <v>235</v>
      </c>
      <c r="L160" s="16" t="s">
        <v>215</v>
      </c>
      <c r="M160" s="16" t="str">
        <f t="shared" si="18"/>
        <v>模拟评分记录完整</v>
      </c>
      <c r="N160" s="8" t="s">
        <v>158</v>
      </c>
    </row>
    <row r="161" spans="1:14" ht="46.05" customHeight="1">
      <c r="A161" s="16" t="s">
        <v>76</v>
      </c>
      <c r="B161" s="16">
        <v>1</v>
      </c>
      <c r="C161" s="17" t="str">
        <f>三案例选用!B9</f>
        <v>SC-007</v>
      </c>
      <c r="D161" s="16" t="s">
        <v>227</v>
      </c>
      <c r="E161" s="16" t="str">
        <f t="shared" si="21"/>
        <v>适用</v>
      </c>
      <c r="F161" s="17" t="str">
        <f>IF(TRUE,IF(COUNTIFS(资产清单!$A$6:$A$25,A161)&lt;&gt;1,"",IF(INDEX(资产清单!$I$6:$I$25,MATCH(A161,资产清单!$A$6:$A$25,0))="","",INDEX(资产清单!$I$6:$I$25,MATCH(A161,资产清单!$A$6:$A$25,0)))),"不适用")</f>
        <v>内部通道商铺</v>
      </c>
      <c r="G161" s="17" t="str">
        <f>IF(TRUE,IF(COUNTIFS(市场案例库!$A$6:$A$35,C161)&lt;&gt;1,"",IF(INDEX(市场案例库!$O$6:$O$35,MATCH(C161,市场案例库!$A$6:$A$35,0))="","",INDEX(市场案例库!$O$6:$O$35,MATCH(C161,市场案例库!$A$6:$A$35,0)))),"不适用")</f>
        <v>临街商铺</v>
      </c>
      <c r="H161" s="19">
        <f>测算参数!$B$6</f>
        <v>100</v>
      </c>
      <c r="I161" s="10">
        <v>100</v>
      </c>
      <c r="J161" s="20">
        <f t="shared" si="22"/>
        <v>1</v>
      </c>
      <c r="K161" s="16" t="s">
        <v>235</v>
      </c>
      <c r="L161" s="16" t="s">
        <v>215</v>
      </c>
      <c r="M161" s="16" t="str">
        <f t="shared" si="18"/>
        <v>模拟评分记录完整</v>
      </c>
      <c r="N161" s="8" t="s">
        <v>158</v>
      </c>
    </row>
    <row r="162" spans="1:14" ht="46.05" customHeight="1">
      <c r="A162" s="16" t="s">
        <v>76</v>
      </c>
      <c r="B162" s="16">
        <v>1</v>
      </c>
      <c r="C162" s="17" t="str">
        <f>三案例选用!B9</f>
        <v>SC-007</v>
      </c>
      <c r="D162" s="16" t="s">
        <v>228</v>
      </c>
      <c r="E162" s="17" t="str">
        <f>IF(AND(IF(COUNTIFS(资产清单!$A$6:$A$25,A162)&lt;&gt;1,"",IF(INDEX(资产清单!$H$6:$H$25,MATCH(A162,资产清单!$A$6:$A$25,0))="","",INDEX(资产清单!$H$6:$H$25,MATCH(A162,资产清单!$A$6:$A$25,0))))&lt;&gt;"场地",IF(COUNTIFS(资产清单!$A$6:$A$25,A162)&lt;&gt;1,"",IF(INDEX(资产清单!$H$6:$H$25,MATCH(A162,资产清单!$A$6:$A$25,0))="","",INDEX(资产清单!$H$6:$H$25,MATCH(A162,资产清单!$A$6:$A$25,0))))&lt;&gt;"车位",IF(COUNTIFS(资产清单!$A$6:$A$25,A162)&lt;&gt;1,"",IF(INDEX(资产清单!$H$6:$H$25,MATCH(A162,资产清单!$A$6:$A$25,0))="","",INDEX(资产清单!$H$6:$H$25,MATCH(A162,资产清单!$A$6:$A$25,0))))&lt;&gt;"通信基站"),"适用","不适用采用100/100")</f>
        <v>适用</v>
      </c>
      <c r="F162" s="17" t="str">
        <f>IF(AND(IF(COUNTIFS(资产清单!$A$6:$A$25,A162)&lt;&gt;1,"",IF(INDEX(资产清单!$H$6:$H$25,MATCH(A162,资产清单!$A$6:$A$25,0))="","",INDEX(资产清单!$H$6:$H$25,MATCH(A162,资产清单!$A$6:$A$25,0))))&lt;&gt;"场地",IF(COUNTIFS(资产清单!$A$6:$A$25,A162)&lt;&gt;1,"",IF(INDEX(资产清单!$H$6:$H$25,MATCH(A162,资产清单!$A$6:$A$25,0))="","",INDEX(资产清单!$H$6:$H$25,MATCH(A162,资产清单!$A$6:$A$25,0))))&lt;&gt;"车位",IF(COUNTIFS(资产清单!$A$6:$A$25,A162)&lt;&gt;1,"",IF(INDEX(资产清单!$H$6:$H$25,MATCH(A162,资产清单!$A$6:$A$25,0))="","",INDEX(资产清单!$H$6:$H$25,MATCH(A162,资产清单!$A$6:$A$25,0))))&lt;&gt;"通信基站"),IF(COUNTIFS(资产清单!$A$6:$A$25,A162)&lt;&gt;1,"",IF(INDEX(资产清单!$I$6:$I$25,MATCH(A162,资产清单!$A$6:$A$25,0))="","",INDEX(资产清单!$I$6:$I$25,MATCH(A162,资产清单!$A$6:$A$25,0)))),"不适用")</f>
        <v>内部通道商铺</v>
      </c>
      <c r="G162" s="17" t="str">
        <f>IF(AND(IF(COUNTIFS(资产清单!$A$6:$A$25,A162)&lt;&gt;1,"",IF(INDEX(资产清单!$H$6:$H$25,MATCH(A162,资产清单!$A$6:$A$25,0))="","",INDEX(资产清单!$H$6:$H$25,MATCH(A162,资产清单!$A$6:$A$25,0))))&lt;&gt;"场地",IF(COUNTIFS(资产清单!$A$6:$A$25,A162)&lt;&gt;1,"",IF(INDEX(资产清单!$H$6:$H$25,MATCH(A162,资产清单!$A$6:$A$25,0))="","",INDEX(资产清单!$H$6:$H$25,MATCH(A162,资产清单!$A$6:$A$25,0))))&lt;&gt;"车位",IF(COUNTIFS(资产清单!$A$6:$A$25,A162)&lt;&gt;1,"",IF(INDEX(资产清单!$H$6:$H$25,MATCH(A162,资产清单!$A$6:$A$25,0))="","",INDEX(资产清单!$H$6:$H$25,MATCH(A162,资产清单!$A$6:$A$25,0))))&lt;&gt;"通信基站"),IF(COUNTIFS(市场案例库!$A$6:$A$35,C162)&lt;&gt;1,"",IF(INDEX(市场案例库!$O$6:$O$35,MATCH(C162,市场案例库!$A$6:$A$35,0))="","",INDEX(市场案例库!$O$6:$O$35,MATCH(C162,市场案例库!$A$6:$A$35,0)))),"不适用")</f>
        <v>临街商铺</v>
      </c>
      <c r="H162" s="19">
        <f>测算参数!$B$6</f>
        <v>100</v>
      </c>
      <c r="I162" s="10">
        <v>100</v>
      </c>
      <c r="J162" s="21">
        <f>IF(OR(C162&lt;&gt;N162,COUNT(H162:I162)&lt;&gt;2,H162&lt;=0,I162&lt;=0),"",IF(AND(IF(COUNTIFS(资产清单!$A$6:$A$25,A162)&lt;&gt;1,"",IF(INDEX(资产清单!$H$6:$H$25,MATCH(A162,资产清单!$A$6:$A$25,0))="","",INDEX(资产清单!$H$6:$H$25,MATCH(A162,资产清单!$A$6:$A$25,0))))&lt;&gt;"场地",IF(COUNTIFS(资产清单!$A$6:$A$25,A162)&lt;&gt;1,"",IF(INDEX(资产清单!$H$6:$H$25,MATCH(A162,资产清单!$A$6:$A$25,0))="","",INDEX(资产清单!$H$6:$H$25,MATCH(A162,资产清单!$A$6:$A$25,0))))&lt;&gt;"车位",IF(COUNTIFS(资产清单!$A$6:$A$25,A162)&lt;&gt;1,"",IF(INDEX(资产清单!$H$6:$H$25,MATCH(A162,资产清单!$A$6:$A$25,0))="","",INDEX(资产清单!$H$6:$H$25,MATCH(A162,资产清单!$A$6:$A$25,0))))&lt;&gt;"通信基站"),H162/I162,H162/H162))</f>
        <v>1</v>
      </c>
      <c r="K162" s="16" t="s">
        <v>235</v>
      </c>
      <c r="L162" s="16" t="s">
        <v>215</v>
      </c>
      <c r="M162" s="16" t="str">
        <f t="shared" si="18"/>
        <v>模拟评分记录完整</v>
      </c>
      <c r="N162" s="8" t="s">
        <v>158</v>
      </c>
    </row>
    <row r="163" spans="1:14" ht="46.05" customHeight="1">
      <c r="A163" s="16" t="s">
        <v>76</v>
      </c>
      <c r="B163" s="16">
        <v>1</v>
      </c>
      <c r="C163" s="17" t="str">
        <f>三案例选用!B9</f>
        <v>SC-007</v>
      </c>
      <c r="D163" s="16" t="s">
        <v>229</v>
      </c>
      <c r="E163" s="17" t="str">
        <f>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"适用","不适用采用100/100")</f>
        <v>适用</v>
      </c>
      <c r="F163" s="17">
        <f>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IF(COUNTIFS(资产清单!$A$6:$A$25,A163)&lt;&gt;1,"",IF(COUNT(INDEX(资产清单!$N$6:$N$25,MATCH(A163,资产清单!$A$6:$A$25,0)))&lt;&gt;1,"",INDEX(资产清单!$N$6:$N$25,MATCH(A163,资产清单!$A$6:$A$25,0)))),"不适用")</f>
        <v>2</v>
      </c>
      <c r="G163" s="17">
        <f>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IF(COUNTIFS(市场案例库!$A$6:$A$35,C163)&lt;&gt;1,"",IF(COUNT(INDEX(市场案例库!$I$6:$I$35,MATCH(C163,市场案例库!$A$6:$A$35,0)))&lt;&gt;1,"",INDEX(市场案例库!$I$6:$I$35,MATCH(C163,市场案例库!$A$6:$A$35,0)))),"不适用")</f>
        <v>2</v>
      </c>
      <c r="H163" s="19">
        <f>测算参数!$B$6</f>
        <v>100</v>
      </c>
      <c r="I163" s="19">
        <f>IF(OR(COUNTIFS(市场案例库!$A$6:$A$35,C163)&lt;&gt;1,AND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OR(COUNT(IF(COUNTIFS(资产清单!$A$6:$A$25,A163)&lt;&gt;1,"",IF(COUNT(INDEX(资产清单!$N$6:$N$25,MATCH(A163,资产清单!$A$6:$A$25,0)))&lt;&gt;1,"",INDEX(资产清单!$N$6:$N$25,MATCH(A163,资产清单!$A$6:$A$25,0)))),IF(COUNTIFS(市场案例库!$A$6:$A$35,C163)&lt;&gt;1,"",IF(COUNT(INDEX(市场案例库!$I$6:$I$35,MATCH(C163,市场案例库!$A$6:$A$35,0)))&lt;&gt;1,"",INDEX(市场案例库!$I$6:$I$35,MATCH(C163,市场案例库!$A$6:$A$35,0)))))&lt;&gt;2,IF(COUNTIFS(资产清单!$A$6:$A$25,A163)&lt;&gt;1,"",IF(COUNT(INDEX(资产清单!$N$6:$N$25,MATCH(A163,资产清单!$A$6:$A$25,0)))&lt;&gt;1,"",INDEX(资产清单!$N$6:$N$25,MATCH(A163,资产清单!$A$6:$A$25,0))))&lt;1,IF(COUNTIFS(资产清单!$A$6:$A$25,A163)&lt;&gt;1,"",IF(COUNT(INDEX(资产清单!$N$6:$N$25,MATCH(A163,资产清单!$A$6:$A$25,0)))&lt;&gt;1,"",INDEX(资产清单!$N$6:$N$25,MATCH(A163,资产清单!$A$6:$A$25,0))))&gt;4,IF(COUNTIFS(市场案例库!$A$6:$A$35,C163)&lt;&gt;1,"",IF(COUNT(INDEX(市场案例库!$I$6:$I$35,MATCH(C163,市场案例库!$A$6:$A$35,0)))&lt;&gt;1,"",INDEX(市场案例库!$I$6:$I$35,MATCH(C163,市场案例库!$A$6:$A$35,0))))&lt;1,IF(COUNTIFS(市场案例库!$A$6:$A$35,C163)&lt;&gt;1,"",IF(COUNT(INDEX(市场案例库!$I$6:$I$35,MATCH(C163,市场案例库!$A$6:$A$35,0)))&lt;&gt;1,"",INDEX(市场案例库!$I$6:$I$35,MATCH(C163,市场案例库!$A$6:$A$35,0))))&gt;4))),"",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INDEX(测算参数!$B$35:$B$41,MATCH(IF(COUNTIFS(市场案例库!$A$6:$A$35,C163)&lt;&gt;1,"",IF(COUNT(INDEX(市场案例库!$I$6:$I$35,MATCH(C163,市场案例库!$A$6:$A$35,0)))&lt;&gt;1,"",INDEX(市场案例库!$I$6:$I$35,MATCH(C163,市场案例库!$A$6:$A$35,0))))-IF(COUNTIFS(资产清单!$A$6:$A$25,A163)&lt;&gt;1,"",IF(COUNT(INDEX(资产清单!$N$6:$N$25,MATCH(A163,资产清单!$A$6:$A$25,0)))&lt;&gt;1,"",INDEX(资产清单!$N$6:$N$25,MATCH(A163,资产清单!$A$6:$A$25,0)))),测算参数!$A$35:$A$41,0)),测算参数!$B$6))</f>
        <v>100</v>
      </c>
      <c r="J163" s="21">
        <f>IF(OR(C163&lt;&gt;N163,COUNT(H163:I163)&lt;&gt;2,H163&lt;=0,I163&lt;=0),"",IF(AND(IF(COUNTIFS(资产清单!$A$6:$A$25,A163)&lt;&gt;1,"",IF(INDEX(资产清单!$H$6:$H$25,MATCH(A163,资产清单!$A$6:$A$25,0))="","",INDEX(资产清单!$H$6:$H$25,MATCH(A163,资产清单!$A$6:$A$25,0))))&lt;&gt;"场地",IF(COUNTIFS(资产清单!$A$6:$A$25,A163)&lt;&gt;1,"",IF(INDEX(资产清单!$H$6:$H$25,MATCH(A163,资产清单!$A$6:$A$25,0))="","",INDEX(资产清单!$H$6:$H$25,MATCH(A163,资产清单!$A$6:$A$25,0))))&lt;&gt;"车位",IF(COUNTIFS(资产清单!$A$6:$A$25,A163)&lt;&gt;1,"",IF(INDEX(资产清单!$H$6:$H$25,MATCH(A163,资产清单!$A$6:$A$25,0))="","",INDEX(资产清单!$H$6:$H$25,MATCH(A163,资产清单!$A$6:$A$25,0))))&lt;&gt;"通信基站"),H163/I163,H163/H163))</f>
        <v>1</v>
      </c>
      <c r="K163" s="16" t="s">
        <v>235</v>
      </c>
      <c r="L163" s="16" t="s">
        <v>230</v>
      </c>
      <c r="M163" s="16" t="str">
        <f t="shared" si="18"/>
        <v>模拟评分记录完整</v>
      </c>
      <c r="N163" s="8" t="s">
        <v>158</v>
      </c>
    </row>
    <row r="164" spans="1:14" ht="46.05" customHeight="1">
      <c r="A164" s="16" t="s">
        <v>76</v>
      </c>
      <c r="B164" s="16">
        <v>1</v>
      </c>
      <c r="C164" s="17" t="str">
        <f>三案例选用!B9</f>
        <v>SC-007</v>
      </c>
      <c r="D164" s="16" t="s">
        <v>231</v>
      </c>
      <c r="E164" s="17" t="str">
        <f>IF(AND(IF(COUNTIFS(资产清单!$A$6:$A$25,A164)&lt;&gt;1,"",IF(INDEX(资产清单!$H$6:$H$25,MATCH(A164,资产清单!$A$6:$A$25,0))="","",INDEX(资产清单!$H$6:$H$25,MATCH(A164,资产清单!$A$6:$A$25,0))))&lt;&gt;"场地",IF(COUNTIFS(资产清单!$A$6:$A$25,A164)&lt;&gt;1,"",IF(INDEX(资产清单!$H$6:$H$25,MATCH(A164,资产清单!$A$6:$A$25,0))="","",INDEX(资产清单!$H$6:$H$25,MATCH(A164,资产清单!$A$6:$A$25,0))))&lt;&gt;"车位",IF(COUNTIFS(资产清单!$A$6:$A$25,A164)&lt;&gt;1,"",IF(INDEX(资产清单!$H$6:$H$25,MATCH(A164,资产清单!$A$6:$A$25,0))="","",INDEX(资产清单!$H$6:$H$25,MATCH(A164,资产清单!$A$6:$A$25,0))))&lt;&gt;"通信基站"),"适用","不适用采用100/100")</f>
        <v>适用</v>
      </c>
      <c r="F164" s="17" t="str">
        <f>IF(AND(IF(COUNTIFS(资产清单!$A$6:$A$25,A164)&lt;&gt;1,"",IF(INDEX(资产清单!$H$6:$H$25,MATCH(A164,资产清单!$A$6:$A$25,0))="","",INDEX(资产清单!$H$6:$H$25,MATCH(A164,资产清单!$A$6:$A$25,0))))&lt;&gt;"场地",IF(COUNTIFS(资产清单!$A$6:$A$25,A164)&lt;&gt;1,"",IF(INDEX(资产清单!$H$6:$H$25,MATCH(A164,资产清单!$A$6:$A$25,0))="","",INDEX(资产清单!$H$6:$H$25,MATCH(A164,资产清单!$A$6:$A$25,0))))&lt;&gt;"车位",IF(COUNTIFS(资产清单!$A$6:$A$25,A164)&lt;&gt;1,"",IF(INDEX(资产清单!$H$6:$H$25,MATCH(A164,资产清单!$A$6:$A$25,0))="","",INDEX(资产清单!$H$6:$H$25,MATCH(A164,资产清单!$A$6:$A$25,0))))&lt;&gt;"通信基站"),IF(COUNTIFS(资产清单!$A$6:$A$25,A164)&lt;&gt;1,"",IF(INDEX(资产清单!$I$6:$I$25,MATCH(A164,资产清单!$A$6:$A$25,0))="","",INDEX(资产清单!$I$6:$I$25,MATCH(A164,资产清单!$A$6:$A$25,0)))),"不适用")</f>
        <v>内部通道商铺</v>
      </c>
      <c r="G164" s="17" t="str">
        <f>IF(AND(IF(COUNTIFS(资产清单!$A$6:$A$25,A164)&lt;&gt;1,"",IF(INDEX(资产清单!$H$6:$H$25,MATCH(A164,资产清单!$A$6:$A$25,0))="","",INDEX(资产清单!$H$6:$H$25,MATCH(A164,资产清单!$A$6:$A$25,0))))&lt;&gt;"场地",IF(COUNTIFS(资产清单!$A$6:$A$25,A164)&lt;&gt;1,"",IF(INDEX(资产清单!$H$6:$H$25,MATCH(A164,资产清单!$A$6:$A$25,0))="","",INDEX(资产清单!$H$6:$H$25,MATCH(A164,资产清单!$A$6:$A$25,0))))&lt;&gt;"车位",IF(COUNTIFS(资产清单!$A$6:$A$25,A164)&lt;&gt;1,"",IF(INDEX(资产清单!$H$6:$H$25,MATCH(A164,资产清单!$A$6:$A$25,0))="","",INDEX(资产清单!$H$6:$H$25,MATCH(A164,资产清单!$A$6:$A$25,0))))&lt;&gt;"通信基站"),IF(COUNTIFS(市场案例库!$A$6:$A$35,C164)&lt;&gt;1,"",IF(INDEX(市场案例库!$O$6:$O$35,MATCH(C164,市场案例库!$A$6:$A$35,0))="","",INDEX(市场案例库!$O$6:$O$35,MATCH(C164,市场案例库!$A$6:$A$35,0)))),"不适用")</f>
        <v>临街商铺</v>
      </c>
      <c r="H164" s="19">
        <f>测算参数!$B$6</f>
        <v>100</v>
      </c>
      <c r="I164" s="10">
        <v>100</v>
      </c>
      <c r="J164" s="21">
        <f>IF(OR(C164&lt;&gt;N164,COUNT(H164:I164)&lt;&gt;2,H164&lt;=0,I164&lt;=0),"",IF(AND(IF(COUNTIFS(资产清单!$A$6:$A$25,A164)&lt;&gt;1,"",IF(INDEX(资产清单!$H$6:$H$25,MATCH(A164,资产清单!$A$6:$A$25,0))="","",INDEX(资产清单!$H$6:$H$25,MATCH(A164,资产清单!$A$6:$A$25,0))))&lt;&gt;"场地",IF(COUNTIFS(资产清单!$A$6:$A$25,A164)&lt;&gt;1,"",IF(INDEX(资产清单!$H$6:$H$25,MATCH(A164,资产清单!$A$6:$A$25,0))="","",INDEX(资产清单!$H$6:$H$25,MATCH(A164,资产清单!$A$6:$A$25,0))))&lt;&gt;"车位",IF(COUNTIFS(资产清单!$A$6:$A$25,A164)&lt;&gt;1,"",IF(INDEX(资产清单!$H$6:$H$25,MATCH(A164,资产清单!$A$6:$A$25,0))="","",INDEX(资产清单!$H$6:$H$25,MATCH(A164,资产清单!$A$6:$A$25,0))))&lt;&gt;"通信基站"),H164/I164,H164/H164))</f>
        <v>1</v>
      </c>
      <c r="K164" s="16" t="s">
        <v>235</v>
      </c>
      <c r="L164" s="16" t="s">
        <v>215</v>
      </c>
      <c r="M164" s="16" t="str">
        <f t="shared" si="18"/>
        <v>模拟评分记录完整</v>
      </c>
      <c r="N164" s="8" t="s">
        <v>158</v>
      </c>
    </row>
    <row r="165" spans="1:14" ht="46.05" customHeight="1">
      <c r="A165" s="16" t="s">
        <v>76</v>
      </c>
      <c r="B165" s="16">
        <v>1</v>
      </c>
      <c r="C165" s="17" t="str">
        <f>三案例选用!B9</f>
        <v>SC-007</v>
      </c>
      <c r="D165" s="16" t="s">
        <v>232</v>
      </c>
      <c r="E165" s="16" t="str">
        <f>IF(TRUE,"适用","不适用采用100/100")</f>
        <v>适用</v>
      </c>
      <c r="F165" s="17" t="str">
        <f>IF(TRUE,IF(COUNTIFS(资产清单!$A$6:$A$25,A165)&lt;&gt;1,"",IF(INDEX(资产清单!$I$6:$I$25,MATCH(A165,资产清单!$A$6:$A$25,0))="","",INDEX(资产清单!$I$6:$I$25,MATCH(A165,资产清单!$A$6:$A$25,0)))),"不适用")</f>
        <v>内部通道商铺</v>
      </c>
      <c r="G165" s="17" t="str">
        <f>IF(TRUE,IF(COUNTIFS(市场案例库!$A$6:$A$35,C165)&lt;&gt;1,"",IF(INDEX(市场案例库!$O$6:$O$35,MATCH(C165,市场案例库!$A$6:$A$35,0))="","",INDEX(市场案例库!$O$6:$O$35,MATCH(C165,市场案例库!$A$6:$A$35,0)))),"不适用")</f>
        <v>临街商铺</v>
      </c>
      <c r="H165" s="19">
        <f>测算参数!$B$6</f>
        <v>100</v>
      </c>
      <c r="I165" s="10">
        <v>105</v>
      </c>
      <c r="J165" s="20">
        <f>IF(OR(C165&lt;&gt;N165,COUNT(H165:I165)&lt;&gt;2,H165&lt;=0,I165&lt;=0),"",IF(TRUE,H165/I165,H165/H165))</f>
        <v>0.95238095238095233</v>
      </c>
      <c r="K165" s="16" t="s">
        <v>235</v>
      </c>
      <c r="L165" s="16" t="s">
        <v>236</v>
      </c>
      <c r="M165" s="16" t="str">
        <f t="shared" si="18"/>
        <v>模拟评分记录完整</v>
      </c>
      <c r="N165" s="8" t="s">
        <v>158</v>
      </c>
    </row>
    <row r="166" spans="1:14" ht="46.05" customHeight="1">
      <c r="A166" s="16" t="s">
        <v>76</v>
      </c>
      <c r="B166" s="16">
        <v>2</v>
      </c>
      <c r="C166" s="17" t="str">
        <f>三案例选用!C9</f>
        <v>SC-008</v>
      </c>
      <c r="D166" s="16" t="s">
        <v>209</v>
      </c>
      <c r="E166" s="16" t="str">
        <f>IF(TRUE,"适用","不适用采用100/100")</f>
        <v>适用</v>
      </c>
      <c r="F166" s="17" t="str">
        <f>IF(TRUE,IF(COUNTIFS(资产清单!$A$6:$A$25,A166)&lt;&gt;1,"",IF(INDEX(资产清单!$I$6:$I$25,MATCH(A166,资产清单!$A$6:$A$25,0))="","",INDEX(资产清单!$I$6:$I$25,MATCH(A166,资产清单!$A$6:$A$25,0)))),"不适用")</f>
        <v>内部通道商铺</v>
      </c>
      <c r="G166" s="17" t="str">
        <f>IF(TRUE,IF(COUNTIFS(市场案例库!$A$6:$A$35,C166)&lt;&gt;1,"",IF(INDEX(市场案例库!$O$6:$O$35,MATCH(C166,市场案例库!$A$6:$A$35,0))="","",INDEX(市场案例库!$O$6:$O$35,MATCH(C166,市场案例库!$A$6:$A$35,0)))),"不适用")</f>
        <v>临街商铺</v>
      </c>
      <c r="H166" s="19">
        <f>测算参数!$B$6</f>
        <v>100</v>
      </c>
      <c r="I166" s="19">
        <f>IF(OR(COUNTIFS(市场案例库!$A$6:$A$35,C166)&lt;&gt;1),"",IF(COUNTIFS(市场案例库!$A$6:$A$35,C166)&lt;&gt;1,"",IF(COUNT(INDEX(市场案例库!$M$6:$M$35,MATCH(C166,市场案例库!$A$6:$A$35,0)))&lt;&gt;1,"",INDEX(市场案例库!$M$6:$M$35,MATCH(C166,市场案例库!$A$6:$A$35,0)))))</f>
        <v>102</v>
      </c>
      <c r="J166" s="20">
        <f>IF(OR(C166&lt;&gt;N166,COUNT(H166:I166)&lt;&gt;2,H166&lt;=0,I166&lt;=0),"",IF(TRUE,H166/I166,H166/H166))</f>
        <v>0.98039215686274506</v>
      </c>
      <c r="K166" s="16" t="s">
        <v>235</v>
      </c>
      <c r="L166" s="16" t="s">
        <v>211</v>
      </c>
      <c r="M166" s="16" t="str">
        <f t="shared" si="18"/>
        <v>模拟评分记录完整</v>
      </c>
      <c r="N166" s="8" t="s">
        <v>159</v>
      </c>
    </row>
    <row r="167" spans="1:14" ht="46.05" customHeight="1">
      <c r="A167" s="16" t="s">
        <v>76</v>
      </c>
      <c r="B167" s="16">
        <v>2</v>
      </c>
      <c r="C167" s="17" t="str">
        <f>三案例选用!C9</f>
        <v>SC-008</v>
      </c>
      <c r="D167" s="16" t="s">
        <v>212</v>
      </c>
      <c r="E167" s="16" t="str">
        <f>IF(TRUE,"适用","不适用采用100/100")</f>
        <v>适用</v>
      </c>
      <c r="F167" s="17" t="str">
        <f>IF(TRUE,IF(COUNTIFS(资产清单!$A$6:$A$25,A167)&lt;&gt;1,"",IF(INDEX(资产清单!$I$6:$I$25,MATCH(A167,资产清单!$A$6:$A$25,0))="","",INDEX(资产清单!$I$6:$I$25,MATCH(A167,资产清单!$A$6:$A$25,0)))),"不适用")</f>
        <v>内部通道商铺</v>
      </c>
      <c r="G167" s="17" t="str">
        <f>IF(TRUE,IF(COUNTIFS(市场案例库!$A$6:$A$35,C167)&lt;&gt;1,"",IF(INDEX(市场案例库!$O$6:$O$35,MATCH(C167,市场案例库!$A$6:$A$35,0))="","",INDEX(市场案例库!$O$6:$O$35,MATCH(C167,市场案例库!$A$6:$A$35,0)))),"不适用")</f>
        <v>临街商铺</v>
      </c>
      <c r="H167" s="19">
        <f>测算参数!$B$6</f>
        <v>100</v>
      </c>
      <c r="I167" s="19">
        <f>IF(OR(COUNTIFS(市场案例库!$A$6:$A$35,C167)&lt;&gt;1),"",IF(COUNTIFS(市场案例库!$A$6:$A$35,C167)&lt;&gt;1,"",IF(COUNT(INDEX(市场案例库!$N$6:$N$35,MATCH(C167,市场案例库!$A$6:$A$35,0)))&lt;&gt;1,"",INDEX(市场案例库!$N$6:$N$35,MATCH(C167,市场案例库!$A$6:$A$35,0)))))</f>
        <v>100</v>
      </c>
      <c r="J167" s="20">
        <f>IF(OR(C167&lt;&gt;N167,COUNT(H167:I167)&lt;&gt;2,H167&lt;=0,I167&lt;=0),"",IF(TRUE,H167/I167,H167/H167))</f>
        <v>1</v>
      </c>
      <c r="K167" s="16" t="s">
        <v>235</v>
      </c>
      <c r="L167" s="16" t="s">
        <v>213</v>
      </c>
      <c r="M167" s="16" t="str">
        <f t="shared" si="18"/>
        <v>模拟评分记录完整</v>
      </c>
      <c r="N167" s="8" t="s">
        <v>159</v>
      </c>
    </row>
    <row r="168" spans="1:14" ht="46.05" customHeight="1">
      <c r="A168" s="16" t="s">
        <v>76</v>
      </c>
      <c r="B168" s="16">
        <v>2</v>
      </c>
      <c r="C168" s="17" t="str">
        <f>三案例选用!C9</f>
        <v>SC-008</v>
      </c>
      <c r="D168" s="16" t="s">
        <v>214</v>
      </c>
      <c r="E168" s="16" t="str">
        <f>IF(TRUE,"适用","不适用采用100/100")</f>
        <v>适用</v>
      </c>
      <c r="F168" s="17" t="str">
        <f>IF(TRUE,IF(COUNTIFS(资产清单!$A$6:$A$25,A168)&lt;&gt;1,"",IF(INDEX(资产清单!$I$6:$I$25,MATCH(A168,资产清单!$A$6:$A$25,0))="","",INDEX(资产清单!$I$6:$I$25,MATCH(A168,资产清单!$A$6:$A$25,0)))),"不适用")</f>
        <v>内部通道商铺</v>
      </c>
      <c r="G168" s="17" t="str">
        <f>IF(TRUE,IF(COUNTIFS(市场案例库!$A$6:$A$35,C168)&lt;&gt;1,"",IF(INDEX(市场案例库!$O$6:$O$35,MATCH(C168,市场案例库!$A$6:$A$35,0))="","",INDEX(市场案例库!$O$6:$O$35,MATCH(C168,市场案例库!$A$6:$A$35,0)))),"不适用")</f>
        <v>临街商铺</v>
      </c>
      <c r="H168" s="19">
        <f>测算参数!$B$6</f>
        <v>100</v>
      </c>
      <c r="I168" s="10">
        <v>100</v>
      </c>
      <c r="J168" s="20">
        <f>IF(OR(C168&lt;&gt;N168,COUNT(H168:I168)&lt;&gt;2,H168&lt;=0,I168&lt;=0),"",IF(TRUE,H168/I168,H168/H168))</f>
        <v>1</v>
      </c>
      <c r="K168" s="16" t="s">
        <v>235</v>
      </c>
      <c r="L168" s="16" t="s">
        <v>215</v>
      </c>
      <c r="M168" s="16" t="str">
        <f t="shared" si="18"/>
        <v>模拟评分记录完整</v>
      </c>
      <c r="N168" s="8" t="s">
        <v>159</v>
      </c>
    </row>
    <row r="169" spans="1:14" ht="46.05" customHeight="1">
      <c r="A169" s="16" t="s">
        <v>76</v>
      </c>
      <c r="B169" s="16">
        <v>2</v>
      </c>
      <c r="C169" s="17" t="str">
        <f>三案例选用!C9</f>
        <v>SC-008</v>
      </c>
      <c r="D169" s="16" t="s">
        <v>216</v>
      </c>
      <c r="E169" s="16" t="str">
        <f>IF(TRUE,"适用","不适用采用100/100")</f>
        <v>适用</v>
      </c>
      <c r="F169" s="17" t="str">
        <f>IF(TRUE,IF(COUNTIFS(资产清单!$A$6:$A$25,A169)&lt;&gt;1,"",IF(INDEX(资产清单!$I$6:$I$25,MATCH(A169,资产清单!$A$6:$A$25,0))="","",INDEX(资产清单!$I$6:$I$25,MATCH(A169,资产清单!$A$6:$A$25,0)))),"不适用")</f>
        <v>内部通道商铺</v>
      </c>
      <c r="G169" s="17" t="str">
        <f>IF(TRUE,IF(COUNTIFS(市场案例库!$A$6:$A$35,C169)&lt;&gt;1,"",IF(INDEX(市场案例库!$O$6:$O$35,MATCH(C169,市场案例库!$A$6:$A$35,0))="","",INDEX(市场案例库!$O$6:$O$35,MATCH(C169,市场案例库!$A$6:$A$35,0)))),"不适用")</f>
        <v>临街商铺</v>
      </c>
      <c r="H169" s="19">
        <f>测算参数!$B$6</f>
        <v>100</v>
      </c>
      <c r="I169" s="10">
        <v>100</v>
      </c>
      <c r="J169" s="20">
        <f>IF(OR(C169&lt;&gt;N169,COUNT(H169:I169)&lt;&gt;2,H169&lt;=0,I169&lt;=0),"",IF(TRUE,H169/I169,H169/H169))</f>
        <v>1</v>
      </c>
      <c r="K169" s="16" t="s">
        <v>235</v>
      </c>
      <c r="L169" s="16" t="s">
        <v>215</v>
      </c>
      <c r="M169" s="16" t="str">
        <f t="shared" si="18"/>
        <v>模拟评分记录完整</v>
      </c>
      <c r="N169" s="8" t="s">
        <v>159</v>
      </c>
    </row>
    <row r="170" spans="1:14" ht="46.05" customHeight="1">
      <c r="A170" s="16" t="s">
        <v>76</v>
      </c>
      <c r="B170" s="16">
        <v>2</v>
      </c>
      <c r="C170" s="17" t="str">
        <f>三案例选用!C9</f>
        <v>SC-008</v>
      </c>
      <c r="D170" s="16" t="s">
        <v>217</v>
      </c>
      <c r="E170" s="17" t="str">
        <f>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"适用","不适用采用100/100")</f>
        <v>适用</v>
      </c>
      <c r="F170" s="17">
        <f>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IF(COUNTIFS(资产清单!$A$6:$A$25,A170)&lt;&gt;1,"",IF(COUNT(INDEX(资产清单!$M$6:$M$25,MATCH(A170,资产清单!$A$6:$A$25,0)))&lt;&gt;1,"",INDEX(资产清单!$M$6:$M$25,MATCH(A170,资产清单!$A$6:$A$25,0)))),"不适用")</f>
        <v>1</v>
      </c>
      <c r="G170" s="17">
        <f>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IF(COUNTIFS(市场案例库!$A$6:$A$35,C170)&lt;&gt;1,"",IF(COUNT(INDEX(市场案例库!$H$6:$H$35,MATCH(C170,市场案例库!$A$6:$A$35,0)))&lt;&gt;1,"",INDEX(市场案例库!$H$6:$H$35,MATCH(C170,市场案例库!$A$6:$A$35,0)))),"不适用")</f>
        <v>1</v>
      </c>
      <c r="H170" s="19">
        <f>测算参数!$B$6</f>
        <v>100</v>
      </c>
      <c r="I170" s="19">
        <f>IF(OR(COUNTIFS(市场案例库!$A$6:$A$35,C170)&lt;&gt;1,AND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COUNT(IF(COUNTIFS(资产清单!$A$6:$A$25,A170)&lt;&gt;1,"",IF(COUNT(INDEX(资产清单!$M$6:$M$25,MATCH(A170,资产清单!$A$6:$A$25,0)))&lt;&gt;1,"",INDEX(资产清单!$M$6:$M$25,MATCH(A170,资产清单!$A$6:$A$25,0)))),IF(COUNTIFS(市场案例库!$A$6:$A$35,C170)&lt;&gt;1,"",IF(COUNT(INDEX(市场案例库!$H$6:$H$35,MATCH(C170,市场案例库!$A$6:$A$35,0)))&lt;&gt;1,"",INDEX(市场案例库!$H$6:$H$35,MATCH(C170,市场案例库!$A$6:$A$35,0)))))&lt;&gt;2)),"",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INDEX(测算参数!$B$25:$B$31,MATCH(MAX(-测算参数!$B$11,MIN(测算参数!$B$11,IF(COUNTIFS(资产清单!$A$6:$A$25,A170)&lt;&gt;1,"",IF(COUNT(INDEX(资产清单!$M$6:$M$25,MATCH(A170,资产清单!$A$6:$A$25,0)))&lt;&gt;1,"",INDEX(资产清单!$M$6:$M$25,MATCH(A170,资产清单!$A$6:$A$25,0))))-IF(COUNTIFS(市场案例库!$A$6:$A$35,C170)&lt;&gt;1,"",IF(COUNT(INDEX(市场案例库!$H$6:$H$35,MATCH(C170,市场案例库!$A$6:$A$35,0)))&lt;&gt;1,"",INDEX(市场案例库!$H$6:$H$35,MATCH(C170,市场案例库!$A$6:$A$35,0)))))),测算参数!$A$25:$A$31,0)),测算参数!$B$6))</f>
        <v>100</v>
      </c>
      <c r="J170" s="21">
        <f>IF(OR(C170&lt;&gt;N170,COUNT(H170:I170)&lt;&gt;2,H170&lt;=0,I170&lt;=0),"",IF(OR(IF(COUNTIFS(资产清单!$A$6:$A$25,A170)&lt;&gt;1,"",IF(INDEX(资产清单!$H$6:$H$25,MATCH(A170,资产清单!$A$6:$A$25,0))="","",INDEX(资产清单!$H$6:$H$25,MATCH(A170,资产清单!$A$6:$A$25,0))))="商业",IF(COUNTIFS(资产清单!$A$6:$A$25,A170)&lt;&gt;1,"",IF(INDEX(资产清单!$H$6:$H$25,MATCH(A170,资产清单!$A$6:$A$25,0))="","",INDEX(资产清单!$H$6:$H$25,MATCH(A170,资产清单!$A$6:$A$25,0))))="办公",IF(COUNTIFS(资产清单!$A$6:$A$25,A170)&lt;&gt;1,"",IF(INDEX(资产清单!$H$6:$H$25,MATCH(A170,资产清单!$A$6:$A$25,0))="","",INDEX(资产清单!$H$6:$H$25,MATCH(A170,资产清单!$A$6:$A$25,0))))="住宅"),H170/I170,H170/H170))</f>
        <v>1</v>
      </c>
      <c r="K170" s="16" t="s">
        <v>235</v>
      </c>
      <c r="L170" s="16" t="s">
        <v>218</v>
      </c>
      <c r="M170" s="16" t="str">
        <f t="shared" si="18"/>
        <v>模拟评分记录完整</v>
      </c>
      <c r="N170" s="8" t="s">
        <v>159</v>
      </c>
    </row>
    <row r="171" spans="1:14" ht="46.05" customHeight="1">
      <c r="A171" s="16" t="s">
        <v>76</v>
      </c>
      <c r="B171" s="16">
        <v>2</v>
      </c>
      <c r="C171" s="17" t="str">
        <f>三案例选用!C9</f>
        <v>SC-008</v>
      </c>
      <c r="D171" s="16" t="s">
        <v>219</v>
      </c>
      <c r="E171" s="17" t="str">
        <f>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"适用","不适用采用100/100")</f>
        <v>适用</v>
      </c>
      <c r="F171" s="17">
        <f>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IF(COUNTIFS(资产清单!$A$6:$A$25,A171)&lt;&gt;1,"",IF(COUNT(INDEX(资产清单!$L$6:$L$25,MATCH(A171,资产清单!$A$6:$A$25,0)))&lt;&gt;1,"",INDEX(资产清单!$L$6:$L$25,MATCH(A171,资产清单!$A$6:$A$25,0)))),"不适用")</f>
        <v>38</v>
      </c>
      <c r="G171" s="17">
        <f>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IF(COUNTIFS(市场案例库!$A$6:$A$35,C171)&lt;&gt;1,"",IF(COUNT(INDEX(市场案例库!$G$6:$G$35,MATCH(C171,市场案例库!$A$6:$A$35,0)))&lt;&gt;1,"",INDEX(市场案例库!$G$6:$G$35,MATCH(C171,市场案例库!$A$6:$A$35,0)))),"不适用")</f>
        <v>42</v>
      </c>
      <c r="H171" s="19">
        <f>测算参数!$B$6</f>
        <v>100</v>
      </c>
      <c r="I171" s="19">
        <f>IF(OR(COUNTIFS(市场案例库!$A$6:$A$35,C171)&lt;&gt;1,AND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OR(COUNT(IF(COUNTIFS(资产清单!$A$6:$A$25,A171)&lt;&gt;1,"",IF(COUNT(INDEX(资产清单!$L$6:$L$25,MATCH(A171,资产清单!$A$6:$A$25,0)))&lt;&gt;1,"",INDEX(资产清单!$L$6:$L$25,MATCH(A171,资产清单!$A$6:$A$25,0)))),IF(COUNTIFS(市场案例库!$A$6:$A$35,C171)&lt;&gt;1,"",IF(COUNT(INDEX(市场案例库!$G$6:$G$35,MATCH(C171,市场案例库!$A$6:$A$35,0)))&lt;&gt;1,"",INDEX(市场案例库!$G$6:$G$35,MATCH(C171,市场案例库!$A$6:$A$35,0)))))&lt;&gt;2,IF(COUNTIFS(资产清单!$A$6:$A$25,A171)&lt;&gt;1,"",IF(COUNT(INDEX(资产清单!$L$6:$L$25,MATCH(A171,资产清单!$A$6:$A$25,0)))&lt;&gt;1,"",INDEX(资产清单!$L$6:$L$25,MATCH(A171,资产清单!$A$6:$A$25,0))))&lt;=0,IF(COUNTIFS(市场案例库!$A$6:$A$35,C171)&lt;&gt;1,"",IF(COUNT(INDEX(市场案例库!$G$6:$G$35,MATCH(C171,市场案例库!$A$6:$A$35,0)))&lt;&gt;1,"",INDEX(市场案例库!$G$6:$G$35,MATCH(C171,市场案例库!$A$6:$A$35,0))))&lt;=0))),"",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LOOKUP(IF(COUNTIFS(市场案例库!$A$6:$A$35,C171)&lt;&gt;1,"",IF(COUNT(INDEX(市场案例库!$G$6:$G$35,MATCH(C171,市场案例库!$A$6:$A$35,0)))&lt;&gt;1,"",INDEX(市场案例库!$G$6:$G$35,MATCH(C171,市场案例库!$A$6:$A$35,0))))/IF(COUNTIFS(资产清单!$A$6:$A$25,A171)&lt;&gt;1,"",IF(COUNT(INDEX(资产清单!$L$6:$L$25,MATCH(A171,资产清单!$A$6:$A$25,0)))&lt;&gt;1,"",INDEX(资产清单!$L$6:$L$25,MATCH(A171,资产清单!$A$6:$A$25,0)))),测算参数!$A$15:$A$21,测算参数!$C$15:$C$21),测算参数!$B$6))</f>
        <v>100</v>
      </c>
      <c r="J171" s="21">
        <f>IF(OR(C171&lt;&gt;N171,COUNT(H171:I171)&lt;&gt;2,H171&lt;=0,I171&lt;=0),"",IF(AND(IF(COUNTIFS(资产清单!$A$6:$A$25,A171)&lt;&gt;1,"",IF(INDEX(资产清单!$J$6:$J$25,MATCH(A171,资产清单!$A$6:$A$25,0))="","",INDEX(资产清单!$J$6:$J$25,MATCH(A171,资产清单!$A$6:$A$25,0))))="元/㎡/月",IF(COUNTIFS(资产清单!$A$6:$A$25,A171)&lt;&gt;1,"",IF(INDEX(资产清单!$H$6:$H$25,MATCH(A171,资产清单!$A$6:$A$25,0))="","",INDEX(资产清单!$H$6:$H$25,MATCH(A171,资产清单!$A$6:$A$25,0))))&lt;&gt;"场地"),H171/I171,H171/H171))</f>
        <v>1</v>
      </c>
      <c r="K171" s="16" t="s">
        <v>235</v>
      </c>
      <c r="L171" s="16" t="s">
        <v>220</v>
      </c>
      <c r="M171" s="16" t="str">
        <f t="shared" si="18"/>
        <v>模拟评分记录完整</v>
      </c>
      <c r="N171" s="8" t="s">
        <v>159</v>
      </c>
    </row>
    <row r="172" spans="1:14" ht="46.05" customHeight="1">
      <c r="A172" s="16" t="s">
        <v>76</v>
      </c>
      <c r="B172" s="16">
        <v>2</v>
      </c>
      <c r="C172" s="17" t="str">
        <f>三案例选用!C9</f>
        <v>SC-008</v>
      </c>
      <c r="D172" s="16" t="s">
        <v>221</v>
      </c>
      <c r="E172" s="16" t="str">
        <f t="shared" ref="E172:E177" si="23">IF(TRUE,"适用","不适用采用100/100")</f>
        <v>适用</v>
      </c>
      <c r="F172" s="17" t="str">
        <f>IF(TRUE,IF(COUNTIFS(资产清单!$A$6:$A$25,A172)&lt;&gt;1,"",IF(INDEX(资产清单!$I$6:$I$25,MATCH(A172,资产清单!$A$6:$A$25,0))="","",INDEX(资产清单!$I$6:$I$25,MATCH(A172,资产清单!$A$6:$A$25,0)))),"不适用")</f>
        <v>内部通道商铺</v>
      </c>
      <c r="G172" s="17" t="str">
        <f>IF(TRUE,IF(COUNTIFS(市场案例库!$A$6:$A$35,C172)&lt;&gt;1,"",IF(INDEX(市场案例库!$O$6:$O$35,MATCH(C172,市场案例库!$A$6:$A$35,0))="","",INDEX(市场案例库!$O$6:$O$35,MATCH(C172,市场案例库!$A$6:$A$35,0)))),"不适用")</f>
        <v>临街商铺</v>
      </c>
      <c r="H172" s="19">
        <f>测算参数!$B$6</f>
        <v>100</v>
      </c>
      <c r="I172" s="10">
        <v>100</v>
      </c>
      <c r="J172" s="20">
        <f t="shared" ref="J172:J177" si="24">IF(OR(C172&lt;&gt;N172,COUNT(H172:I172)&lt;&gt;2,H172&lt;=0,I172&lt;=0),"",IF(TRUE,H172/I172,H172/H172))</f>
        <v>1</v>
      </c>
      <c r="K172" s="16" t="s">
        <v>235</v>
      </c>
      <c r="L172" s="16" t="s">
        <v>215</v>
      </c>
      <c r="M172" s="16" t="str">
        <f t="shared" si="18"/>
        <v>模拟评分记录完整</v>
      </c>
      <c r="N172" s="8" t="s">
        <v>159</v>
      </c>
    </row>
    <row r="173" spans="1:14" ht="46.05" customHeight="1">
      <c r="A173" s="16" t="s">
        <v>76</v>
      </c>
      <c r="B173" s="16">
        <v>2</v>
      </c>
      <c r="C173" s="17" t="str">
        <f>三案例选用!C9</f>
        <v>SC-008</v>
      </c>
      <c r="D173" s="16" t="s">
        <v>222</v>
      </c>
      <c r="E173" s="16" t="str">
        <f t="shared" si="23"/>
        <v>适用</v>
      </c>
      <c r="F173" s="17" t="str">
        <f>IF(TRUE,IF(COUNTIFS(资产清单!$A$6:$A$25,A173)&lt;&gt;1,"",IF(INDEX(资产清单!$I$6:$I$25,MATCH(A173,资产清单!$A$6:$A$25,0))="","",INDEX(资产清单!$I$6:$I$25,MATCH(A173,资产清单!$A$6:$A$25,0)))),"不适用")</f>
        <v>内部通道商铺</v>
      </c>
      <c r="G173" s="17" t="str">
        <f>IF(TRUE,IF(COUNTIFS(市场案例库!$A$6:$A$35,C173)&lt;&gt;1,"",IF(INDEX(市场案例库!$O$6:$O$35,MATCH(C173,市场案例库!$A$6:$A$35,0))="","",INDEX(市场案例库!$O$6:$O$35,MATCH(C173,市场案例库!$A$6:$A$35,0)))),"不适用")</f>
        <v>临街商铺</v>
      </c>
      <c r="H173" s="19">
        <f>测算参数!$B$6</f>
        <v>100</v>
      </c>
      <c r="I173" s="10">
        <v>100</v>
      </c>
      <c r="J173" s="20">
        <f t="shared" si="24"/>
        <v>1</v>
      </c>
      <c r="K173" s="16" t="s">
        <v>235</v>
      </c>
      <c r="L173" s="16" t="s">
        <v>215</v>
      </c>
      <c r="M173" s="16" t="str">
        <f t="shared" si="18"/>
        <v>模拟评分记录完整</v>
      </c>
      <c r="N173" s="8" t="s">
        <v>159</v>
      </c>
    </row>
    <row r="174" spans="1:14" ht="46.05" customHeight="1">
      <c r="A174" s="16" t="s">
        <v>76</v>
      </c>
      <c r="B174" s="16">
        <v>2</v>
      </c>
      <c r="C174" s="17" t="str">
        <f>三案例选用!C9</f>
        <v>SC-008</v>
      </c>
      <c r="D174" s="16" t="s">
        <v>224</v>
      </c>
      <c r="E174" s="16" t="str">
        <f t="shared" si="23"/>
        <v>适用</v>
      </c>
      <c r="F174" s="17" t="str">
        <f>IF(TRUE,IF(COUNTIFS(资产清单!$A$6:$A$25,A174)&lt;&gt;1,"",IF(INDEX(资产清单!$I$6:$I$25,MATCH(A174,资产清单!$A$6:$A$25,0))="","",INDEX(资产清单!$I$6:$I$25,MATCH(A174,资产清单!$A$6:$A$25,0)))),"不适用")</f>
        <v>内部通道商铺</v>
      </c>
      <c r="G174" s="17" t="str">
        <f>IF(TRUE,IF(COUNTIFS(市场案例库!$A$6:$A$35,C174)&lt;&gt;1,"",IF(INDEX(市场案例库!$O$6:$O$35,MATCH(C174,市场案例库!$A$6:$A$35,0))="","",INDEX(市场案例库!$O$6:$O$35,MATCH(C174,市场案例库!$A$6:$A$35,0)))),"不适用")</f>
        <v>临街商铺</v>
      </c>
      <c r="H174" s="19">
        <f>测算参数!$B$6</f>
        <v>100</v>
      </c>
      <c r="I174" s="10">
        <v>100</v>
      </c>
      <c r="J174" s="20">
        <f t="shared" si="24"/>
        <v>1</v>
      </c>
      <c r="K174" s="16" t="s">
        <v>235</v>
      </c>
      <c r="L174" s="16" t="s">
        <v>215</v>
      </c>
      <c r="M174" s="16" t="str">
        <f t="shared" si="18"/>
        <v>模拟评分记录完整</v>
      </c>
      <c r="N174" s="8" t="s">
        <v>159</v>
      </c>
    </row>
    <row r="175" spans="1:14" ht="46.05" customHeight="1">
      <c r="A175" s="16" t="s">
        <v>76</v>
      </c>
      <c r="B175" s="16">
        <v>2</v>
      </c>
      <c r="C175" s="17" t="str">
        <f>三案例选用!C9</f>
        <v>SC-008</v>
      </c>
      <c r="D175" s="16" t="s">
        <v>225</v>
      </c>
      <c r="E175" s="16" t="str">
        <f t="shared" si="23"/>
        <v>适用</v>
      </c>
      <c r="F175" s="17" t="str">
        <f>IF(TRUE,IF(COUNTIFS(资产清单!$A$6:$A$25,A175)&lt;&gt;1,"",IF(INDEX(资产清单!$I$6:$I$25,MATCH(A175,资产清单!$A$6:$A$25,0))="","",INDEX(资产清单!$I$6:$I$25,MATCH(A175,资产清单!$A$6:$A$25,0)))),"不适用")</f>
        <v>内部通道商铺</v>
      </c>
      <c r="G175" s="17" t="str">
        <f>IF(TRUE,IF(COUNTIFS(市场案例库!$A$6:$A$35,C175)&lt;&gt;1,"",IF(INDEX(市场案例库!$O$6:$O$35,MATCH(C175,市场案例库!$A$6:$A$35,0))="","",INDEX(市场案例库!$O$6:$O$35,MATCH(C175,市场案例库!$A$6:$A$35,0)))),"不适用")</f>
        <v>临街商铺</v>
      </c>
      <c r="H175" s="19">
        <f>测算参数!$B$6</f>
        <v>100</v>
      </c>
      <c r="I175" s="10">
        <v>100</v>
      </c>
      <c r="J175" s="20">
        <f t="shared" si="24"/>
        <v>1</v>
      </c>
      <c r="K175" s="16" t="s">
        <v>235</v>
      </c>
      <c r="L175" s="16" t="s">
        <v>215</v>
      </c>
      <c r="M175" s="16" t="str">
        <f t="shared" si="18"/>
        <v>模拟评分记录完整</v>
      </c>
      <c r="N175" s="8" t="s">
        <v>159</v>
      </c>
    </row>
    <row r="176" spans="1:14" ht="46.05" customHeight="1">
      <c r="A176" s="16" t="s">
        <v>76</v>
      </c>
      <c r="B176" s="16">
        <v>2</v>
      </c>
      <c r="C176" s="17" t="str">
        <f>三案例选用!C9</f>
        <v>SC-008</v>
      </c>
      <c r="D176" s="16" t="s">
        <v>226</v>
      </c>
      <c r="E176" s="16" t="str">
        <f t="shared" si="23"/>
        <v>适用</v>
      </c>
      <c r="F176" s="17" t="str">
        <f>IF(TRUE,IF(COUNTIFS(资产清单!$A$6:$A$25,A176)&lt;&gt;1,"",IF(INDEX(资产清单!$I$6:$I$25,MATCH(A176,资产清单!$A$6:$A$25,0))="","",INDEX(资产清单!$I$6:$I$25,MATCH(A176,资产清单!$A$6:$A$25,0)))),"不适用")</f>
        <v>内部通道商铺</v>
      </c>
      <c r="G176" s="17" t="str">
        <f>IF(TRUE,IF(COUNTIFS(市场案例库!$A$6:$A$35,C176)&lt;&gt;1,"",IF(INDEX(市场案例库!$O$6:$O$35,MATCH(C176,市场案例库!$A$6:$A$35,0))="","",INDEX(市场案例库!$O$6:$O$35,MATCH(C176,市场案例库!$A$6:$A$35,0)))),"不适用")</f>
        <v>临街商铺</v>
      </c>
      <c r="H176" s="19">
        <f>测算参数!$B$6</f>
        <v>100</v>
      </c>
      <c r="I176" s="10">
        <v>100</v>
      </c>
      <c r="J176" s="20">
        <f t="shared" si="24"/>
        <v>1</v>
      </c>
      <c r="K176" s="16" t="s">
        <v>235</v>
      </c>
      <c r="L176" s="16" t="s">
        <v>215</v>
      </c>
      <c r="M176" s="16" t="str">
        <f t="shared" si="18"/>
        <v>模拟评分记录完整</v>
      </c>
      <c r="N176" s="8" t="s">
        <v>159</v>
      </c>
    </row>
    <row r="177" spans="1:14" ht="46.05" customHeight="1">
      <c r="A177" s="16" t="s">
        <v>76</v>
      </c>
      <c r="B177" s="16">
        <v>2</v>
      </c>
      <c r="C177" s="17" t="str">
        <f>三案例选用!C9</f>
        <v>SC-008</v>
      </c>
      <c r="D177" s="16" t="s">
        <v>227</v>
      </c>
      <c r="E177" s="16" t="str">
        <f t="shared" si="23"/>
        <v>适用</v>
      </c>
      <c r="F177" s="17" t="str">
        <f>IF(TRUE,IF(COUNTIFS(资产清单!$A$6:$A$25,A177)&lt;&gt;1,"",IF(INDEX(资产清单!$I$6:$I$25,MATCH(A177,资产清单!$A$6:$A$25,0))="","",INDEX(资产清单!$I$6:$I$25,MATCH(A177,资产清单!$A$6:$A$25,0)))),"不适用")</f>
        <v>内部通道商铺</v>
      </c>
      <c r="G177" s="17" t="str">
        <f>IF(TRUE,IF(COUNTIFS(市场案例库!$A$6:$A$35,C177)&lt;&gt;1,"",IF(INDEX(市场案例库!$O$6:$O$35,MATCH(C177,市场案例库!$A$6:$A$35,0))="","",INDEX(市场案例库!$O$6:$O$35,MATCH(C177,市场案例库!$A$6:$A$35,0)))),"不适用")</f>
        <v>临街商铺</v>
      </c>
      <c r="H177" s="19">
        <f>测算参数!$B$6</f>
        <v>100</v>
      </c>
      <c r="I177" s="10">
        <v>100</v>
      </c>
      <c r="J177" s="20">
        <f t="shared" si="24"/>
        <v>1</v>
      </c>
      <c r="K177" s="16" t="s">
        <v>235</v>
      </c>
      <c r="L177" s="16" t="s">
        <v>215</v>
      </c>
      <c r="M177" s="16" t="str">
        <f t="shared" si="18"/>
        <v>模拟评分记录完整</v>
      </c>
      <c r="N177" s="8" t="s">
        <v>159</v>
      </c>
    </row>
    <row r="178" spans="1:14" ht="46.05" customHeight="1">
      <c r="A178" s="16" t="s">
        <v>76</v>
      </c>
      <c r="B178" s="16">
        <v>2</v>
      </c>
      <c r="C178" s="17" t="str">
        <f>三案例选用!C9</f>
        <v>SC-008</v>
      </c>
      <c r="D178" s="16" t="s">
        <v>228</v>
      </c>
      <c r="E178" s="17" t="str">
        <f>IF(AND(IF(COUNTIFS(资产清单!$A$6:$A$25,A178)&lt;&gt;1,"",IF(INDEX(资产清单!$H$6:$H$25,MATCH(A178,资产清单!$A$6:$A$25,0))="","",INDEX(资产清单!$H$6:$H$25,MATCH(A178,资产清单!$A$6:$A$25,0))))&lt;&gt;"场地",IF(COUNTIFS(资产清单!$A$6:$A$25,A178)&lt;&gt;1,"",IF(INDEX(资产清单!$H$6:$H$25,MATCH(A178,资产清单!$A$6:$A$25,0))="","",INDEX(资产清单!$H$6:$H$25,MATCH(A178,资产清单!$A$6:$A$25,0))))&lt;&gt;"车位",IF(COUNTIFS(资产清单!$A$6:$A$25,A178)&lt;&gt;1,"",IF(INDEX(资产清单!$H$6:$H$25,MATCH(A178,资产清单!$A$6:$A$25,0))="","",INDEX(资产清单!$H$6:$H$25,MATCH(A178,资产清单!$A$6:$A$25,0))))&lt;&gt;"通信基站"),"适用","不适用采用100/100")</f>
        <v>适用</v>
      </c>
      <c r="F178" s="17" t="str">
        <f>IF(AND(IF(COUNTIFS(资产清单!$A$6:$A$25,A178)&lt;&gt;1,"",IF(INDEX(资产清单!$H$6:$H$25,MATCH(A178,资产清单!$A$6:$A$25,0))="","",INDEX(资产清单!$H$6:$H$25,MATCH(A178,资产清单!$A$6:$A$25,0))))&lt;&gt;"场地",IF(COUNTIFS(资产清单!$A$6:$A$25,A178)&lt;&gt;1,"",IF(INDEX(资产清单!$H$6:$H$25,MATCH(A178,资产清单!$A$6:$A$25,0))="","",INDEX(资产清单!$H$6:$H$25,MATCH(A178,资产清单!$A$6:$A$25,0))))&lt;&gt;"车位",IF(COUNTIFS(资产清单!$A$6:$A$25,A178)&lt;&gt;1,"",IF(INDEX(资产清单!$H$6:$H$25,MATCH(A178,资产清单!$A$6:$A$25,0))="","",INDEX(资产清单!$H$6:$H$25,MATCH(A178,资产清单!$A$6:$A$25,0))))&lt;&gt;"通信基站"),IF(COUNTIFS(资产清单!$A$6:$A$25,A178)&lt;&gt;1,"",IF(INDEX(资产清单!$I$6:$I$25,MATCH(A178,资产清单!$A$6:$A$25,0))="","",INDEX(资产清单!$I$6:$I$25,MATCH(A178,资产清单!$A$6:$A$25,0)))),"不适用")</f>
        <v>内部通道商铺</v>
      </c>
      <c r="G178" s="17" t="str">
        <f>IF(AND(IF(COUNTIFS(资产清单!$A$6:$A$25,A178)&lt;&gt;1,"",IF(INDEX(资产清单!$H$6:$H$25,MATCH(A178,资产清单!$A$6:$A$25,0))="","",INDEX(资产清单!$H$6:$H$25,MATCH(A178,资产清单!$A$6:$A$25,0))))&lt;&gt;"场地",IF(COUNTIFS(资产清单!$A$6:$A$25,A178)&lt;&gt;1,"",IF(INDEX(资产清单!$H$6:$H$25,MATCH(A178,资产清单!$A$6:$A$25,0))="","",INDEX(资产清单!$H$6:$H$25,MATCH(A178,资产清单!$A$6:$A$25,0))))&lt;&gt;"车位",IF(COUNTIFS(资产清单!$A$6:$A$25,A178)&lt;&gt;1,"",IF(INDEX(资产清单!$H$6:$H$25,MATCH(A178,资产清单!$A$6:$A$25,0))="","",INDEX(资产清单!$H$6:$H$25,MATCH(A178,资产清单!$A$6:$A$25,0))))&lt;&gt;"通信基站"),IF(COUNTIFS(市场案例库!$A$6:$A$35,C178)&lt;&gt;1,"",IF(INDEX(市场案例库!$O$6:$O$35,MATCH(C178,市场案例库!$A$6:$A$35,0))="","",INDEX(市场案例库!$O$6:$O$35,MATCH(C178,市场案例库!$A$6:$A$35,0)))),"不适用")</f>
        <v>临街商铺</v>
      </c>
      <c r="H178" s="19">
        <f>测算参数!$B$6</f>
        <v>100</v>
      </c>
      <c r="I178" s="10">
        <v>100</v>
      </c>
      <c r="J178" s="21">
        <f>IF(OR(C178&lt;&gt;N178,COUNT(H178:I178)&lt;&gt;2,H178&lt;=0,I178&lt;=0),"",IF(AND(IF(COUNTIFS(资产清单!$A$6:$A$25,A178)&lt;&gt;1,"",IF(INDEX(资产清单!$H$6:$H$25,MATCH(A178,资产清单!$A$6:$A$25,0))="","",INDEX(资产清单!$H$6:$H$25,MATCH(A178,资产清单!$A$6:$A$25,0))))&lt;&gt;"场地",IF(COUNTIFS(资产清单!$A$6:$A$25,A178)&lt;&gt;1,"",IF(INDEX(资产清单!$H$6:$H$25,MATCH(A178,资产清单!$A$6:$A$25,0))="","",INDEX(资产清单!$H$6:$H$25,MATCH(A178,资产清单!$A$6:$A$25,0))))&lt;&gt;"车位",IF(COUNTIFS(资产清单!$A$6:$A$25,A178)&lt;&gt;1,"",IF(INDEX(资产清单!$H$6:$H$25,MATCH(A178,资产清单!$A$6:$A$25,0))="","",INDEX(资产清单!$H$6:$H$25,MATCH(A178,资产清单!$A$6:$A$25,0))))&lt;&gt;"通信基站"),H178/I178,H178/H178))</f>
        <v>1</v>
      </c>
      <c r="K178" s="16" t="s">
        <v>235</v>
      </c>
      <c r="L178" s="16" t="s">
        <v>215</v>
      </c>
      <c r="M178" s="16" t="str">
        <f t="shared" si="18"/>
        <v>模拟评分记录完整</v>
      </c>
      <c r="N178" s="8" t="s">
        <v>159</v>
      </c>
    </row>
    <row r="179" spans="1:14" ht="46.05" customHeight="1">
      <c r="A179" s="16" t="s">
        <v>76</v>
      </c>
      <c r="B179" s="16">
        <v>2</v>
      </c>
      <c r="C179" s="17" t="str">
        <f>三案例选用!C9</f>
        <v>SC-008</v>
      </c>
      <c r="D179" s="16" t="s">
        <v>229</v>
      </c>
      <c r="E179" s="17" t="str">
        <f>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"适用","不适用采用100/100")</f>
        <v>适用</v>
      </c>
      <c r="F179" s="17">
        <f>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IF(COUNTIFS(资产清单!$A$6:$A$25,A179)&lt;&gt;1,"",IF(COUNT(INDEX(资产清单!$N$6:$N$25,MATCH(A179,资产清单!$A$6:$A$25,0)))&lt;&gt;1,"",INDEX(资产清单!$N$6:$N$25,MATCH(A179,资产清单!$A$6:$A$25,0)))),"不适用")</f>
        <v>2</v>
      </c>
      <c r="G179" s="17">
        <f>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IF(COUNTIFS(市场案例库!$A$6:$A$35,C179)&lt;&gt;1,"",IF(COUNT(INDEX(市场案例库!$I$6:$I$35,MATCH(C179,市场案例库!$A$6:$A$35,0)))&lt;&gt;1,"",INDEX(市场案例库!$I$6:$I$35,MATCH(C179,市场案例库!$A$6:$A$35,0)))),"不适用")</f>
        <v>3</v>
      </c>
      <c r="H179" s="19">
        <f>测算参数!$B$6</f>
        <v>100</v>
      </c>
      <c r="I179" s="19">
        <f>IF(OR(COUNTIFS(市场案例库!$A$6:$A$35,C179)&lt;&gt;1,AND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OR(COUNT(IF(COUNTIFS(资产清单!$A$6:$A$25,A179)&lt;&gt;1,"",IF(COUNT(INDEX(资产清单!$N$6:$N$25,MATCH(A179,资产清单!$A$6:$A$25,0)))&lt;&gt;1,"",INDEX(资产清单!$N$6:$N$25,MATCH(A179,资产清单!$A$6:$A$25,0)))),IF(COUNTIFS(市场案例库!$A$6:$A$35,C179)&lt;&gt;1,"",IF(COUNT(INDEX(市场案例库!$I$6:$I$35,MATCH(C179,市场案例库!$A$6:$A$35,0)))&lt;&gt;1,"",INDEX(市场案例库!$I$6:$I$35,MATCH(C179,市场案例库!$A$6:$A$35,0)))))&lt;&gt;2,IF(COUNTIFS(资产清单!$A$6:$A$25,A179)&lt;&gt;1,"",IF(COUNT(INDEX(资产清单!$N$6:$N$25,MATCH(A179,资产清单!$A$6:$A$25,0)))&lt;&gt;1,"",INDEX(资产清单!$N$6:$N$25,MATCH(A179,资产清单!$A$6:$A$25,0))))&lt;1,IF(COUNTIFS(资产清单!$A$6:$A$25,A179)&lt;&gt;1,"",IF(COUNT(INDEX(资产清单!$N$6:$N$25,MATCH(A179,资产清单!$A$6:$A$25,0)))&lt;&gt;1,"",INDEX(资产清单!$N$6:$N$25,MATCH(A179,资产清单!$A$6:$A$25,0))))&gt;4,IF(COUNTIFS(市场案例库!$A$6:$A$35,C179)&lt;&gt;1,"",IF(COUNT(INDEX(市场案例库!$I$6:$I$35,MATCH(C179,市场案例库!$A$6:$A$35,0)))&lt;&gt;1,"",INDEX(市场案例库!$I$6:$I$35,MATCH(C179,市场案例库!$A$6:$A$35,0))))&lt;1,IF(COUNTIFS(市场案例库!$A$6:$A$35,C179)&lt;&gt;1,"",IF(COUNT(INDEX(市场案例库!$I$6:$I$35,MATCH(C179,市场案例库!$A$6:$A$35,0)))&lt;&gt;1,"",INDEX(市场案例库!$I$6:$I$35,MATCH(C179,市场案例库!$A$6:$A$35,0))))&gt;4))),"",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INDEX(测算参数!$B$35:$B$41,MATCH(IF(COUNTIFS(市场案例库!$A$6:$A$35,C179)&lt;&gt;1,"",IF(COUNT(INDEX(市场案例库!$I$6:$I$35,MATCH(C179,市场案例库!$A$6:$A$35,0)))&lt;&gt;1,"",INDEX(市场案例库!$I$6:$I$35,MATCH(C179,市场案例库!$A$6:$A$35,0))))-IF(COUNTIFS(资产清单!$A$6:$A$25,A179)&lt;&gt;1,"",IF(COUNT(INDEX(资产清单!$N$6:$N$25,MATCH(A179,资产清单!$A$6:$A$25,0)))&lt;&gt;1,"",INDEX(资产清单!$N$6:$N$25,MATCH(A179,资产清单!$A$6:$A$25,0)))),测算参数!$A$35:$A$41,0)),测算参数!$B$6))</f>
        <v>102</v>
      </c>
      <c r="J179" s="21">
        <f>IF(OR(C179&lt;&gt;N179,COUNT(H179:I179)&lt;&gt;2,H179&lt;=0,I179&lt;=0),"",IF(AND(IF(COUNTIFS(资产清单!$A$6:$A$25,A179)&lt;&gt;1,"",IF(INDEX(资产清单!$H$6:$H$25,MATCH(A179,资产清单!$A$6:$A$25,0))="","",INDEX(资产清单!$H$6:$H$25,MATCH(A179,资产清单!$A$6:$A$25,0))))&lt;&gt;"场地",IF(COUNTIFS(资产清单!$A$6:$A$25,A179)&lt;&gt;1,"",IF(INDEX(资产清单!$H$6:$H$25,MATCH(A179,资产清单!$A$6:$A$25,0))="","",INDEX(资产清单!$H$6:$H$25,MATCH(A179,资产清单!$A$6:$A$25,0))))&lt;&gt;"车位",IF(COUNTIFS(资产清单!$A$6:$A$25,A179)&lt;&gt;1,"",IF(INDEX(资产清单!$H$6:$H$25,MATCH(A179,资产清单!$A$6:$A$25,0))="","",INDEX(资产清单!$H$6:$H$25,MATCH(A179,资产清单!$A$6:$A$25,0))))&lt;&gt;"通信基站"),H179/I179,H179/H179))</f>
        <v>0.98039215686274506</v>
      </c>
      <c r="K179" s="16" t="s">
        <v>235</v>
      </c>
      <c r="L179" s="16" t="s">
        <v>230</v>
      </c>
      <c r="M179" s="16" t="str">
        <f t="shared" si="18"/>
        <v>模拟评分记录完整</v>
      </c>
      <c r="N179" s="8" t="s">
        <v>159</v>
      </c>
    </row>
    <row r="180" spans="1:14" ht="46.05" customHeight="1">
      <c r="A180" s="16" t="s">
        <v>76</v>
      </c>
      <c r="B180" s="16">
        <v>2</v>
      </c>
      <c r="C180" s="17" t="str">
        <f>三案例选用!C9</f>
        <v>SC-008</v>
      </c>
      <c r="D180" s="16" t="s">
        <v>231</v>
      </c>
      <c r="E180" s="17" t="str">
        <f>IF(AND(IF(COUNTIFS(资产清单!$A$6:$A$25,A180)&lt;&gt;1,"",IF(INDEX(资产清单!$H$6:$H$25,MATCH(A180,资产清单!$A$6:$A$25,0))="","",INDEX(资产清单!$H$6:$H$25,MATCH(A180,资产清单!$A$6:$A$25,0))))&lt;&gt;"场地",IF(COUNTIFS(资产清单!$A$6:$A$25,A180)&lt;&gt;1,"",IF(INDEX(资产清单!$H$6:$H$25,MATCH(A180,资产清单!$A$6:$A$25,0))="","",INDEX(资产清单!$H$6:$H$25,MATCH(A180,资产清单!$A$6:$A$25,0))))&lt;&gt;"车位",IF(COUNTIFS(资产清单!$A$6:$A$25,A180)&lt;&gt;1,"",IF(INDEX(资产清单!$H$6:$H$25,MATCH(A180,资产清单!$A$6:$A$25,0))="","",INDEX(资产清单!$H$6:$H$25,MATCH(A180,资产清单!$A$6:$A$25,0))))&lt;&gt;"通信基站"),"适用","不适用采用100/100")</f>
        <v>适用</v>
      </c>
      <c r="F180" s="17" t="str">
        <f>IF(AND(IF(COUNTIFS(资产清单!$A$6:$A$25,A180)&lt;&gt;1,"",IF(INDEX(资产清单!$H$6:$H$25,MATCH(A180,资产清单!$A$6:$A$25,0))="","",INDEX(资产清单!$H$6:$H$25,MATCH(A180,资产清单!$A$6:$A$25,0))))&lt;&gt;"场地",IF(COUNTIFS(资产清单!$A$6:$A$25,A180)&lt;&gt;1,"",IF(INDEX(资产清单!$H$6:$H$25,MATCH(A180,资产清单!$A$6:$A$25,0))="","",INDEX(资产清单!$H$6:$H$25,MATCH(A180,资产清单!$A$6:$A$25,0))))&lt;&gt;"车位",IF(COUNTIFS(资产清单!$A$6:$A$25,A180)&lt;&gt;1,"",IF(INDEX(资产清单!$H$6:$H$25,MATCH(A180,资产清单!$A$6:$A$25,0))="","",INDEX(资产清单!$H$6:$H$25,MATCH(A180,资产清单!$A$6:$A$25,0))))&lt;&gt;"通信基站"),IF(COUNTIFS(资产清单!$A$6:$A$25,A180)&lt;&gt;1,"",IF(INDEX(资产清单!$I$6:$I$25,MATCH(A180,资产清单!$A$6:$A$25,0))="","",INDEX(资产清单!$I$6:$I$25,MATCH(A180,资产清单!$A$6:$A$25,0)))),"不适用")</f>
        <v>内部通道商铺</v>
      </c>
      <c r="G180" s="17" t="str">
        <f>IF(AND(IF(COUNTIFS(资产清单!$A$6:$A$25,A180)&lt;&gt;1,"",IF(INDEX(资产清单!$H$6:$H$25,MATCH(A180,资产清单!$A$6:$A$25,0))="","",INDEX(资产清单!$H$6:$H$25,MATCH(A180,资产清单!$A$6:$A$25,0))))&lt;&gt;"场地",IF(COUNTIFS(资产清单!$A$6:$A$25,A180)&lt;&gt;1,"",IF(INDEX(资产清单!$H$6:$H$25,MATCH(A180,资产清单!$A$6:$A$25,0))="","",INDEX(资产清单!$H$6:$H$25,MATCH(A180,资产清单!$A$6:$A$25,0))))&lt;&gt;"车位",IF(COUNTIFS(资产清单!$A$6:$A$25,A180)&lt;&gt;1,"",IF(INDEX(资产清单!$H$6:$H$25,MATCH(A180,资产清单!$A$6:$A$25,0))="","",INDEX(资产清单!$H$6:$H$25,MATCH(A180,资产清单!$A$6:$A$25,0))))&lt;&gt;"通信基站"),IF(COUNTIFS(市场案例库!$A$6:$A$35,C180)&lt;&gt;1,"",IF(INDEX(市场案例库!$O$6:$O$35,MATCH(C180,市场案例库!$A$6:$A$35,0))="","",INDEX(市场案例库!$O$6:$O$35,MATCH(C180,市场案例库!$A$6:$A$35,0)))),"不适用")</f>
        <v>临街商铺</v>
      </c>
      <c r="H180" s="19">
        <f>测算参数!$B$6</f>
        <v>100</v>
      </c>
      <c r="I180" s="10">
        <v>100</v>
      </c>
      <c r="J180" s="21">
        <f>IF(OR(C180&lt;&gt;N180,COUNT(H180:I180)&lt;&gt;2,H180&lt;=0,I180&lt;=0),"",IF(AND(IF(COUNTIFS(资产清单!$A$6:$A$25,A180)&lt;&gt;1,"",IF(INDEX(资产清单!$H$6:$H$25,MATCH(A180,资产清单!$A$6:$A$25,0))="","",INDEX(资产清单!$H$6:$H$25,MATCH(A180,资产清单!$A$6:$A$25,0))))&lt;&gt;"场地",IF(COUNTIFS(资产清单!$A$6:$A$25,A180)&lt;&gt;1,"",IF(INDEX(资产清单!$H$6:$H$25,MATCH(A180,资产清单!$A$6:$A$25,0))="","",INDEX(资产清单!$H$6:$H$25,MATCH(A180,资产清单!$A$6:$A$25,0))))&lt;&gt;"车位",IF(COUNTIFS(资产清单!$A$6:$A$25,A180)&lt;&gt;1,"",IF(INDEX(资产清单!$H$6:$H$25,MATCH(A180,资产清单!$A$6:$A$25,0))="","",INDEX(资产清单!$H$6:$H$25,MATCH(A180,资产清单!$A$6:$A$25,0))))&lt;&gt;"通信基站"),H180/I180,H180/H180))</f>
        <v>1</v>
      </c>
      <c r="K180" s="16" t="s">
        <v>235</v>
      </c>
      <c r="L180" s="16" t="s">
        <v>215</v>
      </c>
      <c r="M180" s="16" t="str">
        <f t="shared" si="18"/>
        <v>模拟评分记录完整</v>
      </c>
      <c r="N180" s="8" t="s">
        <v>159</v>
      </c>
    </row>
    <row r="181" spans="1:14" ht="46.05" customHeight="1">
      <c r="A181" s="16" t="s">
        <v>76</v>
      </c>
      <c r="B181" s="16">
        <v>2</v>
      </c>
      <c r="C181" s="17" t="str">
        <f>三案例选用!C9</f>
        <v>SC-008</v>
      </c>
      <c r="D181" s="16" t="s">
        <v>232</v>
      </c>
      <c r="E181" s="16" t="str">
        <f>IF(TRUE,"适用","不适用采用100/100")</f>
        <v>适用</v>
      </c>
      <c r="F181" s="17" t="str">
        <f>IF(TRUE,IF(COUNTIFS(资产清单!$A$6:$A$25,A181)&lt;&gt;1,"",IF(INDEX(资产清单!$I$6:$I$25,MATCH(A181,资产清单!$A$6:$A$25,0))="","",INDEX(资产清单!$I$6:$I$25,MATCH(A181,资产清单!$A$6:$A$25,0)))),"不适用")</f>
        <v>内部通道商铺</v>
      </c>
      <c r="G181" s="17" t="str">
        <f>IF(TRUE,IF(COUNTIFS(市场案例库!$A$6:$A$35,C181)&lt;&gt;1,"",IF(INDEX(市场案例库!$O$6:$O$35,MATCH(C181,市场案例库!$A$6:$A$35,0))="","",INDEX(市场案例库!$O$6:$O$35,MATCH(C181,市场案例库!$A$6:$A$35,0)))),"不适用")</f>
        <v>临街商铺</v>
      </c>
      <c r="H181" s="19">
        <f>测算参数!$B$6</f>
        <v>100</v>
      </c>
      <c r="I181" s="10">
        <v>105</v>
      </c>
      <c r="J181" s="20">
        <f>IF(OR(C181&lt;&gt;N181,COUNT(H181:I181)&lt;&gt;2,H181&lt;=0,I181&lt;=0),"",IF(TRUE,H181/I181,H181/H181))</f>
        <v>0.95238095238095233</v>
      </c>
      <c r="K181" s="16" t="s">
        <v>235</v>
      </c>
      <c r="L181" s="16" t="s">
        <v>236</v>
      </c>
      <c r="M181" s="16" t="str">
        <f t="shared" si="18"/>
        <v>模拟评分记录完整</v>
      </c>
      <c r="N181" s="8" t="s">
        <v>159</v>
      </c>
    </row>
    <row r="182" spans="1:14" ht="46.05" customHeight="1">
      <c r="A182" s="16" t="s">
        <v>76</v>
      </c>
      <c r="B182" s="16">
        <v>3</v>
      </c>
      <c r="C182" s="17" t="str">
        <f>三案例选用!D9</f>
        <v>SC-009</v>
      </c>
      <c r="D182" s="16" t="s">
        <v>209</v>
      </c>
      <c r="E182" s="16" t="str">
        <f>IF(TRUE,"适用","不适用采用100/100")</f>
        <v>适用</v>
      </c>
      <c r="F182" s="17" t="str">
        <f>IF(TRUE,IF(COUNTIFS(资产清单!$A$6:$A$25,A182)&lt;&gt;1,"",IF(INDEX(资产清单!$I$6:$I$25,MATCH(A182,资产清单!$A$6:$A$25,0))="","",INDEX(资产清单!$I$6:$I$25,MATCH(A182,资产清单!$A$6:$A$25,0)))),"不适用")</f>
        <v>内部通道商铺</v>
      </c>
      <c r="G182" s="17" t="str">
        <f>IF(TRUE,IF(COUNTIFS(市场案例库!$A$6:$A$35,C182)&lt;&gt;1,"",IF(INDEX(市场案例库!$O$6:$O$35,MATCH(C182,市场案例库!$A$6:$A$35,0))="","",INDEX(市场案例库!$O$6:$O$35,MATCH(C182,市场案例库!$A$6:$A$35,0)))),"不适用")</f>
        <v>临街商铺</v>
      </c>
      <c r="H182" s="19">
        <f>测算参数!$B$6</f>
        <v>100</v>
      </c>
      <c r="I182" s="19">
        <f>IF(OR(COUNTIFS(市场案例库!$A$6:$A$35,C182)&lt;&gt;1),"",IF(COUNTIFS(市场案例库!$A$6:$A$35,C182)&lt;&gt;1,"",IF(COUNT(INDEX(市场案例库!$M$6:$M$35,MATCH(C182,市场案例库!$A$6:$A$35,0)))&lt;&gt;1,"",INDEX(市场案例库!$M$6:$M$35,MATCH(C182,市场案例库!$A$6:$A$35,0)))))</f>
        <v>102</v>
      </c>
      <c r="J182" s="20">
        <f>IF(OR(C182&lt;&gt;N182,COUNT(H182:I182)&lt;&gt;2,H182&lt;=0,I182&lt;=0),"",IF(TRUE,H182/I182,H182/H182))</f>
        <v>0.98039215686274506</v>
      </c>
      <c r="K182" s="16" t="s">
        <v>235</v>
      </c>
      <c r="L182" s="16" t="s">
        <v>211</v>
      </c>
      <c r="M182" s="16" t="str">
        <f t="shared" si="18"/>
        <v>模拟评分记录完整</v>
      </c>
      <c r="N182" s="8" t="s">
        <v>160</v>
      </c>
    </row>
    <row r="183" spans="1:14" ht="46.05" customHeight="1">
      <c r="A183" s="16" t="s">
        <v>76</v>
      </c>
      <c r="B183" s="16">
        <v>3</v>
      </c>
      <c r="C183" s="17" t="str">
        <f>三案例选用!D9</f>
        <v>SC-009</v>
      </c>
      <c r="D183" s="16" t="s">
        <v>212</v>
      </c>
      <c r="E183" s="16" t="str">
        <f>IF(TRUE,"适用","不适用采用100/100")</f>
        <v>适用</v>
      </c>
      <c r="F183" s="17" t="str">
        <f>IF(TRUE,IF(COUNTIFS(资产清单!$A$6:$A$25,A183)&lt;&gt;1,"",IF(INDEX(资产清单!$I$6:$I$25,MATCH(A183,资产清单!$A$6:$A$25,0))="","",INDEX(资产清单!$I$6:$I$25,MATCH(A183,资产清单!$A$6:$A$25,0)))),"不适用")</f>
        <v>内部通道商铺</v>
      </c>
      <c r="G183" s="17" t="str">
        <f>IF(TRUE,IF(COUNTIFS(市场案例库!$A$6:$A$35,C183)&lt;&gt;1,"",IF(INDEX(市场案例库!$O$6:$O$35,MATCH(C183,市场案例库!$A$6:$A$35,0))="","",INDEX(市场案例库!$O$6:$O$35,MATCH(C183,市场案例库!$A$6:$A$35,0)))),"不适用")</f>
        <v>临街商铺</v>
      </c>
      <c r="H183" s="19">
        <f>测算参数!$B$6</f>
        <v>100</v>
      </c>
      <c r="I183" s="19">
        <f>IF(OR(COUNTIFS(市场案例库!$A$6:$A$35,C183)&lt;&gt;1),"",IF(COUNTIFS(市场案例库!$A$6:$A$35,C183)&lt;&gt;1,"",IF(COUNT(INDEX(市场案例库!$N$6:$N$35,MATCH(C183,市场案例库!$A$6:$A$35,0)))&lt;&gt;1,"",INDEX(市场案例库!$N$6:$N$35,MATCH(C183,市场案例库!$A$6:$A$35,0)))))</f>
        <v>100</v>
      </c>
      <c r="J183" s="20">
        <f>IF(OR(C183&lt;&gt;N183,COUNT(H183:I183)&lt;&gt;2,H183&lt;=0,I183&lt;=0),"",IF(TRUE,H183/I183,H183/H183))</f>
        <v>1</v>
      </c>
      <c r="K183" s="16" t="s">
        <v>235</v>
      </c>
      <c r="L183" s="16" t="s">
        <v>213</v>
      </c>
      <c r="M183" s="16" t="str">
        <f t="shared" si="18"/>
        <v>模拟评分记录完整</v>
      </c>
      <c r="N183" s="8" t="s">
        <v>160</v>
      </c>
    </row>
    <row r="184" spans="1:14" ht="46.05" customHeight="1">
      <c r="A184" s="16" t="s">
        <v>76</v>
      </c>
      <c r="B184" s="16">
        <v>3</v>
      </c>
      <c r="C184" s="17" t="str">
        <f>三案例选用!D9</f>
        <v>SC-009</v>
      </c>
      <c r="D184" s="16" t="s">
        <v>214</v>
      </c>
      <c r="E184" s="16" t="str">
        <f>IF(TRUE,"适用","不适用采用100/100")</f>
        <v>适用</v>
      </c>
      <c r="F184" s="17" t="str">
        <f>IF(TRUE,IF(COUNTIFS(资产清单!$A$6:$A$25,A184)&lt;&gt;1,"",IF(INDEX(资产清单!$I$6:$I$25,MATCH(A184,资产清单!$A$6:$A$25,0))="","",INDEX(资产清单!$I$6:$I$25,MATCH(A184,资产清单!$A$6:$A$25,0)))),"不适用")</f>
        <v>内部通道商铺</v>
      </c>
      <c r="G184" s="17" t="str">
        <f>IF(TRUE,IF(COUNTIFS(市场案例库!$A$6:$A$35,C184)&lt;&gt;1,"",IF(INDEX(市场案例库!$O$6:$O$35,MATCH(C184,市场案例库!$A$6:$A$35,0))="","",INDEX(市场案例库!$O$6:$O$35,MATCH(C184,市场案例库!$A$6:$A$35,0)))),"不适用")</f>
        <v>临街商铺</v>
      </c>
      <c r="H184" s="19">
        <f>测算参数!$B$6</f>
        <v>100</v>
      </c>
      <c r="I184" s="10">
        <v>100</v>
      </c>
      <c r="J184" s="20">
        <f>IF(OR(C184&lt;&gt;N184,COUNT(H184:I184)&lt;&gt;2,H184&lt;=0,I184&lt;=0),"",IF(TRUE,H184/I184,H184/H184))</f>
        <v>1</v>
      </c>
      <c r="K184" s="16" t="s">
        <v>235</v>
      </c>
      <c r="L184" s="16" t="s">
        <v>215</v>
      </c>
      <c r="M184" s="16" t="str">
        <f t="shared" si="18"/>
        <v>模拟评分记录完整</v>
      </c>
      <c r="N184" s="8" t="s">
        <v>160</v>
      </c>
    </row>
    <row r="185" spans="1:14" ht="46.05" customHeight="1">
      <c r="A185" s="16" t="s">
        <v>76</v>
      </c>
      <c r="B185" s="16">
        <v>3</v>
      </c>
      <c r="C185" s="17" t="str">
        <f>三案例选用!D9</f>
        <v>SC-009</v>
      </c>
      <c r="D185" s="16" t="s">
        <v>216</v>
      </c>
      <c r="E185" s="16" t="str">
        <f>IF(TRUE,"适用","不适用采用100/100")</f>
        <v>适用</v>
      </c>
      <c r="F185" s="17" t="str">
        <f>IF(TRUE,IF(COUNTIFS(资产清单!$A$6:$A$25,A185)&lt;&gt;1,"",IF(INDEX(资产清单!$I$6:$I$25,MATCH(A185,资产清单!$A$6:$A$25,0))="","",INDEX(资产清单!$I$6:$I$25,MATCH(A185,资产清单!$A$6:$A$25,0)))),"不适用")</f>
        <v>内部通道商铺</v>
      </c>
      <c r="G185" s="17" t="str">
        <f>IF(TRUE,IF(COUNTIFS(市场案例库!$A$6:$A$35,C185)&lt;&gt;1,"",IF(INDEX(市场案例库!$O$6:$O$35,MATCH(C185,市场案例库!$A$6:$A$35,0))="","",INDEX(市场案例库!$O$6:$O$35,MATCH(C185,市场案例库!$A$6:$A$35,0)))),"不适用")</f>
        <v>临街商铺</v>
      </c>
      <c r="H185" s="19">
        <f>测算参数!$B$6</f>
        <v>100</v>
      </c>
      <c r="I185" s="10">
        <v>100</v>
      </c>
      <c r="J185" s="20">
        <f>IF(OR(C185&lt;&gt;N185,COUNT(H185:I185)&lt;&gt;2,H185&lt;=0,I185&lt;=0),"",IF(TRUE,H185/I185,H185/H185))</f>
        <v>1</v>
      </c>
      <c r="K185" s="16" t="s">
        <v>235</v>
      </c>
      <c r="L185" s="16" t="s">
        <v>215</v>
      </c>
      <c r="M185" s="16" t="str">
        <f t="shared" si="18"/>
        <v>模拟评分记录完整</v>
      </c>
      <c r="N185" s="8" t="s">
        <v>160</v>
      </c>
    </row>
    <row r="186" spans="1:14" ht="46.05" customHeight="1">
      <c r="A186" s="16" t="s">
        <v>76</v>
      </c>
      <c r="B186" s="16">
        <v>3</v>
      </c>
      <c r="C186" s="17" t="str">
        <f>三案例选用!D9</f>
        <v>SC-009</v>
      </c>
      <c r="D186" s="16" t="s">
        <v>217</v>
      </c>
      <c r="E186" s="17" t="str">
        <f>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"适用","不适用采用100/100")</f>
        <v>适用</v>
      </c>
      <c r="F186" s="17">
        <f>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IF(COUNTIFS(资产清单!$A$6:$A$25,A186)&lt;&gt;1,"",IF(COUNT(INDEX(资产清单!$M$6:$M$25,MATCH(A186,资产清单!$A$6:$A$25,0)))&lt;&gt;1,"",INDEX(资产清单!$M$6:$M$25,MATCH(A186,资产清单!$A$6:$A$25,0)))),"不适用")</f>
        <v>1</v>
      </c>
      <c r="G186" s="17">
        <f>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IF(COUNTIFS(市场案例库!$A$6:$A$35,C186)&lt;&gt;1,"",IF(COUNT(INDEX(市场案例库!$H$6:$H$35,MATCH(C186,市场案例库!$A$6:$A$35,0)))&lt;&gt;1,"",INDEX(市场案例库!$H$6:$H$35,MATCH(C186,市场案例库!$A$6:$A$35,0)))),"不适用")</f>
        <v>1</v>
      </c>
      <c r="H186" s="19">
        <f>测算参数!$B$6</f>
        <v>100</v>
      </c>
      <c r="I186" s="19">
        <f>IF(OR(COUNTIFS(市场案例库!$A$6:$A$35,C186)&lt;&gt;1,AND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COUNT(IF(COUNTIFS(资产清单!$A$6:$A$25,A186)&lt;&gt;1,"",IF(COUNT(INDEX(资产清单!$M$6:$M$25,MATCH(A186,资产清单!$A$6:$A$25,0)))&lt;&gt;1,"",INDEX(资产清单!$M$6:$M$25,MATCH(A186,资产清单!$A$6:$A$25,0)))),IF(COUNTIFS(市场案例库!$A$6:$A$35,C186)&lt;&gt;1,"",IF(COUNT(INDEX(市场案例库!$H$6:$H$35,MATCH(C186,市场案例库!$A$6:$A$35,0)))&lt;&gt;1,"",INDEX(市场案例库!$H$6:$H$35,MATCH(C186,市场案例库!$A$6:$A$35,0)))))&lt;&gt;2)),"",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INDEX(测算参数!$B$25:$B$31,MATCH(MAX(-测算参数!$B$11,MIN(测算参数!$B$11,IF(COUNTIFS(资产清单!$A$6:$A$25,A186)&lt;&gt;1,"",IF(COUNT(INDEX(资产清单!$M$6:$M$25,MATCH(A186,资产清单!$A$6:$A$25,0)))&lt;&gt;1,"",INDEX(资产清单!$M$6:$M$25,MATCH(A186,资产清单!$A$6:$A$25,0))))-IF(COUNTIFS(市场案例库!$A$6:$A$35,C186)&lt;&gt;1,"",IF(COUNT(INDEX(市场案例库!$H$6:$H$35,MATCH(C186,市场案例库!$A$6:$A$35,0)))&lt;&gt;1,"",INDEX(市场案例库!$H$6:$H$35,MATCH(C186,市场案例库!$A$6:$A$35,0)))))),测算参数!$A$25:$A$31,0)),测算参数!$B$6))</f>
        <v>100</v>
      </c>
      <c r="J186" s="21">
        <f>IF(OR(C186&lt;&gt;N186,COUNT(H186:I186)&lt;&gt;2,H186&lt;=0,I186&lt;=0),"",IF(OR(IF(COUNTIFS(资产清单!$A$6:$A$25,A186)&lt;&gt;1,"",IF(INDEX(资产清单!$H$6:$H$25,MATCH(A186,资产清单!$A$6:$A$25,0))="","",INDEX(资产清单!$H$6:$H$25,MATCH(A186,资产清单!$A$6:$A$25,0))))="商业",IF(COUNTIFS(资产清单!$A$6:$A$25,A186)&lt;&gt;1,"",IF(INDEX(资产清单!$H$6:$H$25,MATCH(A186,资产清单!$A$6:$A$25,0))="","",INDEX(资产清单!$H$6:$H$25,MATCH(A186,资产清单!$A$6:$A$25,0))))="办公",IF(COUNTIFS(资产清单!$A$6:$A$25,A186)&lt;&gt;1,"",IF(INDEX(资产清单!$H$6:$H$25,MATCH(A186,资产清单!$A$6:$A$25,0))="","",INDEX(资产清单!$H$6:$H$25,MATCH(A186,资产清单!$A$6:$A$25,0))))="住宅"),H186/I186,H186/H186))</f>
        <v>1</v>
      </c>
      <c r="K186" s="16" t="s">
        <v>235</v>
      </c>
      <c r="L186" s="16" t="s">
        <v>218</v>
      </c>
      <c r="M186" s="16" t="str">
        <f t="shared" si="18"/>
        <v>模拟评分记录完整</v>
      </c>
      <c r="N186" s="8" t="s">
        <v>160</v>
      </c>
    </row>
    <row r="187" spans="1:14" ht="46.05" customHeight="1">
      <c r="A187" s="16" t="s">
        <v>76</v>
      </c>
      <c r="B187" s="16">
        <v>3</v>
      </c>
      <c r="C187" s="17" t="str">
        <f>三案例选用!D9</f>
        <v>SC-009</v>
      </c>
      <c r="D187" s="16" t="s">
        <v>219</v>
      </c>
      <c r="E187" s="17" t="str">
        <f>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"适用","不适用采用100/100")</f>
        <v>适用</v>
      </c>
      <c r="F187" s="17">
        <f>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IF(COUNTIFS(资产清单!$A$6:$A$25,A187)&lt;&gt;1,"",IF(COUNT(INDEX(资产清单!$L$6:$L$25,MATCH(A187,资产清单!$A$6:$A$25,0)))&lt;&gt;1,"",INDEX(资产清单!$L$6:$L$25,MATCH(A187,资产清单!$A$6:$A$25,0)))),"不适用")</f>
        <v>38</v>
      </c>
      <c r="G187" s="17">
        <f>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IF(COUNTIFS(市场案例库!$A$6:$A$35,C187)&lt;&gt;1,"",IF(COUNT(INDEX(市场案例库!$G$6:$G$35,MATCH(C187,市场案例库!$A$6:$A$35,0)))&lt;&gt;1,"",INDEX(市场案例库!$G$6:$G$35,MATCH(C187,市场案例库!$A$6:$A$35,0)))),"不适用")</f>
        <v>50</v>
      </c>
      <c r="H187" s="19">
        <f>测算参数!$B$6</f>
        <v>100</v>
      </c>
      <c r="I187" s="19">
        <f>IF(OR(COUNTIFS(市场案例库!$A$6:$A$35,C187)&lt;&gt;1,AND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OR(COUNT(IF(COUNTIFS(资产清单!$A$6:$A$25,A187)&lt;&gt;1,"",IF(COUNT(INDEX(资产清单!$L$6:$L$25,MATCH(A187,资产清单!$A$6:$A$25,0)))&lt;&gt;1,"",INDEX(资产清单!$L$6:$L$25,MATCH(A187,资产清单!$A$6:$A$25,0)))),IF(COUNTIFS(市场案例库!$A$6:$A$35,C187)&lt;&gt;1,"",IF(COUNT(INDEX(市场案例库!$G$6:$G$35,MATCH(C187,市场案例库!$A$6:$A$35,0)))&lt;&gt;1,"",INDEX(市场案例库!$G$6:$G$35,MATCH(C187,市场案例库!$A$6:$A$35,0)))))&lt;&gt;2,IF(COUNTIFS(资产清单!$A$6:$A$25,A187)&lt;&gt;1,"",IF(COUNT(INDEX(资产清单!$L$6:$L$25,MATCH(A187,资产清单!$A$6:$A$25,0)))&lt;&gt;1,"",INDEX(资产清单!$L$6:$L$25,MATCH(A187,资产清单!$A$6:$A$25,0))))&lt;=0,IF(COUNTIFS(市场案例库!$A$6:$A$35,C187)&lt;&gt;1,"",IF(COUNT(INDEX(市场案例库!$G$6:$G$35,MATCH(C187,市场案例库!$A$6:$A$35,0)))&lt;&gt;1,"",INDEX(市场案例库!$G$6:$G$35,MATCH(C187,市场案例库!$A$6:$A$35,0))))&lt;=0))),"",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LOOKUP(IF(COUNTIFS(市场案例库!$A$6:$A$35,C187)&lt;&gt;1,"",IF(COUNT(INDEX(市场案例库!$G$6:$G$35,MATCH(C187,市场案例库!$A$6:$A$35,0)))&lt;&gt;1,"",INDEX(市场案例库!$G$6:$G$35,MATCH(C187,市场案例库!$A$6:$A$35,0))))/IF(COUNTIFS(资产清单!$A$6:$A$25,A187)&lt;&gt;1,"",IF(COUNT(INDEX(资产清单!$L$6:$L$25,MATCH(A187,资产清单!$A$6:$A$25,0)))&lt;&gt;1,"",INDEX(资产清单!$L$6:$L$25,MATCH(A187,资产清单!$A$6:$A$25,0)))),测算参数!$A$15:$A$21,测算参数!$C$15:$C$21),测算参数!$B$6))</f>
        <v>98</v>
      </c>
      <c r="J187" s="21">
        <f>IF(OR(C187&lt;&gt;N187,COUNT(H187:I187)&lt;&gt;2,H187&lt;=0,I187&lt;=0),"",IF(AND(IF(COUNTIFS(资产清单!$A$6:$A$25,A187)&lt;&gt;1,"",IF(INDEX(资产清单!$J$6:$J$25,MATCH(A187,资产清单!$A$6:$A$25,0))="","",INDEX(资产清单!$J$6:$J$25,MATCH(A187,资产清单!$A$6:$A$25,0))))="元/㎡/月",IF(COUNTIFS(资产清单!$A$6:$A$25,A187)&lt;&gt;1,"",IF(INDEX(资产清单!$H$6:$H$25,MATCH(A187,资产清单!$A$6:$A$25,0))="","",INDEX(资产清单!$H$6:$H$25,MATCH(A187,资产清单!$A$6:$A$25,0))))&lt;&gt;"场地"),H187/I187,H187/H187))</f>
        <v>1.0204081632653061</v>
      </c>
      <c r="K187" s="16" t="s">
        <v>235</v>
      </c>
      <c r="L187" s="16" t="s">
        <v>220</v>
      </c>
      <c r="M187" s="16" t="str">
        <f t="shared" si="18"/>
        <v>模拟评分记录完整</v>
      </c>
      <c r="N187" s="8" t="s">
        <v>160</v>
      </c>
    </row>
    <row r="188" spans="1:14" ht="46.05" customHeight="1">
      <c r="A188" s="16" t="s">
        <v>76</v>
      </c>
      <c r="B188" s="16">
        <v>3</v>
      </c>
      <c r="C188" s="17" t="str">
        <f>三案例选用!D9</f>
        <v>SC-009</v>
      </c>
      <c r="D188" s="16" t="s">
        <v>221</v>
      </c>
      <c r="E188" s="16" t="str">
        <f t="shared" ref="E188:E193" si="25">IF(TRUE,"适用","不适用采用100/100")</f>
        <v>适用</v>
      </c>
      <c r="F188" s="17" t="str">
        <f>IF(TRUE,IF(COUNTIFS(资产清单!$A$6:$A$25,A188)&lt;&gt;1,"",IF(INDEX(资产清单!$I$6:$I$25,MATCH(A188,资产清单!$A$6:$A$25,0))="","",INDEX(资产清单!$I$6:$I$25,MATCH(A188,资产清单!$A$6:$A$25,0)))),"不适用")</f>
        <v>内部通道商铺</v>
      </c>
      <c r="G188" s="17" t="str">
        <f>IF(TRUE,IF(COUNTIFS(市场案例库!$A$6:$A$35,C188)&lt;&gt;1,"",IF(INDEX(市场案例库!$O$6:$O$35,MATCH(C188,市场案例库!$A$6:$A$35,0))="","",INDEX(市场案例库!$O$6:$O$35,MATCH(C188,市场案例库!$A$6:$A$35,0)))),"不适用")</f>
        <v>临街商铺</v>
      </c>
      <c r="H188" s="19">
        <f>测算参数!$B$6</f>
        <v>100</v>
      </c>
      <c r="I188" s="10">
        <v>100</v>
      </c>
      <c r="J188" s="20">
        <f t="shared" ref="J188:J193" si="26">IF(OR(C188&lt;&gt;N188,COUNT(H188:I188)&lt;&gt;2,H188&lt;=0,I188&lt;=0),"",IF(TRUE,H188/I188,H188/H188))</f>
        <v>1</v>
      </c>
      <c r="K188" s="16" t="s">
        <v>235</v>
      </c>
      <c r="L188" s="16" t="s">
        <v>215</v>
      </c>
      <c r="M188" s="16" t="str">
        <f t="shared" si="18"/>
        <v>模拟评分记录完整</v>
      </c>
      <c r="N188" s="8" t="s">
        <v>160</v>
      </c>
    </row>
    <row r="189" spans="1:14" ht="46.05" customHeight="1">
      <c r="A189" s="16" t="s">
        <v>76</v>
      </c>
      <c r="B189" s="16">
        <v>3</v>
      </c>
      <c r="C189" s="17" t="str">
        <f>三案例选用!D9</f>
        <v>SC-009</v>
      </c>
      <c r="D189" s="16" t="s">
        <v>222</v>
      </c>
      <c r="E189" s="16" t="str">
        <f t="shared" si="25"/>
        <v>适用</v>
      </c>
      <c r="F189" s="17" t="str">
        <f>IF(TRUE,IF(COUNTIFS(资产清单!$A$6:$A$25,A189)&lt;&gt;1,"",IF(INDEX(资产清单!$I$6:$I$25,MATCH(A189,资产清单!$A$6:$A$25,0))="","",INDEX(资产清单!$I$6:$I$25,MATCH(A189,资产清单!$A$6:$A$25,0)))),"不适用")</f>
        <v>内部通道商铺</v>
      </c>
      <c r="G189" s="17" t="str">
        <f>IF(TRUE,IF(COUNTIFS(市场案例库!$A$6:$A$35,C189)&lt;&gt;1,"",IF(INDEX(市场案例库!$O$6:$O$35,MATCH(C189,市场案例库!$A$6:$A$35,0))="","",INDEX(市场案例库!$O$6:$O$35,MATCH(C189,市场案例库!$A$6:$A$35,0)))),"不适用")</f>
        <v>临街商铺</v>
      </c>
      <c r="H189" s="19">
        <f>测算参数!$B$6</f>
        <v>100</v>
      </c>
      <c r="I189" s="10">
        <v>100</v>
      </c>
      <c r="J189" s="20">
        <f t="shared" si="26"/>
        <v>1</v>
      </c>
      <c r="K189" s="16" t="s">
        <v>235</v>
      </c>
      <c r="L189" s="16" t="s">
        <v>215</v>
      </c>
      <c r="M189" s="16" t="str">
        <f t="shared" si="18"/>
        <v>模拟评分记录完整</v>
      </c>
      <c r="N189" s="8" t="s">
        <v>160</v>
      </c>
    </row>
    <row r="190" spans="1:14" ht="46.05" customHeight="1">
      <c r="A190" s="16" t="s">
        <v>76</v>
      </c>
      <c r="B190" s="16">
        <v>3</v>
      </c>
      <c r="C190" s="17" t="str">
        <f>三案例选用!D9</f>
        <v>SC-009</v>
      </c>
      <c r="D190" s="16" t="s">
        <v>224</v>
      </c>
      <c r="E190" s="16" t="str">
        <f t="shared" si="25"/>
        <v>适用</v>
      </c>
      <c r="F190" s="17" t="str">
        <f>IF(TRUE,IF(COUNTIFS(资产清单!$A$6:$A$25,A190)&lt;&gt;1,"",IF(INDEX(资产清单!$I$6:$I$25,MATCH(A190,资产清单!$A$6:$A$25,0))="","",INDEX(资产清单!$I$6:$I$25,MATCH(A190,资产清单!$A$6:$A$25,0)))),"不适用")</f>
        <v>内部通道商铺</v>
      </c>
      <c r="G190" s="17" t="str">
        <f>IF(TRUE,IF(COUNTIFS(市场案例库!$A$6:$A$35,C190)&lt;&gt;1,"",IF(INDEX(市场案例库!$O$6:$O$35,MATCH(C190,市场案例库!$A$6:$A$35,0))="","",INDEX(市场案例库!$O$6:$O$35,MATCH(C190,市场案例库!$A$6:$A$35,0)))),"不适用")</f>
        <v>临街商铺</v>
      </c>
      <c r="H190" s="19">
        <f>测算参数!$B$6</f>
        <v>100</v>
      </c>
      <c r="I190" s="10">
        <v>100</v>
      </c>
      <c r="J190" s="20">
        <f t="shared" si="26"/>
        <v>1</v>
      </c>
      <c r="K190" s="16" t="s">
        <v>235</v>
      </c>
      <c r="L190" s="16" t="s">
        <v>215</v>
      </c>
      <c r="M190" s="16" t="str">
        <f t="shared" si="18"/>
        <v>模拟评分记录完整</v>
      </c>
      <c r="N190" s="8" t="s">
        <v>160</v>
      </c>
    </row>
    <row r="191" spans="1:14" ht="46.05" customHeight="1">
      <c r="A191" s="16" t="s">
        <v>76</v>
      </c>
      <c r="B191" s="16">
        <v>3</v>
      </c>
      <c r="C191" s="17" t="str">
        <f>三案例选用!D9</f>
        <v>SC-009</v>
      </c>
      <c r="D191" s="16" t="s">
        <v>225</v>
      </c>
      <c r="E191" s="16" t="str">
        <f t="shared" si="25"/>
        <v>适用</v>
      </c>
      <c r="F191" s="17" t="str">
        <f>IF(TRUE,IF(COUNTIFS(资产清单!$A$6:$A$25,A191)&lt;&gt;1,"",IF(INDEX(资产清单!$I$6:$I$25,MATCH(A191,资产清单!$A$6:$A$25,0))="","",INDEX(资产清单!$I$6:$I$25,MATCH(A191,资产清单!$A$6:$A$25,0)))),"不适用")</f>
        <v>内部通道商铺</v>
      </c>
      <c r="G191" s="17" t="str">
        <f>IF(TRUE,IF(COUNTIFS(市场案例库!$A$6:$A$35,C191)&lt;&gt;1,"",IF(INDEX(市场案例库!$O$6:$O$35,MATCH(C191,市场案例库!$A$6:$A$35,0))="","",INDEX(市场案例库!$O$6:$O$35,MATCH(C191,市场案例库!$A$6:$A$35,0)))),"不适用")</f>
        <v>临街商铺</v>
      </c>
      <c r="H191" s="19">
        <f>测算参数!$B$6</f>
        <v>100</v>
      </c>
      <c r="I191" s="10">
        <v>100</v>
      </c>
      <c r="J191" s="20">
        <f t="shared" si="26"/>
        <v>1</v>
      </c>
      <c r="K191" s="16" t="s">
        <v>235</v>
      </c>
      <c r="L191" s="16" t="s">
        <v>215</v>
      </c>
      <c r="M191" s="16" t="str">
        <f t="shared" si="18"/>
        <v>模拟评分记录完整</v>
      </c>
      <c r="N191" s="8" t="s">
        <v>160</v>
      </c>
    </row>
    <row r="192" spans="1:14" ht="46.05" customHeight="1">
      <c r="A192" s="16" t="s">
        <v>76</v>
      </c>
      <c r="B192" s="16">
        <v>3</v>
      </c>
      <c r="C192" s="17" t="str">
        <f>三案例选用!D9</f>
        <v>SC-009</v>
      </c>
      <c r="D192" s="16" t="s">
        <v>226</v>
      </c>
      <c r="E192" s="16" t="str">
        <f t="shared" si="25"/>
        <v>适用</v>
      </c>
      <c r="F192" s="17" t="str">
        <f>IF(TRUE,IF(COUNTIFS(资产清单!$A$6:$A$25,A192)&lt;&gt;1,"",IF(INDEX(资产清单!$I$6:$I$25,MATCH(A192,资产清单!$A$6:$A$25,0))="","",INDEX(资产清单!$I$6:$I$25,MATCH(A192,资产清单!$A$6:$A$25,0)))),"不适用")</f>
        <v>内部通道商铺</v>
      </c>
      <c r="G192" s="17" t="str">
        <f>IF(TRUE,IF(COUNTIFS(市场案例库!$A$6:$A$35,C192)&lt;&gt;1,"",IF(INDEX(市场案例库!$O$6:$O$35,MATCH(C192,市场案例库!$A$6:$A$35,0))="","",INDEX(市场案例库!$O$6:$O$35,MATCH(C192,市场案例库!$A$6:$A$35,0)))),"不适用")</f>
        <v>临街商铺</v>
      </c>
      <c r="H192" s="19">
        <f>测算参数!$B$6</f>
        <v>100</v>
      </c>
      <c r="I192" s="10">
        <v>100</v>
      </c>
      <c r="J192" s="20">
        <f t="shared" si="26"/>
        <v>1</v>
      </c>
      <c r="K192" s="16" t="s">
        <v>235</v>
      </c>
      <c r="L192" s="16" t="s">
        <v>215</v>
      </c>
      <c r="M192" s="16" t="str">
        <f t="shared" si="18"/>
        <v>模拟评分记录完整</v>
      </c>
      <c r="N192" s="8" t="s">
        <v>160</v>
      </c>
    </row>
    <row r="193" spans="1:14" ht="46.05" customHeight="1">
      <c r="A193" s="16" t="s">
        <v>76</v>
      </c>
      <c r="B193" s="16">
        <v>3</v>
      </c>
      <c r="C193" s="17" t="str">
        <f>三案例选用!D9</f>
        <v>SC-009</v>
      </c>
      <c r="D193" s="16" t="s">
        <v>227</v>
      </c>
      <c r="E193" s="16" t="str">
        <f t="shared" si="25"/>
        <v>适用</v>
      </c>
      <c r="F193" s="17" t="str">
        <f>IF(TRUE,IF(COUNTIFS(资产清单!$A$6:$A$25,A193)&lt;&gt;1,"",IF(INDEX(资产清单!$I$6:$I$25,MATCH(A193,资产清单!$A$6:$A$25,0))="","",INDEX(资产清单!$I$6:$I$25,MATCH(A193,资产清单!$A$6:$A$25,0)))),"不适用")</f>
        <v>内部通道商铺</v>
      </c>
      <c r="G193" s="17" t="str">
        <f>IF(TRUE,IF(COUNTIFS(市场案例库!$A$6:$A$35,C193)&lt;&gt;1,"",IF(INDEX(市场案例库!$O$6:$O$35,MATCH(C193,市场案例库!$A$6:$A$35,0))="","",INDEX(市场案例库!$O$6:$O$35,MATCH(C193,市场案例库!$A$6:$A$35,0)))),"不适用")</f>
        <v>临街商铺</v>
      </c>
      <c r="H193" s="19">
        <f>测算参数!$B$6</f>
        <v>100</v>
      </c>
      <c r="I193" s="10">
        <v>100</v>
      </c>
      <c r="J193" s="20">
        <f t="shared" si="26"/>
        <v>1</v>
      </c>
      <c r="K193" s="16" t="s">
        <v>235</v>
      </c>
      <c r="L193" s="16" t="s">
        <v>215</v>
      </c>
      <c r="M193" s="16" t="str">
        <f t="shared" si="18"/>
        <v>模拟评分记录完整</v>
      </c>
      <c r="N193" s="8" t="s">
        <v>160</v>
      </c>
    </row>
    <row r="194" spans="1:14" ht="46.05" customHeight="1">
      <c r="A194" s="16" t="s">
        <v>76</v>
      </c>
      <c r="B194" s="16">
        <v>3</v>
      </c>
      <c r="C194" s="17" t="str">
        <f>三案例选用!D9</f>
        <v>SC-009</v>
      </c>
      <c r="D194" s="16" t="s">
        <v>228</v>
      </c>
      <c r="E194" s="17" t="str">
        <f>IF(AND(IF(COUNTIFS(资产清单!$A$6:$A$25,A194)&lt;&gt;1,"",IF(INDEX(资产清单!$H$6:$H$25,MATCH(A194,资产清单!$A$6:$A$25,0))="","",INDEX(资产清单!$H$6:$H$25,MATCH(A194,资产清单!$A$6:$A$25,0))))&lt;&gt;"场地",IF(COUNTIFS(资产清单!$A$6:$A$25,A194)&lt;&gt;1,"",IF(INDEX(资产清单!$H$6:$H$25,MATCH(A194,资产清单!$A$6:$A$25,0))="","",INDEX(资产清单!$H$6:$H$25,MATCH(A194,资产清单!$A$6:$A$25,0))))&lt;&gt;"车位",IF(COUNTIFS(资产清单!$A$6:$A$25,A194)&lt;&gt;1,"",IF(INDEX(资产清单!$H$6:$H$25,MATCH(A194,资产清单!$A$6:$A$25,0))="","",INDEX(资产清单!$H$6:$H$25,MATCH(A194,资产清单!$A$6:$A$25,0))))&lt;&gt;"通信基站"),"适用","不适用采用100/100")</f>
        <v>适用</v>
      </c>
      <c r="F194" s="17" t="str">
        <f>IF(AND(IF(COUNTIFS(资产清单!$A$6:$A$25,A194)&lt;&gt;1,"",IF(INDEX(资产清单!$H$6:$H$25,MATCH(A194,资产清单!$A$6:$A$25,0))="","",INDEX(资产清单!$H$6:$H$25,MATCH(A194,资产清单!$A$6:$A$25,0))))&lt;&gt;"场地",IF(COUNTIFS(资产清单!$A$6:$A$25,A194)&lt;&gt;1,"",IF(INDEX(资产清单!$H$6:$H$25,MATCH(A194,资产清单!$A$6:$A$25,0))="","",INDEX(资产清单!$H$6:$H$25,MATCH(A194,资产清单!$A$6:$A$25,0))))&lt;&gt;"车位",IF(COUNTIFS(资产清单!$A$6:$A$25,A194)&lt;&gt;1,"",IF(INDEX(资产清单!$H$6:$H$25,MATCH(A194,资产清单!$A$6:$A$25,0))="","",INDEX(资产清单!$H$6:$H$25,MATCH(A194,资产清单!$A$6:$A$25,0))))&lt;&gt;"通信基站"),IF(COUNTIFS(资产清单!$A$6:$A$25,A194)&lt;&gt;1,"",IF(INDEX(资产清单!$I$6:$I$25,MATCH(A194,资产清单!$A$6:$A$25,0))="","",INDEX(资产清单!$I$6:$I$25,MATCH(A194,资产清单!$A$6:$A$25,0)))),"不适用")</f>
        <v>内部通道商铺</v>
      </c>
      <c r="G194" s="17" t="str">
        <f>IF(AND(IF(COUNTIFS(资产清单!$A$6:$A$25,A194)&lt;&gt;1,"",IF(INDEX(资产清单!$H$6:$H$25,MATCH(A194,资产清单!$A$6:$A$25,0))="","",INDEX(资产清单!$H$6:$H$25,MATCH(A194,资产清单!$A$6:$A$25,0))))&lt;&gt;"场地",IF(COUNTIFS(资产清单!$A$6:$A$25,A194)&lt;&gt;1,"",IF(INDEX(资产清单!$H$6:$H$25,MATCH(A194,资产清单!$A$6:$A$25,0))="","",INDEX(资产清单!$H$6:$H$25,MATCH(A194,资产清单!$A$6:$A$25,0))))&lt;&gt;"车位",IF(COUNTIFS(资产清单!$A$6:$A$25,A194)&lt;&gt;1,"",IF(INDEX(资产清单!$H$6:$H$25,MATCH(A194,资产清单!$A$6:$A$25,0))="","",INDEX(资产清单!$H$6:$H$25,MATCH(A194,资产清单!$A$6:$A$25,0))))&lt;&gt;"通信基站"),IF(COUNTIFS(市场案例库!$A$6:$A$35,C194)&lt;&gt;1,"",IF(INDEX(市场案例库!$O$6:$O$35,MATCH(C194,市场案例库!$A$6:$A$35,0))="","",INDEX(市场案例库!$O$6:$O$35,MATCH(C194,市场案例库!$A$6:$A$35,0)))),"不适用")</f>
        <v>临街商铺</v>
      </c>
      <c r="H194" s="19">
        <f>测算参数!$B$6</f>
        <v>100</v>
      </c>
      <c r="I194" s="10">
        <v>100</v>
      </c>
      <c r="J194" s="21">
        <f>IF(OR(C194&lt;&gt;N194,COUNT(H194:I194)&lt;&gt;2,H194&lt;=0,I194&lt;=0),"",IF(AND(IF(COUNTIFS(资产清单!$A$6:$A$25,A194)&lt;&gt;1,"",IF(INDEX(资产清单!$H$6:$H$25,MATCH(A194,资产清单!$A$6:$A$25,0))="","",INDEX(资产清单!$H$6:$H$25,MATCH(A194,资产清单!$A$6:$A$25,0))))&lt;&gt;"场地",IF(COUNTIFS(资产清单!$A$6:$A$25,A194)&lt;&gt;1,"",IF(INDEX(资产清单!$H$6:$H$25,MATCH(A194,资产清单!$A$6:$A$25,0))="","",INDEX(资产清单!$H$6:$H$25,MATCH(A194,资产清单!$A$6:$A$25,0))))&lt;&gt;"车位",IF(COUNTIFS(资产清单!$A$6:$A$25,A194)&lt;&gt;1,"",IF(INDEX(资产清单!$H$6:$H$25,MATCH(A194,资产清单!$A$6:$A$25,0))="","",INDEX(资产清单!$H$6:$H$25,MATCH(A194,资产清单!$A$6:$A$25,0))))&lt;&gt;"通信基站"),H194/I194,H194/H194))</f>
        <v>1</v>
      </c>
      <c r="K194" s="16" t="s">
        <v>235</v>
      </c>
      <c r="L194" s="16" t="s">
        <v>215</v>
      </c>
      <c r="M194" s="16" t="str">
        <f t="shared" si="18"/>
        <v>模拟评分记录完整</v>
      </c>
      <c r="N194" s="8" t="s">
        <v>160</v>
      </c>
    </row>
    <row r="195" spans="1:14" ht="46.05" customHeight="1">
      <c r="A195" s="16" t="s">
        <v>76</v>
      </c>
      <c r="B195" s="16">
        <v>3</v>
      </c>
      <c r="C195" s="17" t="str">
        <f>三案例选用!D9</f>
        <v>SC-009</v>
      </c>
      <c r="D195" s="16" t="s">
        <v>229</v>
      </c>
      <c r="E195" s="17" t="str">
        <f>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"适用","不适用采用100/100")</f>
        <v>适用</v>
      </c>
      <c r="F195" s="17">
        <f>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IF(COUNTIFS(资产清单!$A$6:$A$25,A195)&lt;&gt;1,"",IF(COUNT(INDEX(资产清单!$N$6:$N$25,MATCH(A195,资产清单!$A$6:$A$25,0)))&lt;&gt;1,"",INDEX(资产清单!$N$6:$N$25,MATCH(A195,资产清单!$A$6:$A$25,0)))),"不适用")</f>
        <v>2</v>
      </c>
      <c r="G195" s="17">
        <f>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IF(COUNTIFS(市场案例库!$A$6:$A$35,C195)&lt;&gt;1,"",IF(COUNT(INDEX(市场案例库!$I$6:$I$35,MATCH(C195,市场案例库!$A$6:$A$35,0)))&lt;&gt;1,"",INDEX(市场案例库!$I$6:$I$35,MATCH(C195,市场案例库!$A$6:$A$35,0)))),"不适用")</f>
        <v>2</v>
      </c>
      <c r="H195" s="19">
        <f>测算参数!$B$6</f>
        <v>100</v>
      </c>
      <c r="I195" s="19">
        <f>IF(OR(COUNTIFS(市场案例库!$A$6:$A$35,C195)&lt;&gt;1,AND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OR(COUNT(IF(COUNTIFS(资产清单!$A$6:$A$25,A195)&lt;&gt;1,"",IF(COUNT(INDEX(资产清单!$N$6:$N$25,MATCH(A195,资产清单!$A$6:$A$25,0)))&lt;&gt;1,"",INDEX(资产清单!$N$6:$N$25,MATCH(A195,资产清单!$A$6:$A$25,0)))),IF(COUNTIFS(市场案例库!$A$6:$A$35,C195)&lt;&gt;1,"",IF(COUNT(INDEX(市场案例库!$I$6:$I$35,MATCH(C195,市场案例库!$A$6:$A$35,0)))&lt;&gt;1,"",INDEX(市场案例库!$I$6:$I$35,MATCH(C195,市场案例库!$A$6:$A$35,0)))))&lt;&gt;2,IF(COUNTIFS(资产清单!$A$6:$A$25,A195)&lt;&gt;1,"",IF(COUNT(INDEX(资产清单!$N$6:$N$25,MATCH(A195,资产清单!$A$6:$A$25,0)))&lt;&gt;1,"",INDEX(资产清单!$N$6:$N$25,MATCH(A195,资产清单!$A$6:$A$25,0))))&lt;1,IF(COUNTIFS(资产清单!$A$6:$A$25,A195)&lt;&gt;1,"",IF(COUNT(INDEX(资产清单!$N$6:$N$25,MATCH(A195,资产清单!$A$6:$A$25,0)))&lt;&gt;1,"",INDEX(资产清单!$N$6:$N$25,MATCH(A195,资产清单!$A$6:$A$25,0))))&gt;4,IF(COUNTIFS(市场案例库!$A$6:$A$35,C195)&lt;&gt;1,"",IF(COUNT(INDEX(市场案例库!$I$6:$I$35,MATCH(C195,市场案例库!$A$6:$A$35,0)))&lt;&gt;1,"",INDEX(市场案例库!$I$6:$I$35,MATCH(C195,市场案例库!$A$6:$A$35,0))))&lt;1,IF(COUNTIFS(市场案例库!$A$6:$A$35,C195)&lt;&gt;1,"",IF(COUNT(INDEX(市场案例库!$I$6:$I$35,MATCH(C195,市场案例库!$A$6:$A$35,0)))&lt;&gt;1,"",INDEX(市场案例库!$I$6:$I$35,MATCH(C195,市场案例库!$A$6:$A$35,0))))&gt;4))),"",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INDEX(测算参数!$B$35:$B$41,MATCH(IF(COUNTIFS(市场案例库!$A$6:$A$35,C195)&lt;&gt;1,"",IF(COUNT(INDEX(市场案例库!$I$6:$I$35,MATCH(C195,市场案例库!$A$6:$A$35,0)))&lt;&gt;1,"",INDEX(市场案例库!$I$6:$I$35,MATCH(C195,市场案例库!$A$6:$A$35,0))))-IF(COUNTIFS(资产清单!$A$6:$A$25,A195)&lt;&gt;1,"",IF(COUNT(INDEX(资产清单!$N$6:$N$25,MATCH(A195,资产清单!$A$6:$A$25,0)))&lt;&gt;1,"",INDEX(资产清单!$N$6:$N$25,MATCH(A195,资产清单!$A$6:$A$25,0)))),测算参数!$A$35:$A$41,0)),测算参数!$B$6))</f>
        <v>100</v>
      </c>
      <c r="J195" s="21">
        <f>IF(OR(C195&lt;&gt;N195,COUNT(H195:I195)&lt;&gt;2,H195&lt;=0,I195&lt;=0),"",IF(AND(IF(COUNTIFS(资产清单!$A$6:$A$25,A195)&lt;&gt;1,"",IF(INDEX(资产清单!$H$6:$H$25,MATCH(A195,资产清单!$A$6:$A$25,0))="","",INDEX(资产清单!$H$6:$H$25,MATCH(A195,资产清单!$A$6:$A$25,0))))&lt;&gt;"场地",IF(COUNTIFS(资产清单!$A$6:$A$25,A195)&lt;&gt;1,"",IF(INDEX(资产清单!$H$6:$H$25,MATCH(A195,资产清单!$A$6:$A$25,0))="","",INDEX(资产清单!$H$6:$H$25,MATCH(A195,资产清单!$A$6:$A$25,0))))&lt;&gt;"车位",IF(COUNTIFS(资产清单!$A$6:$A$25,A195)&lt;&gt;1,"",IF(INDEX(资产清单!$H$6:$H$25,MATCH(A195,资产清单!$A$6:$A$25,0))="","",INDEX(资产清单!$H$6:$H$25,MATCH(A195,资产清单!$A$6:$A$25,0))))&lt;&gt;"通信基站"),H195/I195,H195/H195))</f>
        <v>1</v>
      </c>
      <c r="K195" s="16" t="s">
        <v>235</v>
      </c>
      <c r="L195" s="16" t="s">
        <v>230</v>
      </c>
      <c r="M195" s="16" t="str">
        <f t="shared" si="18"/>
        <v>模拟评分记录完整</v>
      </c>
      <c r="N195" s="8" t="s">
        <v>160</v>
      </c>
    </row>
    <row r="196" spans="1:14" ht="46.05" customHeight="1">
      <c r="A196" s="16" t="s">
        <v>76</v>
      </c>
      <c r="B196" s="16">
        <v>3</v>
      </c>
      <c r="C196" s="17" t="str">
        <f>三案例选用!D9</f>
        <v>SC-009</v>
      </c>
      <c r="D196" s="16" t="s">
        <v>231</v>
      </c>
      <c r="E196" s="17" t="str">
        <f>IF(AND(IF(COUNTIFS(资产清单!$A$6:$A$25,A196)&lt;&gt;1,"",IF(INDEX(资产清单!$H$6:$H$25,MATCH(A196,资产清单!$A$6:$A$25,0))="","",INDEX(资产清单!$H$6:$H$25,MATCH(A196,资产清单!$A$6:$A$25,0))))&lt;&gt;"场地",IF(COUNTIFS(资产清单!$A$6:$A$25,A196)&lt;&gt;1,"",IF(INDEX(资产清单!$H$6:$H$25,MATCH(A196,资产清单!$A$6:$A$25,0))="","",INDEX(资产清单!$H$6:$H$25,MATCH(A196,资产清单!$A$6:$A$25,0))))&lt;&gt;"车位",IF(COUNTIFS(资产清单!$A$6:$A$25,A196)&lt;&gt;1,"",IF(INDEX(资产清单!$H$6:$H$25,MATCH(A196,资产清单!$A$6:$A$25,0))="","",INDEX(资产清单!$H$6:$H$25,MATCH(A196,资产清单!$A$6:$A$25,0))))&lt;&gt;"通信基站"),"适用","不适用采用100/100")</f>
        <v>适用</v>
      </c>
      <c r="F196" s="17" t="str">
        <f>IF(AND(IF(COUNTIFS(资产清单!$A$6:$A$25,A196)&lt;&gt;1,"",IF(INDEX(资产清单!$H$6:$H$25,MATCH(A196,资产清单!$A$6:$A$25,0))="","",INDEX(资产清单!$H$6:$H$25,MATCH(A196,资产清单!$A$6:$A$25,0))))&lt;&gt;"场地",IF(COUNTIFS(资产清单!$A$6:$A$25,A196)&lt;&gt;1,"",IF(INDEX(资产清单!$H$6:$H$25,MATCH(A196,资产清单!$A$6:$A$25,0))="","",INDEX(资产清单!$H$6:$H$25,MATCH(A196,资产清单!$A$6:$A$25,0))))&lt;&gt;"车位",IF(COUNTIFS(资产清单!$A$6:$A$25,A196)&lt;&gt;1,"",IF(INDEX(资产清单!$H$6:$H$25,MATCH(A196,资产清单!$A$6:$A$25,0))="","",INDEX(资产清单!$H$6:$H$25,MATCH(A196,资产清单!$A$6:$A$25,0))))&lt;&gt;"通信基站"),IF(COUNTIFS(资产清单!$A$6:$A$25,A196)&lt;&gt;1,"",IF(INDEX(资产清单!$I$6:$I$25,MATCH(A196,资产清单!$A$6:$A$25,0))="","",INDEX(资产清单!$I$6:$I$25,MATCH(A196,资产清单!$A$6:$A$25,0)))),"不适用")</f>
        <v>内部通道商铺</v>
      </c>
      <c r="G196" s="17" t="str">
        <f>IF(AND(IF(COUNTIFS(资产清单!$A$6:$A$25,A196)&lt;&gt;1,"",IF(INDEX(资产清单!$H$6:$H$25,MATCH(A196,资产清单!$A$6:$A$25,0))="","",INDEX(资产清单!$H$6:$H$25,MATCH(A196,资产清单!$A$6:$A$25,0))))&lt;&gt;"场地",IF(COUNTIFS(资产清单!$A$6:$A$25,A196)&lt;&gt;1,"",IF(INDEX(资产清单!$H$6:$H$25,MATCH(A196,资产清单!$A$6:$A$25,0))="","",INDEX(资产清单!$H$6:$H$25,MATCH(A196,资产清单!$A$6:$A$25,0))))&lt;&gt;"车位",IF(COUNTIFS(资产清单!$A$6:$A$25,A196)&lt;&gt;1,"",IF(INDEX(资产清单!$H$6:$H$25,MATCH(A196,资产清单!$A$6:$A$25,0))="","",INDEX(资产清单!$H$6:$H$25,MATCH(A196,资产清单!$A$6:$A$25,0))))&lt;&gt;"通信基站"),IF(COUNTIFS(市场案例库!$A$6:$A$35,C196)&lt;&gt;1,"",IF(INDEX(市场案例库!$O$6:$O$35,MATCH(C196,市场案例库!$A$6:$A$35,0))="","",INDEX(市场案例库!$O$6:$O$35,MATCH(C196,市场案例库!$A$6:$A$35,0)))),"不适用")</f>
        <v>临街商铺</v>
      </c>
      <c r="H196" s="19">
        <f>测算参数!$B$6</f>
        <v>100</v>
      </c>
      <c r="I196" s="10">
        <v>100</v>
      </c>
      <c r="J196" s="21">
        <f>IF(OR(C196&lt;&gt;N196,COUNT(H196:I196)&lt;&gt;2,H196&lt;=0,I196&lt;=0),"",IF(AND(IF(COUNTIFS(资产清单!$A$6:$A$25,A196)&lt;&gt;1,"",IF(INDEX(资产清单!$H$6:$H$25,MATCH(A196,资产清单!$A$6:$A$25,0))="","",INDEX(资产清单!$H$6:$H$25,MATCH(A196,资产清单!$A$6:$A$25,0))))&lt;&gt;"场地",IF(COUNTIFS(资产清单!$A$6:$A$25,A196)&lt;&gt;1,"",IF(INDEX(资产清单!$H$6:$H$25,MATCH(A196,资产清单!$A$6:$A$25,0))="","",INDEX(资产清单!$H$6:$H$25,MATCH(A196,资产清单!$A$6:$A$25,0))))&lt;&gt;"车位",IF(COUNTIFS(资产清单!$A$6:$A$25,A196)&lt;&gt;1,"",IF(INDEX(资产清单!$H$6:$H$25,MATCH(A196,资产清单!$A$6:$A$25,0))="","",INDEX(资产清单!$H$6:$H$25,MATCH(A196,资产清单!$A$6:$A$25,0))))&lt;&gt;"通信基站"),H196/I196,H196/H196))</f>
        <v>1</v>
      </c>
      <c r="K196" s="16" t="s">
        <v>235</v>
      </c>
      <c r="L196" s="16" t="s">
        <v>215</v>
      </c>
      <c r="M196" s="16" t="str">
        <f t="shared" si="18"/>
        <v>模拟评分记录完整</v>
      </c>
      <c r="N196" s="8" t="s">
        <v>160</v>
      </c>
    </row>
    <row r="197" spans="1:14" ht="46.05" customHeight="1">
      <c r="A197" s="16" t="s">
        <v>76</v>
      </c>
      <c r="B197" s="16">
        <v>3</v>
      </c>
      <c r="C197" s="17" t="str">
        <f>三案例选用!D9</f>
        <v>SC-009</v>
      </c>
      <c r="D197" s="16" t="s">
        <v>232</v>
      </c>
      <c r="E197" s="16" t="str">
        <f>IF(TRUE,"适用","不适用采用100/100")</f>
        <v>适用</v>
      </c>
      <c r="F197" s="17" t="str">
        <f>IF(TRUE,IF(COUNTIFS(资产清单!$A$6:$A$25,A197)&lt;&gt;1,"",IF(INDEX(资产清单!$I$6:$I$25,MATCH(A197,资产清单!$A$6:$A$25,0))="","",INDEX(资产清单!$I$6:$I$25,MATCH(A197,资产清单!$A$6:$A$25,0)))),"不适用")</f>
        <v>内部通道商铺</v>
      </c>
      <c r="G197" s="17" t="str">
        <f>IF(TRUE,IF(COUNTIFS(市场案例库!$A$6:$A$35,C197)&lt;&gt;1,"",IF(INDEX(市场案例库!$O$6:$O$35,MATCH(C197,市场案例库!$A$6:$A$35,0))="","",INDEX(市场案例库!$O$6:$O$35,MATCH(C197,市场案例库!$A$6:$A$35,0)))),"不适用")</f>
        <v>临街商铺</v>
      </c>
      <c r="H197" s="19">
        <f>测算参数!$B$6</f>
        <v>100</v>
      </c>
      <c r="I197" s="10">
        <v>105</v>
      </c>
      <c r="J197" s="20">
        <f>IF(OR(C197&lt;&gt;N197,COUNT(H197:I197)&lt;&gt;2,H197&lt;=0,I197&lt;=0),"",IF(TRUE,H197/I197,H197/H197))</f>
        <v>0.95238095238095233</v>
      </c>
      <c r="K197" s="16" t="s">
        <v>235</v>
      </c>
      <c r="L197" s="16" t="s">
        <v>236</v>
      </c>
      <c r="M197" s="16" t="str">
        <f t="shared" si="18"/>
        <v>模拟评分记录完整</v>
      </c>
      <c r="N197" s="8" t="s">
        <v>160</v>
      </c>
    </row>
    <row r="198" spans="1:14" ht="46.05" customHeight="1">
      <c r="A198" s="16" t="s">
        <v>77</v>
      </c>
      <c r="B198" s="16">
        <v>1</v>
      </c>
      <c r="C198" s="17" t="str">
        <f>三案例选用!B10</f>
        <v>SC-010</v>
      </c>
      <c r="D198" s="16" t="s">
        <v>209</v>
      </c>
      <c r="E198" s="16" t="str">
        <f>IF(TRUE,"适用","不适用采用100/100")</f>
        <v>适用</v>
      </c>
      <c r="F198" s="17" t="str">
        <f>IF(TRUE,IF(COUNTIFS(资产清单!$A$6:$A$25,A198)&lt;&gt;1,"",IF(INDEX(资产清单!$I$6:$I$25,MATCH(A198,资产清单!$A$6:$A$25,0))="","",INDEX(资产清单!$I$6:$I$25,MATCH(A198,资产清单!$A$6:$A$25,0)))),"不适用")</f>
        <v>办公用房</v>
      </c>
      <c r="G198" s="17" t="str">
        <f>IF(TRUE,IF(COUNTIFS(市场案例库!$A$6:$A$35,C198)&lt;&gt;1,"",IF(INDEX(市场案例库!$O$6:$O$35,MATCH(C198,市场案例库!$A$6:$A$35,0))="","",INDEX(市场案例库!$O$6:$O$35,MATCH(C198,市场案例库!$A$6:$A$35,0)))),"不适用")</f>
        <v>办公用房</v>
      </c>
      <c r="H198" s="19">
        <f>测算参数!$B$6</f>
        <v>100</v>
      </c>
      <c r="I198" s="19">
        <f>IF(OR(COUNTIFS(市场案例库!$A$6:$A$35,C198)&lt;&gt;1),"",IF(COUNTIFS(市场案例库!$A$6:$A$35,C198)&lt;&gt;1,"",IF(COUNT(INDEX(市场案例库!$M$6:$M$35,MATCH(C198,市场案例库!$A$6:$A$35,0)))&lt;&gt;1,"",INDEX(市场案例库!$M$6:$M$35,MATCH(C198,市场案例库!$A$6:$A$35,0)))))</f>
        <v>102</v>
      </c>
      <c r="J198" s="20">
        <f>IF(OR(C198&lt;&gt;N198,COUNT(H198:I198)&lt;&gt;2,H198&lt;=0,I198&lt;=0),"",IF(TRUE,H198/I198,H198/H198))</f>
        <v>0.98039215686274506</v>
      </c>
      <c r="K198" s="16" t="s">
        <v>237</v>
      </c>
      <c r="L198" s="16" t="s">
        <v>211</v>
      </c>
      <c r="M198" s="16" t="str">
        <f t="shared" ref="M198:M261" si="27">IF(C198&lt;&gt;N198,"待重判评分",IF(COUNT(J198)&lt;&gt;1,"待补评分",IF(OR(K198="",L198=""),"待补依据","模拟评分记录完整")))</f>
        <v>模拟评分记录完整</v>
      </c>
      <c r="N198" s="8" t="s">
        <v>162</v>
      </c>
    </row>
    <row r="199" spans="1:14" ht="46.05" customHeight="1">
      <c r="A199" s="16" t="s">
        <v>77</v>
      </c>
      <c r="B199" s="16">
        <v>1</v>
      </c>
      <c r="C199" s="17" t="str">
        <f>三案例选用!B10</f>
        <v>SC-010</v>
      </c>
      <c r="D199" s="16" t="s">
        <v>212</v>
      </c>
      <c r="E199" s="16" t="str">
        <f>IF(TRUE,"适用","不适用采用100/100")</f>
        <v>适用</v>
      </c>
      <c r="F199" s="17" t="str">
        <f>IF(TRUE,IF(COUNTIFS(资产清单!$A$6:$A$25,A199)&lt;&gt;1,"",IF(INDEX(资产清单!$I$6:$I$25,MATCH(A199,资产清单!$A$6:$A$25,0))="","",INDEX(资产清单!$I$6:$I$25,MATCH(A199,资产清单!$A$6:$A$25,0)))),"不适用")</f>
        <v>办公用房</v>
      </c>
      <c r="G199" s="17" t="str">
        <f>IF(TRUE,IF(COUNTIFS(市场案例库!$A$6:$A$35,C199)&lt;&gt;1,"",IF(INDEX(市场案例库!$O$6:$O$35,MATCH(C199,市场案例库!$A$6:$A$35,0))="","",INDEX(市场案例库!$O$6:$O$35,MATCH(C199,市场案例库!$A$6:$A$35,0)))),"不适用")</f>
        <v>办公用房</v>
      </c>
      <c r="H199" s="19">
        <f>测算参数!$B$6</f>
        <v>100</v>
      </c>
      <c r="I199" s="19">
        <f>IF(OR(COUNTIFS(市场案例库!$A$6:$A$35,C199)&lt;&gt;1),"",IF(COUNTIFS(市场案例库!$A$6:$A$35,C199)&lt;&gt;1,"",IF(COUNT(INDEX(市场案例库!$N$6:$N$35,MATCH(C199,市场案例库!$A$6:$A$35,0)))&lt;&gt;1,"",INDEX(市场案例库!$N$6:$N$35,MATCH(C199,市场案例库!$A$6:$A$35,0)))))</f>
        <v>100</v>
      </c>
      <c r="J199" s="20">
        <f>IF(OR(C199&lt;&gt;N199,COUNT(H199:I199)&lt;&gt;2,H199&lt;=0,I199&lt;=0),"",IF(TRUE,H199/I199,H199/H199))</f>
        <v>1</v>
      </c>
      <c r="K199" s="16" t="s">
        <v>237</v>
      </c>
      <c r="L199" s="16" t="s">
        <v>213</v>
      </c>
      <c r="M199" s="16" t="str">
        <f t="shared" si="27"/>
        <v>模拟评分记录完整</v>
      </c>
      <c r="N199" s="8" t="s">
        <v>162</v>
      </c>
    </row>
    <row r="200" spans="1:14" ht="46.05" customHeight="1">
      <c r="A200" s="16" t="s">
        <v>77</v>
      </c>
      <c r="B200" s="16">
        <v>1</v>
      </c>
      <c r="C200" s="17" t="str">
        <f>三案例选用!B10</f>
        <v>SC-010</v>
      </c>
      <c r="D200" s="16" t="s">
        <v>214</v>
      </c>
      <c r="E200" s="16" t="str">
        <f>IF(TRUE,"适用","不适用采用100/100")</f>
        <v>适用</v>
      </c>
      <c r="F200" s="17" t="str">
        <f>IF(TRUE,IF(COUNTIFS(资产清单!$A$6:$A$25,A200)&lt;&gt;1,"",IF(INDEX(资产清单!$I$6:$I$25,MATCH(A200,资产清单!$A$6:$A$25,0))="","",INDEX(资产清单!$I$6:$I$25,MATCH(A200,资产清单!$A$6:$A$25,0)))),"不适用")</f>
        <v>办公用房</v>
      </c>
      <c r="G200" s="17" t="str">
        <f>IF(TRUE,IF(COUNTIFS(市场案例库!$A$6:$A$35,C200)&lt;&gt;1,"",IF(INDEX(市场案例库!$O$6:$O$35,MATCH(C200,市场案例库!$A$6:$A$35,0))="","",INDEX(市场案例库!$O$6:$O$35,MATCH(C200,市场案例库!$A$6:$A$35,0)))),"不适用")</f>
        <v>办公用房</v>
      </c>
      <c r="H200" s="19">
        <f>测算参数!$B$6</f>
        <v>100</v>
      </c>
      <c r="I200" s="10">
        <v>100</v>
      </c>
      <c r="J200" s="20">
        <f>IF(OR(C200&lt;&gt;N200,COUNT(H200:I200)&lt;&gt;2,H200&lt;=0,I200&lt;=0),"",IF(TRUE,H200/I200,H200/H200))</f>
        <v>1</v>
      </c>
      <c r="K200" s="16" t="s">
        <v>237</v>
      </c>
      <c r="L200" s="16" t="s">
        <v>215</v>
      </c>
      <c r="M200" s="16" t="str">
        <f t="shared" si="27"/>
        <v>模拟评分记录完整</v>
      </c>
      <c r="N200" s="8" t="s">
        <v>162</v>
      </c>
    </row>
    <row r="201" spans="1:14" ht="46.05" customHeight="1">
      <c r="A201" s="16" t="s">
        <v>77</v>
      </c>
      <c r="B201" s="16">
        <v>1</v>
      </c>
      <c r="C201" s="17" t="str">
        <f>三案例选用!B10</f>
        <v>SC-010</v>
      </c>
      <c r="D201" s="16" t="s">
        <v>216</v>
      </c>
      <c r="E201" s="16" t="str">
        <f>IF(TRUE,"适用","不适用采用100/100")</f>
        <v>适用</v>
      </c>
      <c r="F201" s="17" t="str">
        <f>IF(TRUE,IF(COUNTIFS(资产清单!$A$6:$A$25,A201)&lt;&gt;1,"",IF(INDEX(资产清单!$I$6:$I$25,MATCH(A201,资产清单!$A$6:$A$25,0))="","",INDEX(资产清单!$I$6:$I$25,MATCH(A201,资产清单!$A$6:$A$25,0)))),"不适用")</f>
        <v>办公用房</v>
      </c>
      <c r="G201" s="17" t="str">
        <f>IF(TRUE,IF(COUNTIFS(市场案例库!$A$6:$A$35,C201)&lt;&gt;1,"",IF(INDEX(市场案例库!$O$6:$O$35,MATCH(C201,市场案例库!$A$6:$A$35,0))="","",INDEX(市场案例库!$O$6:$O$35,MATCH(C201,市场案例库!$A$6:$A$35,0)))),"不适用")</f>
        <v>办公用房</v>
      </c>
      <c r="H201" s="19">
        <f>测算参数!$B$6</f>
        <v>100</v>
      </c>
      <c r="I201" s="10">
        <v>100</v>
      </c>
      <c r="J201" s="20">
        <f>IF(OR(C201&lt;&gt;N201,COUNT(H201:I201)&lt;&gt;2,H201&lt;=0,I201&lt;=0),"",IF(TRUE,H201/I201,H201/H201))</f>
        <v>1</v>
      </c>
      <c r="K201" s="16" t="s">
        <v>237</v>
      </c>
      <c r="L201" s="16" t="s">
        <v>215</v>
      </c>
      <c r="M201" s="16" t="str">
        <f t="shared" si="27"/>
        <v>模拟评分记录完整</v>
      </c>
      <c r="N201" s="8" t="s">
        <v>162</v>
      </c>
    </row>
    <row r="202" spans="1:14" ht="46.05" customHeight="1">
      <c r="A202" s="16" t="s">
        <v>77</v>
      </c>
      <c r="B202" s="16">
        <v>1</v>
      </c>
      <c r="C202" s="17" t="str">
        <f>三案例选用!B10</f>
        <v>SC-010</v>
      </c>
      <c r="D202" s="16" t="s">
        <v>217</v>
      </c>
      <c r="E202" s="17" t="str">
        <f>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"适用","不适用采用100/100")</f>
        <v>适用</v>
      </c>
      <c r="F202" s="17">
        <f>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IF(COUNTIFS(资产清单!$A$6:$A$25,A202)&lt;&gt;1,"",IF(COUNT(INDEX(资产清单!$M$6:$M$25,MATCH(A202,资产清单!$A$6:$A$25,0)))&lt;&gt;1,"",INDEX(资产清单!$M$6:$M$25,MATCH(A202,资产清单!$A$6:$A$25,0)))),"不适用")</f>
        <v>3</v>
      </c>
      <c r="G202" s="17">
        <f>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IF(COUNTIFS(市场案例库!$A$6:$A$35,C202)&lt;&gt;1,"",IF(COUNT(INDEX(市场案例库!$H$6:$H$35,MATCH(C202,市场案例库!$A$6:$A$35,0)))&lt;&gt;1,"",INDEX(市场案例库!$H$6:$H$35,MATCH(C202,市场案例库!$A$6:$A$35,0)))),"不适用")</f>
        <v>2</v>
      </c>
      <c r="H202" s="19">
        <f>测算参数!$B$6</f>
        <v>100</v>
      </c>
      <c r="I202" s="19">
        <f>IF(OR(COUNTIFS(市场案例库!$A$6:$A$35,C202)&lt;&gt;1,AND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COUNT(IF(COUNTIFS(资产清单!$A$6:$A$25,A202)&lt;&gt;1,"",IF(COUNT(INDEX(资产清单!$M$6:$M$25,MATCH(A202,资产清单!$A$6:$A$25,0)))&lt;&gt;1,"",INDEX(资产清单!$M$6:$M$25,MATCH(A202,资产清单!$A$6:$A$25,0)))),IF(COUNTIFS(市场案例库!$A$6:$A$35,C202)&lt;&gt;1,"",IF(COUNT(INDEX(市场案例库!$H$6:$H$35,MATCH(C202,市场案例库!$A$6:$A$35,0)))&lt;&gt;1,"",INDEX(市场案例库!$H$6:$H$35,MATCH(C202,市场案例库!$A$6:$A$35,0)))))&lt;&gt;2)),"",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INDEX(测算参数!$B$25:$B$31,MATCH(MAX(-测算参数!$B$11,MIN(测算参数!$B$11,IF(COUNTIFS(资产清单!$A$6:$A$25,A202)&lt;&gt;1,"",IF(COUNT(INDEX(资产清单!$M$6:$M$25,MATCH(A202,资产清单!$A$6:$A$25,0)))&lt;&gt;1,"",INDEX(资产清单!$M$6:$M$25,MATCH(A202,资产清单!$A$6:$A$25,0))))-IF(COUNTIFS(市场案例库!$A$6:$A$35,C202)&lt;&gt;1,"",IF(COUNT(INDEX(市场案例库!$H$6:$H$35,MATCH(C202,市场案例库!$A$6:$A$35,0)))&lt;&gt;1,"",INDEX(市场案例库!$H$6:$H$35,MATCH(C202,市场案例库!$A$6:$A$35,0)))))),测算参数!$A$25:$A$31,0)),测算参数!$B$6))</f>
        <v>101</v>
      </c>
      <c r="J202" s="21">
        <f>IF(OR(C202&lt;&gt;N202,COUNT(H202:I202)&lt;&gt;2,H202&lt;=0,I202&lt;=0),"",IF(OR(IF(COUNTIFS(资产清单!$A$6:$A$25,A202)&lt;&gt;1,"",IF(INDEX(资产清单!$H$6:$H$25,MATCH(A202,资产清单!$A$6:$A$25,0))="","",INDEX(资产清单!$H$6:$H$25,MATCH(A202,资产清单!$A$6:$A$25,0))))="商业",IF(COUNTIFS(资产清单!$A$6:$A$25,A202)&lt;&gt;1,"",IF(INDEX(资产清单!$H$6:$H$25,MATCH(A202,资产清单!$A$6:$A$25,0))="","",INDEX(资产清单!$H$6:$H$25,MATCH(A202,资产清单!$A$6:$A$25,0))))="办公",IF(COUNTIFS(资产清单!$A$6:$A$25,A202)&lt;&gt;1,"",IF(INDEX(资产清单!$H$6:$H$25,MATCH(A202,资产清单!$A$6:$A$25,0))="","",INDEX(资产清单!$H$6:$H$25,MATCH(A202,资产清单!$A$6:$A$25,0))))="住宅"),H202/I202,H202/H202))</f>
        <v>0.99009900990099009</v>
      </c>
      <c r="K202" s="16" t="s">
        <v>237</v>
      </c>
      <c r="L202" s="16" t="s">
        <v>218</v>
      </c>
      <c r="M202" s="16" t="str">
        <f t="shared" si="27"/>
        <v>模拟评分记录完整</v>
      </c>
      <c r="N202" s="8" t="s">
        <v>162</v>
      </c>
    </row>
    <row r="203" spans="1:14" ht="46.05" customHeight="1">
      <c r="A203" s="16" t="s">
        <v>77</v>
      </c>
      <c r="B203" s="16">
        <v>1</v>
      </c>
      <c r="C203" s="17" t="str">
        <f>三案例选用!B10</f>
        <v>SC-010</v>
      </c>
      <c r="D203" s="16" t="s">
        <v>219</v>
      </c>
      <c r="E203" s="17" t="str">
        <f>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"适用","不适用采用100/100")</f>
        <v>适用</v>
      </c>
      <c r="F203" s="17">
        <f>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IF(COUNTIFS(资产清单!$A$6:$A$25,A203)&lt;&gt;1,"",IF(COUNT(INDEX(资产清单!$L$6:$L$25,MATCH(A203,资产清单!$A$6:$A$25,0)))&lt;&gt;1,"",INDEX(资产清单!$L$6:$L$25,MATCH(A203,资产清单!$A$6:$A$25,0)))),"不适用")</f>
        <v>140</v>
      </c>
      <c r="G203" s="17">
        <f>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IF(COUNTIFS(市场案例库!$A$6:$A$35,C203)&lt;&gt;1,"",IF(COUNT(INDEX(市场案例库!$G$6:$G$35,MATCH(C203,市场案例库!$A$6:$A$35,0)))&lt;&gt;1,"",INDEX(市场案例库!$G$6:$G$35,MATCH(C203,市场案例库!$A$6:$A$35,0)))),"不适用")</f>
        <v>130</v>
      </c>
      <c r="H203" s="19">
        <f>测算参数!$B$6</f>
        <v>100</v>
      </c>
      <c r="I203" s="19">
        <f>IF(OR(COUNTIFS(市场案例库!$A$6:$A$35,C203)&lt;&gt;1,AND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OR(COUNT(IF(COUNTIFS(资产清单!$A$6:$A$25,A203)&lt;&gt;1,"",IF(COUNT(INDEX(资产清单!$L$6:$L$25,MATCH(A203,资产清单!$A$6:$A$25,0)))&lt;&gt;1,"",INDEX(资产清单!$L$6:$L$25,MATCH(A203,资产清单!$A$6:$A$25,0)))),IF(COUNTIFS(市场案例库!$A$6:$A$35,C203)&lt;&gt;1,"",IF(COUNT(INDEX(市场案例库!$G$6:$G$35,MATCH(C203,市场案例库!$A$6:$A$35,0)))&lt;&gt;1,"",INDEX(市场案例库!$G$6:$G$35,MATCH(C203,市场案例库!$A$6:$A$35,0)))))&lt;&gt;2,IF(COUNTIFS(资产清单!$A$6:$A$25,A203)&lt;&gt;1,"",IF(COUNT(INDEX(资产清单!$L$6:$L$25,MATCH(A203,资产清单!$A$6:$A$25,0)))&lt;&gt;1,"",INDEX(资产清单!$L$6:$L$25,MATCH(A203,资产清单!$A$6:$A$25,0))))&lt;=0,IF(COUNTIFS(市场案例库!$A$6:$A$35,C203)&lt;&gt;1,"",IF(COUNT(INDEX(市场案例库!$G$6:$G$35,MATCH(C203,市场案例库!$A$6:$A$35,0)))&lt;&gt;1,"",INDEX(市场案例库!$G$6:$G$35,MATCH(C203,市场案例库!$A$6:$A$35,0))))&lt;=0))),"",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LOOKUP(IF(COUNTIFS(市场案例库!$A$6:$A$35,C203)&lt;&gt;1,"",IF(COUNT(INDEX(市场案例库!$G$6:$G$35,MATCH(C203,市场案例库!$A$6:$A$35,0)))&lt;&gt;1,"",INDEX(市场案例库!$G$6:$G$35,MATCH(C203,市场案例库!$A$6:$A$35,0))))/IF(COUNTIFS(资产清单!$A$6:$A$25,A203)&lt;&gt;1,"",IF(COUNT(INDEX(资产清单!$L$6:$L$25,MATCH(A203,资产清单!$A$6:$A$25,0)))&lt;&gt;1,"",INDEX(资产清单!$L$6:$L$25,MATCH(A203,资产清单!$A$6:$A$25,0)))),测算参数!$A$15:$A$21,测算参数!$C$15:$C$21),测算参数!$B$6))</f>
        <v>100</v>
      </c>
      <c r="J203" s="21">
        <f>IF(OR(C203&lt;&gt;N203,COUNT(H203:I203)&lt;&gt;2,H203&lt;=0,I203&lt;=0),"",IF(AND(IF(COUNTIFS(资产清单!$A$6:$A$25,A203)&lt;&gt;1,"",IF(INDEX(资产清单!$J$6:$J$25,MATCH(A203,资产清单!$A$6:$A$25,0))="","",INDEX(资产清单!$J$6:$J$25,MATCH(A203,资产清单!$A$6:$A$25,0))))="元/㎡/月",IF(COUNTIFS(资产清单!$A$6:$A$25,A203)&lt;&gt;1,"",IF(INDEX(资产清单!$H$6:$H$25,MATCH(A203,资产清单!$A$6:$A$25,0))="","",INDEX(资产清单!$H$6:$H$25,MATCH(A203,资产清单!$A$6:$A$25,0))))&lt;&gt;"场地"),H203/I203,H203/H203))</f>
        <v>1</v>
      </c>
      <c r="K203" s="16" t="s">
        <v>237</v>
      </c>
      <c r="L203" s="16" t="s">
        <v>220</v>
      </c>
      <c r="M203" s="16" t="str">
        <f t="shared" si="27"/>
        <v>模拟评分记录完整</v>
      </c>
      <c r="N203" s="8" t="s">
        <v>162</v>
      </c>
    </row>
    <row r="204" spans="1:14" ht="46.05" customHeight="1">
      <c r="A204" s="16" t="s">
        <v>77</v>
      </c>
      <c r="B204" s="16">
        <v>1</v>
      </c>
      <c r="C204" s="17" t="str">
        <f>三案例选用!B10</f>
        <v>SC-010</v>
      </c>
      <c r="D204" s="16" t="s">
        <v>221</v>
      </c>
      <c r="E204" s="16" t="str">
        <f t="shared" ref="E204:E209" si="28">IF(TRUE,"适用","不适用采用100/100")</f>
        <v>适用</v>
      </c>
      <c r="F204" s="17" t="str">
        <f>IF(TRUE,IF(COUNTIFS(资产清单!$A$6:$A$25,A204)&lt;&gt;1,"",IF(INDEX(资产清单!$I$6:$I$25,MATCH(A204,资产清单!$A$6:$A$25,0))="","",INDEX(资产清单!$I$6:$I$25,MATCH(A204,资产清单!$A$6:$A$25,0)))),"不适用")</f>
        <v>办公用房</v>
      </c>
      <c r="G204" s="17" t="str">
        <f>IF(TRUE,IF(COUNTIFS(市场案例库!$A$6:$A$35,C204)&lt;&gt;1,"",IF(INDEX(市场案例库!$O$6:$O$35,MATCH(C204,市场案例库!$A$6:$A$35,0))="","",INDEX(市场案例库!$O$6:$O$35,MATCH(C204,市场案例库!$A$6:$A$35,0)))),"不适用")</f>
        <v>办公用房</v>
      </c>
      <c r="H204" s="19">
        <f>测算参数!$B$6</f>
        <v>100</v>
      </c>
      <c r="I204" s="10">
        <v>100</v>
      </c>
      <c r="J204" s="20">
        <f t="shared" ref="J204:J209" si="29">IF(OR(C204&lt;&gt;N204,COUNT(H204:I204)&lt;&gt;2,H204&lt;=0,I204&lt;=0),"",IF(TRUE,H204/I204,H204/H204))</f>
        <v>1</v>
      </c>
      <c r="K204" s="16" t="s">
        <v>237</v>
      </c>
      <c r="L204" s="16" t="s">
        <v>215</v>
      </c>
      <c r="M204" s="16" t="str">
        <f t="shared" si="27"/>
        <v>模拟评分记录完整</v>
      </c>
      <c r="N204" s="8" t="s">
        <v>162</v>
      </c>
    </row>
    <row r="205" spans="1:14" ht="46.05" customHeight="1">
      <c r="A205" s="16" t="s">
        <v>77</v>
      </c>
      <c r="B205" s="16">
        <v>1</v>
      </c>
      <c r="C205" s="17" t="str">
        <f>三案例选用!B10</f>
        <v>SC-010</v>
      </c>
      <c r="D205" s="16" t="s">
        <v>222</v>
      </c>
      <c r="E205" s="16" t="str">
        <f t="shared" si="28"/>
        <v>适用</v>
      </c>
      <c r="F205" s="17" t="str">
        <f>IF(TRUE,IF(COUNTIFS(资产清单!$A$6:$A$25,A205)&lt;&gt;1,"",IF(INDEX(资产清单!$I$6:$I$25,MATCH(A205,资产清单!$A$6:$A$25,0))="","",INDEX(资产清单!$I$6:$I$25,MATCH(A205,资产清单!$A$6:$A$25,0)))),"不适用")</f>
        <v>办公用房</v>
      </c>
      <c r="G205" s="17" t="str">
        <f>IF(TRUE,IF(COUNTIFS(市场案例库!$A$6:$A$35,C205)&lt;&gt;1,"",IF(INDEX(市场案例库!$O$6:$O$35,MATCH(C205,市场案例库!$A$6:$A$35,0))="","",INDEX(市场案例库!$O$6:$O$35,MATCH(C205,市场案例库!$A$6:$A$35,0)))),"不适用")</f>
        <v>办公用房</v>
      </c>
      <c r="H205" s="19">
        <f>测算参数!$B$6</f>
        <v>100</v>
      </c>
      <c r="I205" s="10">
        <v>100</v>
      </c>
      <c r="J205" s="20">
        <f t="shared" si="29"/>
        <v>1</v>
      </c>
      <c r="K205" s="16" t="s">
        <v>237</v>
      </c>
      <c r="L205" s="16" t="s">
        <v>215</v>
      </c>
      <c r="M205" s="16" t="str">
        <f t="shared" si="27"/>
        <v>模拟评分记录完整</v>
      </c>
      <c r="N205" s="8" t="s">
        <v>162</v>
      </c>
    </row>
    <row r="206" spans="1:14" ht="46.05" customHeight="1">
      <c r="A206" s="16" t="s">
        <v>77</v>
      </c>
      <c r="B206" s="16">
        <v>1</v>
      </c>
      <c r="C206" s="17" t="str">
        <f>三案例选用!B10</f>
        <v>SC-010</v>
      </c>
      <c r="D206" s="16" t="s">
        <v>224</v>
      </c>
      <c r="E206" s="16" t="str">
        <f t="shared" si="28"/>
        <v>适用</v>
      </c>
      <c r="F206" s="17" t="str">
        <f>IF(TRUE,IF(COUNTIFS(资产清单!$A$6:$A$25,A206)&lt;&gt;1,"",IF(INDEX(资产清单!$I$6:$I$25,MATCH(A206,资产清单!$A$6:$A$25,0))="","",INDEX(资产清单!$I$6:$I$25,MATCH(A206,资产清单!$A$6:$A$25,0)))),"不适用")</f>
        <v>办公用房</v>
      </c>
      <c r="G206" s="17" t="str">
        <f>IF(TRUE,IF(COUNTIFS(市场案例库!$A$6:$A$35,C206)&lt;&gt;1,"",IF(INDEX(市场案例库!$O$6:$O$35,MATCH(C206,市场案例库!$A$6:$A$35,0))="","",INDEX(市场案例库!$O$6:$O$35,MATCH(C206,市场案例库!$A$6:$A$35,0)))),"不适用")</f>
        <v>办公用房</v>
      </c>
      <c r="H206" s="19">
        <f>测算参数!$B$6</f>
        <v>100</v>
      </c>
      <c r="I206" s="10">
        <v>100</v>
      </c>
      <c r="J206" s="20">
        <f t="shared" si="29"/>
        <v>1</v>
      </c>
      <c r="K206" s="16" t="s">
        <v>237</v>
      </c>
      <c r="L206" s="16" t="s">
        <v>215</v>
      </c>
      <c r="M206" s="16" t="str">
        <f t="shared" si="27"/>
        <v>模拟评分记录完整</v>
      </c>
      <c r="N206" s="8" t="s">
        <v>162</v>
      </c>
    </row>
    <row r="207" spans="1:14" ht="46.05" customHeight="1">
      <c r="A207" s="16" t="s">
        <v>77</v>
      </c>
      <c r="B207" s="16">
        <v>1</v>
      </c>
      <c r="C207" s="17" t="str">
        <f>三案例选用!B10</f>
        <v>SC-010</v>
      </c>
      <c r="D207" s="16" t="s">
        <v>225</v>
      </c>
      <c r="E207" s="16" t="str">
        <f t="shared" si="28"/>
        <v>适用</v>
      </c>
      <c r="F207" s="17" t="str">
        <f>IF(TRUE,IF(COUNTIFS(资产清单!$A$6:$A$25,A207)&lt;&gt;1,"",IF(INDEX(资产清单!$I$6:$I$25,MATCH(A207,资产清单!$A$6:$A$25,0))="","",INDEX(资产清单!$I$6:$I$25,MATCH(A207,资产清单!$A$6:$A$25,0)))),"不适用")</f>
        <v>办公用房</v>
      </c>
      <c r="G207" s="17" t="str">
        <f>IF(TRUE,IF(COUNTIFS(市场案例库!$A$6:$A$35,C207)&lt;&gt;1,"",IF(INDEX(市场案例库!$O$6:$O$35,MATCH(C207,市场案例库!$A$6:$A$35,0))="","",INDEX(市场案例库!$O$6:$O$35,MATCH(C207,市场案例库!$A$6:$A$35,0)))),"不适用")</f>
        <v>办公用房</v>
      </c>
      <c r="H207" s="19">
        <f>测算参数!$B$6</f>
        <v>100</v>
      </c>
      <c r="I207" s="10">
        <v>100</v>
      </c>
      <c r="J207" s="20">
        <f t="shared" si="29"/>
        <v>1</v>
      </c>
      <c r="K207" s="16" t="s">
        <v>237</v>
      </c>
      <c r="L207" s="16" t="s">
        <v>215</v>
      </c>
      <c r="M207" s="16" t="str">
        <f t="shared" si="27"/>
        <v>模拟评分记录完整</v>
      </c>
      <c r="N207" s="8" t="s">
        <v>162</v>
      </c>
    </row>
    <row r="208" spans="1:14" ht="46.05" customHeight="1">
      <c r="A208" s="16" t="s">
        <v>77</v>
      </c>
      <c r="B208" s="16">
        <v>1</v>
      </c>
      <c r="C208" s="17" t="str">
        <f>三案例选用!B10</f>
        <v>SC-010</v>
      </c>
      <c r="D208" s="16" t="s">
        <v>226</v>
      </c>
      <c r="E208" s="16" t="str">
        <f t="shared" si="28"/>
        <v>适用</v>
      </c>
      <c r="F208" s="17" t="str">
        <f>IF(TRUE,IF(COUNTIFS(资产清单!$A$6:$A$25,A208)&lt;&gt;1,"",IF(INDEX(资产清单!$I$6:$I$25,MATCH(A208,资产清单!$A$6:$A$25,0))="","",INDEX(资产清单!$I$6:$I$25,MATCH(A208,资产清单!$A$6:$A$25,0)))),"不适用")</f>
        <v>办公用房</v>
      </c>
      <c r="G208" s="17" t="str">
        <f>IF(TRUE,IF(COUNTIFS(市场案例库!$A$6:$A$35,C208)&lt;&gt;1,"",IF(INDEX(市场案例库!$O$6:$O$35,MATCH(C208,市场案例库!$A$6:$A$35,0))="","",INDEX(市场案例库!$O$6:$O$35,MATCH(C208,市场案例库!$A$6:$A$35,0)))),"不适用")</f>
        <v>办公用房</v>
      </c>
      <c r="H208" s="19">
        <f>测算参数!$B$6</f>
        <v>100</v>
      </c>
      <c r="I208" s="10">
        <v>100</v>
      </c>
      <c r="J208" s="20">
        <f t="shared" si="29"/>
        <v>1</v>
      </c>
      <c r="K208" s="16" t="s">
        <v>237</v>
      </c>
      <c r="L208" s="16" t="s">
        <v>215</v>
      </c>
      <c r="M208" s="16" t="str">
        <f t="shared" si="27"/>
        <v>模拟评分记录完整</v>
      </c>
      <c r="N208" s="8" t="s">
        <v>162</v>
      </c>
    </row>
    <row r="209" spans="1:14" ht="46.05" customHeight="1">
      <c r="A209" s="16" t="s">
        <v>77</v>
      </c>
      <c r="B209" s="16">
        <v>1</v>
      </c>
      <c r="C209" s="17" t="str">
        <f>三案例选用!B10</f>
        <v>SC-010</v>
      </c>
      <c r="D209" s="16" t="s">
        <v>227</v>
      </c>
      <c r="E209" s="16" t="str">
        <f t="shared" si="28"/>
        <v>适用</v>
      </c>
      <c r="F209" s="17" t="str">
        <f>IF(TRUE,IF(COUNTIFS(资产清单!$A$6:$A$25,A209)&lt;&gt;1,"",IF(INDEX(资产清单!$I$6:$I$25,MATCH(A209,资产清单!$A$6:$A$25,0))="","",INDEX(资产清单!$I$6:$I$25,MATCH(A209,资产清单!$A$6:$A$25,0)))),"不适用")</f>
        <v>办公用房</v>
      </c>
      <c r="G209" s="17" t="str">
        <f>IF(TRUE,IF(COUNTIFS(市场案例库!$A$6:$A$35,C209)&lt;&gt;1,"",IF(INDEX(市场案例库!$O$6:$O$35,MATCH(C209,市场案例库!$A$6:$A$35,0))="","",INDEX(市场案例库!$O$6:$O$35,MATCH(C209,市场案例库!$A$6:$A$35,0)))),"不适用")</f>
        <v>办公用房</v>
      </c>
      <c r="H209" s="19">
        <f>测算参数!$B$6</f>
        <v>100</v>
      </c>
      <c r="I209" s="10">
        <v>100</v>
      </c>
      <c r="J209" s="20">
        <f t="shared" si="29"/>
        <v>1</v>
      </c>
      <c r="K209" s="16" t="s">
        <v>237</v>
      </c>
      <c r="L209" s="16" t="s">
        <v>215</v>
      </c>
      <c r="M209" s="16" t="str">
        <f t="shared" si="27"/>
        <v>模拟评分记录完整</v>
      </c>
      <c r="N209" s="8" t="s">
        <v>162</v>
      </c>
    </row>
    <row r="210" spans="1:14" ht="46.05" customHeight="1">
      <c r="A210" s="16" t="s">
        <v>77</v>
      </c>
      <c r="B210" s="16">
        <v>1</v>
      </c>
      <c r="C210" s="17" t="str">
        <f>三案例选用!B10</f>
        <v>SC-010</v>
      </c>
      <c r="D210" s="16" t="s">
        <v>228</v>
      </c>
      <c r="E210" s="17" t="str">
        <f>IF(AND(IF(COUNTIFS(资产清单!$A$6:$A$25,A210)&lt;&gt;1,"",IF(INDEX(资产清单!$H$6:$H$25,MATCH(A210,资产清单!$A$6:$A$25,0))="","",INDEX(资产清单!$H$6:$H$25,MATCH(A210,资产清单!$A$6:$A$25,0))))&lt;&gt;"场地",IF(COUNTIFS(资产清单!$A$6:$A$25,A210)&lt;&gt;1,"",IF(INDEX(资产清单!$H$6:$H$25,MATCH(A210,资产清单!$A$6:$A$25,0))="","",INDEX(资产清单!$H$6:$H$25,MATCH(A210,资产清单!$A$6:$A$25,0))))&lt;&gt;"车位",IF(COUNTIFS(资产清单!$A$6:$A$25,A210)&lt;&gt;1,"",IF(INDEX(资产清单!$H$6:$H$25,MATCH(A210,资产清单!$A$6:$A$25,0))="","",INDEX(资产清单!$H$6:$H$25,MATCH(A210,资产清单!$A$6:$A$25,0))))&lt;&gt;"通信基站"),"适用","不适用采用100/100")</f>
        <v>适用</v>
      </c>
      <c r="F210" s="17" t="str">
        <f>IF(AND(IF(COUNTIFS(资产清单!$A$6:$A$25,A210)&lt;&gt;1,"",IF(INDEX(资产清单!$H$6:$H$25,MATCH(A210,资产清单!$A$6:$A$25,0))="","",INDEX(资产清单!$H$6:$H$25,MATCH(A210,资产清单!$A$6:$A$25,0))))&lt;&gt;"场地",IF(COUNTIFS(资产清单!$A$6:$A$25,A210)&lt;&gt;1,"",IF(INDEX(资产清单!$H$6:$H$25,MATCH(A210,资产清单!$A$6:$A$25,0))="","",INDEX(资产清单!$H$6:$H$25,MATCH(A210,资产清单!$A$6:$A$25,0))))&lt;&gt;"车位",IF(COUNTIFS(资产清单!$A$6:$A$25,A210)&lt;&gt;1,"",IF(INDEX(资产清单!$H$6:$H$25,MATCH(A210,资产清单!$A$6:$A$25,0))="","",INDEX(资产清单!$H$6:$H$25,MATCH(A210,资产清单!$A$6:$A$25,0))))&lt;&gt;"通信基站"),IF(COUNTIFS(资产清单!$A$6:$A$25,A210)&lt;&gt;1,"",IF(INDEX(资产清单!$I$6:$I$25,MATCH(A210,资产清单!$A$6:$A$25,0))="","",INDEX(资产清单!$I$6:$I$25,MATCH(A210,资产清单!$A$6:$A$25,0)))),"不适用")</f>
        <v>办公用房</v>
      </c>
      <c r="G210" s="17" t="str">
        <f>IF(AND(IF(COUNTIFS(资产清单!$A$6:$A$25,A210)&lt;&gt;1,"",IF(INDEX(资产清单!$H$6:$H$25,MATCH(A210,资产清单!$A$6:$A$25,0))="","",INDEX(资产清单!$H$6:$H$25,MATCH(A210,资产清单!$A$6:$A$25,0))))&lt;&gt;"场地",IF(COUNTIFS(资产清单!$A$6:$A$25,A210)&lt;&gt;1,"",IF(INDEX(资产清单!$H$6:$H$25,MATCH(A210,资产清单!$A$6:$A$25,0))="","",INDEX(资产清单!$H$6:$H$25,MATCH(A210,资产清单!$A$6:$A$25,0))))&lt;&gt;"车位",IF(COUNTIFS(资产清单!$A$6:$A$25,A210)&lt;&gt;1,"",IF(INDEX(资产清单!$H$6:$H$25,MATCH(A210,资产清单!$A$6:$A$25,0))="","",INDEX(资产清单!$H$6:$H$25,MATCH(A210,资产清单!$A$6:$A$25,0))))&lt;&gt;"通信基站"),IF(COUNTIFS(市场案例库!$A$6:$A$35,C210)&lt;&gt;1,"",IF(INDEX(市场案例库!$O$6:$O$35,MATCH(C210,市场案例库!$A$6:$A$35,0))="","",INDEX(市场案例库!$O$6:$O$35,MATCH(C210,市场案例库!$A$6:$A$35,0)))),"不适用")</f>
        <v>办公用房</v>
      </c>
      <c r="H210" s="19">
        <f>测算参数!$B$6</f>
        <v>100</v>
      </c>
      <c r="I210" s="10">
        <v>100</v>
      </c>
      <c r="J210" s="21">
        <f>IF(OR(C210&lt;&gt;N210,COUNT(H210:I210)&lt;&gt;2,H210&lt;=0,I210&lt;=0),"",IF(AND(IF(COUNTIFS(资产清单!$A$6:$A$25,A210)&lt;&gt;1,"",IF(INDEX(资产清单!$H$6:$H$25,MATCH(A210,资产清单!$A$6:$A$25,0))="","",INDEX(资产清单!$H$6:$H$25,MATCH(A210,资产清单!$A$6:$A$25,0))))&lt;&gt;"场地",IF(COUNTIFS(资产清单!$A$6:$A$25,A210)&lt;&gt;1,"",IF(INDEX(资产清单!$H$6:$H$25,MATCH(A210,资产清单!$A$6:$A$25,0))="","",INDEX(资产清单!$H$6:$H$25,MATCH(A210,资产清单!$A$6:$A$25,0))))&lt;&gt;"车位",IF(COUNTIFS(资产清单!$A$6:$A$25,A210)&lt;&gt;1,"",IF(INDEX(资产清单!$H$6:$H$25,MATCH(A210,资产清单!$A$6:$A$25,0))="","",INDEX(资产清单!$H$6:$H$25,MATCH(A210,资产清单!$A$6:$A$25,0))))&lt;&gt;"通信基站"),H210/I210,H210/H210))</f>
        <v>1</v>
      </c>
      <c r="K210" s="16" t="s">
        <v>237</v>
      </c>
      <c r="L210" s="16" t="s">
        <v>215</v>
      </c>
      <c r="M210" s="16" t="str">
        <f t="shared" si="27"/>
        <v>模拟评分记录完整</v>
      </c>
      <c r="N210" s="8" t="s">
        <v>162</v>
      </c>
    </row>
    <row r="211" spans="1:14" ht="46.05" customHeight="1">
      <c r="A211" s="16" t="s">
        <v>77</v>
      </c>
      <c r="B211" s="16">
        <v>1</v>
      </c>
      <c r="C211" s="17" t="str">
        <f>三案例选用!B10</f>
        <v>SC-010</v>
      </c>
      <c r="D211" s="16" t="s">
        <v>229</v>
      </c>
      <c r="E211" s="17" t="str">
        <f>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"适用","不适用采用100/100")</f>
        <v>适用</v>
      </c>
      <c r="F211" s="17">
        <f>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IF(COUNTIFS(资产清单!$A$6:$A$25,A211)&lt;&gt;1,"",IF(COUNT(INDEX(资产清单!$N$6:$N$25,MATCH(A211,资产清单!$A$6:$A$25,0)))&lt;&gt;1,"",INDEX(资产清单!$N$6:$N$25,MATCH(A211,资产清单!$A$6:$A$25,0)))),"不适用")</f>
        <v>2</v>
      </c>
      <c r="G211" s="17">
        <f>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IF(COUNTIFS(市场案例库!$A$6:$A$35,C211)&lt;&gt;1,"",IF(COUNT(INDEX(市场案例库!$I$6:$I$35,MATCH(C211,市场案例库!$A$6:$A$35,0)))&lt;&gt;1,"",INDEX(市场案例库!$I$6:$I$35,MATCH(C211,市场案例库!$A$6:$A$35,0)))),"不适用")</f>
        <v>2</v>
      </c>
      <c r="H211" s="19">
        <f>测算参数!$B$6</f>
        <v>100</v>
      </c>
      <c r="I211" s="19">
        <f>IF(OR(COUNTIFS(市场案例库!$A$6:$A$35,C211)&lt;&gt;1,AND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OR(COUNT(IF(COUNTIFS(资产清单!$A$6:$A$25,A211)&lt;&gt;1,"",IF(COUNT(INDEX(资产清单!$N$6:$N$25,MATCH(A211,资产清单!$A$6:$A$25,0)))&lt;&gt;1,"",INDEX(资产清单!$N$6:$N$25,MATCH(A211,资产清单!$A$6:$A$25,0)))),IF(COUNTIFS(市场案例库!$A$6:$A$35,C211)&lt;&gt;1,"",IF(COUNT(INDEX(市场案例库!$I$6:$I$35,MATCH(C211,市场案例库!$A$6:$A$35,0)))&lt;&gt;1,"",INDEX(市场案例库!$I$6:$I$35,MATCH(C211,市场案例库!$A$6:$A$35,0)))))&lt;&gt;2,IF(COUNTIFS(资产清单!$A$6:$A$25,A211)&lt;&gt;1,"",IF(COUNT(INDEX(资产清单!$N$6:$N$25,MATCH(A211,资产清单!$A$6:$A$25,0)))&lt;&gt;1,"",INDEX(资产清单!$N$6:$N$25,MATCH(A211,资产清单!$A$6:$A$25,0))))&lt;1,IF(COUNTIFS(资产清单!$A$6:$A$25,A211)&lt;&gt;1,"",IF(COUNT(INDEX(资产清单!$N$6:$N$25,MATCH(A211,资产清单!$A$6:$A$25,0)))&lt;&gt;1,"",INDEX(资产清单!$N$6:$N$25,MATCH(A211,资产清单!$A$6:$A$25,0))))&gt;4,IF(COUNTIFS(市场案例库!$A$6:$A$35,C211)&lt;&gt;1,"",IF(COUNT(INDEX(市场案例库!$I$6:$I$35,MATCH(C211,市场案例库!$A$6:$A$35,0)))&lt;&gt;1,"",INDEX(市场案例库!$I$6:$I$35,MATCH(C211,市场案例库!$A$6:$A$35,0))))&lt;1,IF(COUNTIFS(市场案例库!$A$6:$A$35,C211)&lt;&gt;1,"",IF(COUNT(INDEX(市场案例库!$I$6:$I$35,MATCH(C211,市场案例库!$A$6:$A$35,0)))&lt;&gt;1,"",INDEX(市场案例库!$I$6:$I$35,MATCH(C211,市场案例库!$A$6:$A$35,0))))&gt;4))),"",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INDEX(测算参数!$B$35:$B$41,MATCH(IF(COUNTIFS(市场案例库!$A$6:$A$35,C211)&lt;&gt;1,"",IF(COUNT(INDEX(市场案例库!$I$6:$I$35,MATCH(C211,市场案例库!$A$6:$A$35,0)))&lt;&gt;1,"",INDEX(市场案例库!$I$6:$I$35,MATCH(C211,市场案例库!$A$6:$A$35,0))))-IF(COUNTIFS(资产清单!$A$6:$A$25,A211)&lt;&gt;1,"",IF(COUNT(INDEX(资产清单!$N$6:$N$25,MATCH(A211,资产清单!$A$6:$A$25,0)))&lt;&gt;1,"",INDEX(资产清单!$N$6:$N$25,MATCH(A211,资产清单!$A$6:$A$25,0)))),测算参数!$A$35:$A$41,0)),测算参数!$B$6))</f>
        <v>100</v>
      </c>
      <c r="J211" s="21">
        <f>IF(OR(C211&lt;&gt;N211,COUNT(H211:I211)&lt;&gt;2,H211&lt;=0,I211&lt;=0),"",IF(AND(IF(COUNTIFS(资产清单!$A$6:$A$25,A211)&lt;&gt;1,"",IF(INDEX(资产清单!$H$6:$H$25,MATCH(A211,资产清单!$A$6:$A$25,0))="","",INDEX(资产清单!$H$6:$H$25,MATCH(A211,资产清单!$A$6:$A$25,0))))&lt;&gt;"场地",IF(COUNTIFS(资产清单!$A$6:$A$25,A211)&lt;&gt;1,"",IF(INDEX(资产清单!$H$6:$H$25,MATCH(A211,资产清单!$A$6:$A$25,0))="","",INDEX(资产清单!$H$6:$H$25,MATCH(A211,资产清单!$A$6:$A$25,0))))&lt;&gt;"车位",IF(COUNTIFS(资产清单!$A$6:$A$25,A211)&lt;&gt;1,"",IF(INDEX(资产清单!$H$6:$H$25,MATCH(A211,资产清单!$A$6:$A$25,0))="","",INDEX(资产清单!$H$6:$H$25,MATCH(A211,资产清单!$A$6:$A$25,0))))&lt;&gt;"通信基站"),H211/I211,H211/H211))</f>
        <v>1</v>
      </c>
      <c r="K211" s="16" t="s">
        <v>237</v>
      </c>
      <c r="L211" s="16" t="s">
        <v>230</v>
      </c>
      <c r="M211" s="16" t="str">
        <f t="shared" si="27"/>
        <v>模拟评分记录完整</v>
      </c>
      <c r="N211" s="8" t="s">
        <v>162</v>
      </c>
    </row>
    <row r="212" spans="1:14" ht="46.05" customHeight="1">
      <c r="A212" s="16" t="s">
        <v>77</v>
      </c>
      <c r="B212" s="16">
        <v>1</v>
      </c>
      <c r="C212" s="17" t="str">
        <f>三案例选用!B10</f>
        <v>SC-010</v>
      </c>
      <c r="D212" s="16" t="s">
        <v>231</v>
      </c>
      <c r="E212" s="17" t="str">
        <f>IF(AND(IF(COUNTIFS(资产清单!$A$6:$A$25,A212)&lt;&gt;1,"",IF(INDEX(资产清单!$H$6:$H$25,MATCH(A212,资产清单!$A$6:$A$25,0))="","",INDEX(资产清单!$H$6:$H$25,MATCH(A212,资产清单!$A$6:$A$25,0))))&lt;&gt;"场地",IF(COUNTIFS(资产清单!$A$6:$A$25,A212)&lt;&gt;1,"",IF(INDEX(资产清单!$H$6:$H$25,MATCH(A212,资产清单!$A$6:$A$25,0))="","",INDEX(资产清单!$H$6:$H$25,MATCH(A212,资产清单!$A$6:$A$25,0))))&lt;&gt;"车位",IF(COUNTIFS(资产清单!$A$6:$A$25,A212)&lt;&gt;1,"",IF(INDEX(资产清单!$H$6:$H$25,MATCH(A212,资产清单!$A$6:$A$25,0))="","",INDEX(资产清单!$H$6:$H$25,MATCH(A212,资产清单!$A$6:$A$25,0))))&lt;&gt;"通信基站"),"适用","不适用采用100/100")</f>
        <v>适用</v>
      </c>
      <c r="F212" s="17" t="str">
        <f>IF(AND(IF(COUNTIFS(资产清单!$A$6:$A$25,A212)&lt;&gt;1,"",IF(INDEX(资产清单!$H$6:$H$25,MATCH(A212,资产清单!$A$6:$A$25,0))="","",INDEX(资产清单!$H$6:$H$25,MATCH(A212,资产清单!$A$6:$A$25,0))))&lt;&gt;"场地",IF(COUNTIFS(资产清单!$A$6:$A$25,A212)&lt;&gt;1,"",IF(INDEX(资产清单!$H$6:$H$25,MATCH(A212,资产清单!$A$6:$A$25,0))="","",INDEX(资产清单!$H$6:$H$25,MATCH(A212,资产清单!$A$6:$A$25,0))))&lt;&gt;"车位",IF(COUNTIFS(资产清单!$A$6:$A$25,A212)&lt;&gt;1,"",IF(INDEX(资产清单!$H$6:$H$25,MATCH(A212,资产清单!$A$6:$A$25,0))="","",INDEX(资产清单!$H$6:$H$25,MATCH(A212,资产清单!$A$6:$A$25,0))))&lt;&gt;"通信基站"),IF(COUNTIFS(资产清单!$A$6:$A$25,A212)&lt;&gt;1,"",IF(INDEX(资产清单!$I$6:$I$25,MATCH(A212,资产清单!$A$6:$A$25,0))="","",INDEX(资产清单!$I$6:$I$25,MATCH(A212,资产清单!$A$6:$A$25,0)))),"不适用")</f>
        <v>办公用房</v>
      </c>
      <c r="G212" s="17" t="str">
        <f>IF(AND(IF(COUNTIFS(资产清单!$A$6:$A$25,A212)&lt;&gt;1,"",IF(INDEX(资产清单!$H$6:$H$25,MATCH(A212,资产清单!$A$6:$A$25,0))="","",INDEX(资产清单!$H$6:$H$25,MATCH(A212,资产清单!$A$6:$A$25,0))))&lt;&gt;"场地",IF(COUNTIFS(资产清单!$A$6:$A$25,A212)&lt;&gt;1,"",IF(INDEX(资产清单!$H$6:$H$25,MATCH(A212,资产清单!$A$6:$A$25,0))="","",INDEX(资产清单!$H$6:$H$25,MATCH(A212,资产清单!$A$6:$A$25,0))))&lt;&gt;"车位",IF(COUNTIFS(资产清单!$A$6:$A$25,A212)&lt;&gt;1,"",IF(INDEX(资产清单!$H$6:$H$25,MATCH(A212,资产清单!$A$6:$A$25,0))="","",INDEX(资产清单!$H$6:$H$25,MATCH(A212,资产清单!$A$6:$A$25,0))))&lt;&gt;"通信基站"),IF(COUNTIFS(市场案例库!$A$6:$A$35,C212)&lt;&gt;1,"",IF(INDEX(市场案例库!$O$6:$O$35,MATCH(C212,市场案例库!$A$6:$A$35,0))="","",INDEX(市场案例库!$O$6:$O$35,MATCH(C212,市场案例库!$A$6:$A$35,0)))),"不适用")</f>
        <v>办公用房</v>
      </c>
      <c r="H212" s="19">
        <f>测算参数!$B$6</f>
        <v>100</v>
      </c>
      <c r="I212" s="10">
        <v>100</v>
      </c>
      <c r="J212" s="21">
        <f>IF(OR(C212&lt;&gt;N212,COUNT(H212:I212)&lt;&gt;2,H212&lt;=0,I212&lt;=0),"",IF(AND(IF(COUNTIFS(资产清单!$A$6:$A$25,A212)&lt;&gt;1,"",IF(INDEX(资产清单!$H$6:$H$25,MATCH(A212,资产清单!$A$6:$A$25,0))="","",INDEX(资产清单!$H$6:$H$25,MATCH(A212,资产清单!$A$6:$A$25,0))))&lt;&gt;"场地",IF(COUNTIFS(资产清单!$A$6:$A$25,A212)&lt;&gt;1,"",IF(INDEX(资产清单!$H$6:$H$25,MATCH(A212,资产清单!$A$6:$A$25,0))="","",INDEX(资产清单!$H$6:$H$25,MATCH(A212,资产清单!$A$6:$A$25,0))))&lt;&gt;"车位",IF(COUNTIFS(资产清单!$A$6:$A$25,A212)&lt;&gt;1,"",IF(INDEX(资产清单!$H$6:$H$25,MATCH(A212,资产清单!$A$6:$A$25,0))="","",INDEX(资产清单!$H$6:$H$25,MATCH(A212,资产清单!$A$6:$A$25,0))))&lt;&gt;"通信基站"),H212/I212,H212/H212))</f>
        <v>1</v>
      </c>
      <c r="K212" s="16" t="s">
        <v>237</v>
      </c>
      <c r="L212" s="16" t="s">
        <v>215</v>
      </c>
      <c r="M212" s="16" t="str">
        <f t="shared" si="27"/>
        <v>模拟评分记录完整</v>
      </c>
      <c r="N212" s="8" t="s">
        <v>162</v>
      </c>
    </row>
    <row r="213" spans="1:14" ht="46.05" customHeight="1">
      <c r="A213" s="16" t="s">
        <v>77</v>
      </c>
      <c r="B213" s="16">
        <v>1</v>
      </c>
      <c r="C213" s="17" t="str">
        <f>三案例选用!B10</f>
        <v>SC-010</v>
      </c>
      <c r="D213" s="16" t="s">
        <v>232</v>
      </c>
      <c r="E213" s="16" t="str">
        <f>IF(TRUE,"适用","不适用采用100/100")</f>
        <v>适用</v>
      </c>
      <c r="F213" s="17" t="str">
        <f>IF(TRUE,IF(COUNTIFS(资产清单!$A$6:$A$25,A213)&lt;&gt;1,"",IF(INDEX(资产清单!$I$6:$I$25,MATCH(A213,资产清单!$A$6:$A$25,0))="","",INDEX(资产清单!$I$6:$I$25,MATCH(A213,资产清单!$A$6:$A$25,0)))),"不适用")</f>
        <v>办公用房</v>
      </c>
      <c r="G213" s="17" t="str">
        <f>IF(TRUE,IF(COUNTIFS(市场案例库!$A$6:$A$35,C213)&lt;&gt;1,"",IF(INDEX(市场案例库!$O$6:$O$35,MATCH(C213,市场案例库!$A$6:$A$35,0))="","",INDEX(市场案例库!$O$6:$O$35,MATCH(C213,市场案例库!$A$6:$A$35,0)))),"不适用")</f>
        <v>办公用房</v>
      </c>
      <c r="H213" s="19">
        <f>测算参数!$B$6</f>
        <v>100</v>
      </c>
      <c r="I213" s="10">
        <v>100</v>
      </c>
      <c r="J213" s="20">
        <f>IF(OR(C213&lt;&gt;N213,COUNT(H213:I213)&lt;&gt;2,H213&lt;=0,I213&lt;=0),"",IF(TRUE,H213/I213,H213/H213))</f>
        <v>1</v>
      </c>
      <c r="K213" s="16" t="s">
        <v>237</v>
      </c>
      <c r="L213" s="16" t="s">
        <v>215</v>
      </c>
      <c r="M213" s="16" t="str">
        <f t="shared" si="27"/>
        <v>模拟评分记录完整</v>
      </c>
      <c r="N213" s="8" t="s">
        <v>162</v>
      </c>
    </row>
    <row r="214" spans="1:14" ht="46.05" customHeight="1">
      <c r="A214" s="16" t="s">
        <v>77</v>
      </c>
      <c r="B214" s="16">
        <v>2</v>
      </c>
      <c r="C214" s="17" t="str">
        <f>三案例选用!C10</f>
        <v>SC-011</v>
      </c>
      <c r="D214" s="16" t="s">
        <v>209</v>
      </c>
      <c r="E214" s="16" t="str">
        <f>IF(TRUE,"适用","不适用采用100/100")</f>
        <v>适用</v>
      </c>
      <c r="F214" s="17" t="str">
        <f>IF(TRUE,IF(COUNTIFS(资产清单!$A$6:$A$25,A214)&lt;&gt;1,"",IF(INDEX(资产清单!$I$6:$I$25,MATCH(A214,资产清单!$A$6:$A$25,0))="","",INDEX(资产清单!$I$6:$I$25,MATCH(A214,资产清单!$A$6:$A$25,0)))),"不适用")</f>
        <v>办公用房</v>
      </c>
      <c r="G214" s="17" t="str">
        <f>IF(TRUE,IF(COUNTIFS(市场案例库!$A$6:$A$35,C214)&lt;&gt;1,"",IF(INDEX(市场案例库!$O$6:$O$35,MATCH(C214,市场案例库!$A$6:$A$35,0))="","",INDEX(市场案例库!$O$6:$O$35,MATCH(C214,市场案例库!$A$6:$A$35,0)))),"不适用")</f>
        <v>办公用房</v>
      </c>
      <c r="H214" s="19">
        <f>测算参数!$B$6</f>
        <v>100</v>
      </c>
      <c r="I214" s="19">
        <f>IF(OR(COUNTIFS(市场案例库!$A$6:$A$35,C214)&lt;&gt;1),"",IF(COUNTIFS(市场案例库!$A$6:$A$35,C214)&lt;&gt;1,"",IF(COUNT(INDEX(市场案例库!$M$6:$M$35,MATCH(C214,市场案例库!$A$6:$A$35,0)))&lt;&gt;1,"",INDEX(市场案例库!$M$6:$M$35,MATCH(C214,市场案例库!$A$6:$A$35,0)))))</f>
        <v>102</v>
      </c>
      <c r="J214" s="20">
        <f>IF(OR(C214&lt;&gt;N214,COUNT(H214:I214)&lt;&gt;2,H214&lt;=0,I214&lt;=0),"",IF(TRUE,H214/I214,H214/H214))</f>
        <v>0.98039215686274506</v>
      </c>
      <c r="K214" s="16" t="s">
        <v>237</v>
      </c>
      <c r="L214" s="16" t="s">
        <v>211</v>
      </c>
      <c r="M214" s="16" t="str">
        <f t="shared" si="27"/>
        <v>模拟评分记录完整</v>
      </c>
      <c r="N214" s="8" t="s">
        <v>163</v>
      </c>
    </row>
    <row r="215" spans="1:14" ht="46.05" customHeight="1">
      <c r="A215" s="16" t="s">
        <v>77</v>
      </c>
      <c r="B215" s="16">
        <v>2</v>
      </c>
      <c r="C215" s="17" t="str">
        <f>三案例选用!C10</f>
        <v>SC-011</v>
      </c>
      <c r="D215" s="16" t="s">
        <v>212</v>
      </c>
      <c r="E215" s="16" t="str">
        <f>IF(TRUE,"适用","不适用采用100/100")</f>
        <v>适用</v>
      </c>
      <c r="F215" s="17" t="str">
        <f>IF(TRUE,IF(COUNTIFS(资产清单!$A$6:$A$25,A215)&lt;&gt;1,"",IF(INDEX(资产清单!$I$6:$I$25,MATCH(A215,资产清单!$A$6:$A$25,0))="","",INDEX(资产清单!$I$6:$I$25,MATCH(A215,资产清单!$A$6:$A$25,0)))),"不适用")</f>
        <v>办公用房</v>
      </c>
      <c r="G215" s="17" t="str">
        <f>IF(TRUE,IF(COUNTIFS(市场案例库!$A$6:$A$35,C215)&lt;&gt;1,"",IF(INDEX(市场案例库!$O$6:$O$35,MATCH(C215,市场案例库!$A$6:$A$35,0))="","",INDEX(市场案例库!$O$6:$O$35,MATCH(C215,市场案例库!$A$6:$A$35,0)))),"不适用")</f>
        <v>办公用房</v>
      </c>
      <c r="H215" s="19">
        <f>测算参数!$B$6</f>
        <v>100</v>
      </c>
      <c r="I215" s="19">
        <f>IF(OR(COUNTIFS(市场案例库!$A$6:$A$35,C215)&lt;&gt;1),"",IF(COUNTIFS(市场案例库!$A$6:$A$35,C215)&lt;&gt;1,"",IF(COUNT(INDEX(市场案例库!$N$6:$N$35,MATCH(C215,市场案例库!$A$6:$A$35,0)))&lt;&gt;1,"",INDEX(市场案例库!$N$6:$N$35,MATCH(C215,市场案例库!$A$6:$A$35,0)))))</f>
        <v>100</v>
      </c>
      <c r="J215" s="20">
        <f>IF(OR(C215&lt;&gt;N215,COUNT(H215:I215)&lt;&gt;2,H215&lt;=0,I215&lt;=0),"",IF(TRUE,H215/I215,H215/H215))</f>
        <v>1</v>
      </c>
      <c r="K215" s="16" t="s">
        <v>237</v>
      </c>
      <c r="L215" s="16" t="s">
        <v>213</v>
      </c>
      <c r="M215" s="16" t="str">
        <f t="shared" si="27"/>
        <v>模拟评分记录完整</v>
      </c>
      <c r="N215" s="8" t="s">
        <v>163</v>
      </c>
    </row>
    <row r="216" spans="1:14" ht="46.05" customHeight="1">
      <c r="A216" s="16" t="s">
        <v>77</v>
      </c>
      <c r="B216" s="16">
        <v>2</v>
      </c>
      <c r="C216" s="17" t="str">
        <f>三案例选用!C10</f>
        <v>SC-011</v>
      </c>
      <c r="D216" s="16" t="s">
        <v>214</v>
      </c>
      <c r="E216" s="16" t="str">
        <f>IF(TRUE,"适用","不适用采用100/100")</f>
        <v>适用</v>
      </c>
      <c r="F216" s="17" t="str">
        <f>IF(TRUE,IF(COUNTIFS(资产清单!$A$6:$A$25,A216)&lt;&gt;1,"",IF(INDEX(资产清单!$I$6:$I$25,MATCH(A216,资产清单!$A$6:$A$25,0))="","",INDEX(资产清单!$I$6:$I$25,MATCH(A216,资产清单!$A$6:$A$25,0)))),"不适用")</f>
        <v>办公用房</v>
      </c>
      <c r="G216" s="17" t="str">
        <f>IF(TRUE,IF(COUNTIFS(市场案例库!$A$6:$A$35,C216)&lt;&gt;1,"",IF(INDEX(市场案例库!$O$6:$O$35,MATCH(C216,市场案例库!$A$6:$A$35,0))="","",INDEX(市场案例库!$O$6:$O$35,MATCH(C216,市场案例库!$A$6:$A$35,0)))),"不适用")</f>
        <v>办公用房</v>
      </c>
      <c r="H216" s="19">
        <f>测算参数!$B$6</f>
        <v>100</v>
      </c>
      <c r="I216" s="10">
        <v>100</v>
      </c>
      <c r="J216" s="20">
        <f>IF(OR(C216&lt;&gt;N216,COUNT(H216:I216)&lt;&gt;2,H216&lt;=0,I216&lt;=0),"",IF(TRUE,H216/I216,H216/H216))</f>
        <v>1</v>
      </c>
      <c r="K216" s="16" t="s">
        <v>237</v>
      </c>
      <c r="L216" s="16" t="s">
        <v>215</v>
      </c>
      <c r="M216" s="16" t="str">
        <f t="shared" si="27"/>
        <v>模拟评分记录完整</v>
      </c>
      <c r="N216" s="8" t="s">
        <v>163</v>
      </c>
    </row>
    <row r="217" spans="1:14" ht="46.05" customHeight="1">
      <c r="A217" s="16" t="s">
        <v>77</v>
      </c>
      <c r="B217" s="16">
        <v>2</v>
      </c>
      <c r="C217" s="17" t="str">
        <f>三案例选用!C10</f>
        <v>SC-011</v>
      </c>
      <c r="D217" s="16" t="s">
        <v>216</v>
      </c>
      <c r="E217" s="16" t="str">
        <f>IF(TRUE,"适用","不适用采用100/100")</f>
        <v>适用</v>
      </c>
      <c r="F217" s="17" t="str">
        <f>IF(TRUE,IF(COUNTIFS(资产清单!$A$6:$A$25,A217)&lt;&gt;1,"",IF(INDEX(资产清单!$I$6:$I$25,MATCH(A217,资产清单!$A$6:$A$25,0))="","",INDEX(资产清单!$I$6:$I$25,MATCH(A217,资产清单!$A$6:$A$25,0)))),"不适用")</f>
        <v>办公用房</v>
      </c>
      <c r="G217" s="17" t="str">
        <f>IF(TRUE,IF(COUNTIFS(市场案例库!$A$6:$A$35,C217)&lt;&gt;1,"",IF(INDEX(市场案例库!$O$6:$O$35,MATCH(C217,市场案例库!$A$6:$A$35,0))="","",INDEX(市场案例库!$O$6:$O$35,MATCH(C217,市场案例库!$A$6:$A$35,0)))),"不适用")</f>
        <v>办公用房</v>
      </c>
      <c r="H217" s="19">
        <f>测算参数!$B$6</f>
        <v>100</v>
      </c>
      <c r="I217" s="10">
        <v>100</v>
      </c>
      <c r="J217" s="20">
        <f>IF(OR(C217&lt;&gt;N217,COUNT(H217:I217)&lt;&gt;2,H217&lt;=0,I217&lt;=0),"",IF(TRUE,H217/I217,H217/H217))</f>
        <v>1</v>
      </c>
      <c r="K217" s="16" t="s">
        <v>237</v>
      </c>
      <c r="L217" s="16" t="s">
        <v>215</v>
      </c>
      <c r="M217" s="16" t="str">
        <f t="shared" si="27"/>
        <v>模拟评分记录完整</v>
      </c>
      <c r="N217" s="8" t="s">
        <v>163</v>
      </c>
    </row>
    <row r="218" spans="1:14" ht="46.05" customHeight="1">
      <c r="A218" s="16" t="s">
        <v>77</v>
      </c>
      <c r="B218" s="16">
        <v>2</v>
      </c>
      <c r="C218" s="17" t="str">
        <f>三案例选用!C10</f>
        <v>SC-011</v>
      </c>
      <c r="D218" s="16" t="s">
        <v>217</v>
      </c>
      <c r="E218" s="17" t="str">
        <f>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"适用","不适用采用100/100")</f>
        <v>适用</v>
      </c>
      <c r="F218" s="17">
        <f>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IF(COUNTIFS(资产清单!$A$6:$A$25,A218)&lt;&gt;1,"",IF(COUNT(INDEX(资产清单!$M$6:$M$25,MATCH(A218,资产清单!$A$6:$A$25,0)))&lt;&gt;1,"",INDEX(资产清单!$M$6:$M$25,MATCH(A218,资产清单!$A$6:$A$25,0)))),"不适用")</f>
        <v>3</v>
      </c>
      <c r="G218" s="17">
        <f>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IF(COUNTIFS(市场案例库!$A$6:$A$35,C218)&lt;&gt;1,"",IF(COUNT(INDEX(市场案例库!$H$6:$H$35,MATCH(C218,市场案例库!$A$6:$A$35,0)))&lt;&gt;1,"",INDEX(市场案例库!$H$6:$H$35,MATCH(C218,市场案例库!$A$6:$A$35,0)))),"不适用")</f>
        <v>3</v>
      </c>
      <c r="H218" s="19">
        <f>测算参数!$B$6</f>
        <v>100</v>
      </c>
      <c r="I218" s="19">
        <f>IF(OR(COUNTIFS(市场案例库!$A$6:$A$35,C218)&lt;&gt;1,AND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COUNT(IF(COUNTIFS(资产清单!$A$6:$A$25,A218)&lt;&gt;1,"",IF(COUNT(INDEX(资产清单!$M$6:$M$25,MATCH(A218,资产清单!$A$6:$A$25,0)))&lt;&gt;1,"",INDEX(资产清单!$M$6:$M$25,MATCH(A218,资产清单!$A$6:$A$25,0)))),IF(COUNTIFS(市场案例库!$A$6:$A$35,C218)&lt;&gt;1,"",IF(COUNT(INDEX(市场案例库!$H$6:$H$35,MATCH(C218,市场案例库!$A$6:$A$35,0)))&lt;&gt;1,"",INDEX(市场案例库!$H$6:$H$35,MATCH(C218,市场案例库!$A$6:$A$35,0)))))&lt;&gt;2)),"",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INDEX(测算参数!$B$25:$B$31,MATCH(MAX(-测算参数!$B$11,MIN(测算参数!$B$11,IF(COUNTIFS(资产清单!$A$6:$A$25,A218)&lt;&gt;1,"",IF(COUNT(INDEX(资产清单!$M$6:$M$25,MATCH(A218,资产清单!$A$6:$A$25,0)))&lt;&gt;1,"",INDEX(资产清单!$M$6:$M$25,MATCH(A218,资产清单!$A$6:$A$25,0))))-IF(COUNTIFS(市场案例库!$A$6:$A$35,C218)&lt;&gt;1,"",IF(COUNT(INDEX(市场案例库!$H$6:$H$35,MATCH(C218,市场案例库!$A$6:$A$35,0)))&lt;&gt;1,"",INDEX(市场案例库!$H$6:$H$35,MATCH(C218,市场案例库!$A$6:$A$35,0)))))),测算参数!$A$25:$A$31,0)),测算参数!$B$6))</f>
        <v>100</v>
      </c>
      <c r="J218" s="21">
        <f>IF(OR(C218&lt;&gt;N218,COUNT(H218:I218)&lt;&gt;2,H218&lt;=0,I218&lt;=0),"",IF(OR(IF(COUNTIFS(资产清单!$A$6:$A$25,A218)&lt;&gt;1,"",IF(INDEX(资产清单!$H$6:$H$25,MATCH(A218,资产清单!$A$6:$A$25,0))="","",INDEX(资产清单!$H$6:$H$25,MATCH(A218,资产清单!$A$6:$A$25,0))))="商业",IF(COUNTIFS(资产清单!$A$6:$A$25,A218)&lt;&gt;1,"",IF(INDEX(资产清单!$H$6:$H$25,MATCH(A218,资产清单!$A$6:$A$25,0))="","",INDEX(资产清单!$H$6:$H$25,MATCH(A218,资产清单!$A$6:$A$25,0))))="办公",IF(COUNTIFS(资产清单!$A$6:$A$25,A218)&lt;&gt;1,"",IF(INDEX(资产清单!$H$6:$H$25,MATCH(A218,资产清单!$A$6:$A$25,0))="","",INDEX(资产清单!$H$6:$H$25,MATCH(A218,资产清单!$A$6:$A$25,0))))="住宅"),H218/I218,H218/H218))</f>
        <v>1</v>
      </c>
      <c r="K218" s="16" t="s">
        <v>237</v>
      </c>
      <c r="L218" s="16" t="s">
        <v>218</v>
      </c>
      <c r="M218" s="16" t="str">
        <f t="shared" si="27"/>
        <v>模拟评分记录完整</v>
      </c>
      <c r="N218" s="8" t="s">
        <v>163</v>
      </c>
    </row>
    <row r="219" spans="1:14" ht="46.05" customHeight="1">
      <c r="A219" s="16" t="s">
        <v>77</v>
      </c>
      <c r="B219" s="16">
        <v>2</v>
      </c>
      <c r="C219" s="17" t="str">
        <f>三案例选用!C10</f>
        <v>SC-011</v>
      </c>
      <c r="D219" s="16" t="s">
        <v>219</v>
      </c>
      <c r="E219" s="17" t="str">
        <f>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"适用","不适用采用100/100")</f>
        <v>适用</v>
      </c>
      <c r="F219" s="17">
        <f>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IF(COUNTIFS(资产清单!$A$6:$A$25,A219)&lt;&gt;1,"",IF(COUNT(INDEX(资产清单!$L$6:$L$25,MATCH(A219,资产清单!$A$6:$A$25,0)))&lt;&gt;1,"",INDEX(资产清单!$L$6:$L$25,MATCH(A219,资产清单!$A$6:$A$25,0)))),"不适用")</f>
        <v>140</v>
      </c>
      <c r="G219" s="17">
        <f>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IF(COUNTIFS(市场案例库!$A$6:$A$35,C219)&lt;&gt;1,"",IF(COUNT(INDEX(市场案例库!$G$6:$G$35,MATCH(C219,市场案例库!$A$6:$A$35,0)))&lt;&gt;1,"",INDEX(市场案例库!$G$6:$G$35,MATCH(C219,市场案例库!$A$6:$A$35,0)))),"不适用")</f>
        <v>180</v>
      </c>
      <c r="H219" s="19">
        <f>测算参数!$B$6</f>
        <v>100</v>
      </c>
      <c r="I219" s="19">
        <f>IF(OR(COUNTIFS(市场案例库!$A$6:$A$35,C219)&lt;&gt;1,AND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OR(COUNT(IF(COUNTIFS(资产清单!$A$6:$A$25,A219)&lt;&gt;1,"",IF(COUNT(INDEX(资产清单!$L$6:$L$25,MATCH(A219,资产清单!$A$6:$A$25,0)))&lt;&gt;1,"",INDEX(资产清单!$L$6:$L$25,MATCH(A219,资产清单!$A$6:$A$25,0)))),IF(COUNTIFS(市场案例库!$A$6:$A$35,C219)&lt;&gt;1,"",IF(COUNT(INDEX(市场案例库!$G$6:$G$35,MATCH(C219,市场案例库!$A$6:$A$35,0)))&lt;&gt;1,"",INDEX(市场案例库!$G$6:$G$35,MATCH(C219,市场案例库!$A$6:$A$35,0)))))&lt;&gt;2,IF(COUNTIFS(资产清单!$A$6:$A$25,A219)&lt;&gt;1,"",IF(COUNT(INDEX(资产清单!$L$6:$L$25,MATCH(A219,资产清单!$A$6:$A$25,0)))&lt;&gt;1,"",INDEX(资产清单!$L$6:$L$25,MATCH(A219,资产清单!$A$6:$A$25,0))))&lt;=0,IF(COUNTIFS(市场案例库!$A$6:$A$35,C219)&lt;&gt;1,"",IF(COUNT(INDEX(市场案例库!$G$6:$G$35,MATCH(C219,市场案例库!$A$6:$A$35,0)))&lt;&gt;1,"",INDEX(市场案例库!$G$6:$G$35,MATCH(C219,市场案例库!$A$6:$A$35,0))))&lt;=0))),"",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LOOKUP(IF(COUNTIFS(市场案例库!$A$6:$A$35,C219)&lt;&gt;1,"",IF(COUNT(INDEX(市场案例库!$G$6:$G$35,MATCH(C219,市场案例库!$A$6:$A$35,0)))&lt;&gt;1,"",INDEX(市场案例库!$G$6:$G$35,MATCH(C219,市场案例库!$A$6:$A$35,0))))/IF(COUNTIFS(资产清单!$A$6:$A$25,A219)&lt;&gt;1,"",IF(COUNT(INDEX(资产清单!$L$6:$L$25,MATCH(A219,资产清单!$A$6:$A$25,0)))&lt;&gt;1,"",INDEX(资产清单!$L$6:$L$25,MATCH(A219,资产清单!$A$6:$A$25,0)))),测算参数!$A$15:$A$21,测算参数!$C$15:$C$21),测算参数!$B$6))</f>
        <v>98</v>
      </c>
      <c r="J219" s="21">
        <f>IF(OR(C219&lt;&gt;N219,COUNT(H219:I219)&lt;&gt;2,H219&lt;=0,I219&lt;=0),"",IF(AND(IF(COUNTIFS(资产清单!$A$6:$A$25,A219)&lt;&gt;1,"",IF(INDEX(资产清单!$J$6:$J$25,MATCH(A219,资产清单!$A$6:$A$25,0))="","",INDEX(资产清单!$J$6:$J$25,MATCH(A219,资产清单!$A$6:$A$25,0))))="元/㎡/月",IF(COUNTIFS(资产清单!$A$6:$A$25,A219)&lt;&gt;1,"",IF(INDEX(资产清单!$H$6:$H$25,MATCH(A219,资产清单!$A$6:$A$25,0))="","",INDEX(资产清单!$H$6:$H$25,MATCH(A219,资产清单!$A$6:$A$25,0))))&lt;&gt;"场地"),H219/I219,H219/H219))</f>
        <v>1.0204081632653061</v>
      </c>
      <c r="K219" s="16" t="s">
        <v>237</v>
      </c>
      <c r="L219" s="16" t="s">
        <v>220</v>
      </c>
      <c r="M219" s="16" t="str">
        <f t="shared" si="27"/>
        <v>模拟评分记录完整</v>
      </c>
      <c r="N219" s="8" t="s">
        <v>163</v>
      </c>
    </row>
    <row r="220" spans="1:14" ht="46.05" customHeight="1">
      <c r="A220" s="16" t="s">
        <v>77</v>
      </c>
      <c r="B220" s="16">
        <v>2</v>
      </c>
      <c r="C220" s="17" t="str">
        <f>三案例选用!C10</f>
        <v>SC-011</v>
      </c>
      <c r="D220" s="16" t="s">
        <v>221</v>
      </c>
      <c r="E220" s="16" t="str">
        <f t="shared" ref="E220:E225" si="30">IF(TRUE,"适用","不适用采用100/100")</f>
        <v>适用</v>
      </c>
      <c r="F220" s="17" t="str">
        <f>IF(TRUE,IF(COUNTIFS(资产清单!$A$6:$A$25,A220)&lt;&gt;1,"",IF(INDEX(资产清单!$I$6:$I$25,MATCH(A220,资产清单!$A$6:$A$25,0))="","",INDEX(资产清单!$I$6:$I$25,MATCH(A220,资产清单!$A$6:$A$25,0)))),"不适用")</f>
        <v>办公用房</v>
      </c>
      <c r="G220" s="17" t="str">
        <f>IF(TRUE,IF(COUNTIFS(市场案例库!$A$6:$A$35,C220)&lt;&gt;1,"",IF(INDEX(市场案例库!$O$6:$O$35,MATCH(C220,市场案例库!$A$6:$A$35,0))="","",INDEX(市场案例库!$O$6:$O$35,MATCH(C220,市场案例库!$A$6:$A$35,0)))),"不适用")</f>
        <v>办公用房</v>
      </c>
      <c r="H220" s="19">
        <f>测算参数!$B$6</f>
        <v>100</v>
      </c>
      <c r="I220" s="10">
        <v>100</v>
      </c>
      <c r="J220" s="20">
        <f t="shared" ref="J220:J225" si="31">IF(OR(C220&lt;&gt;N220,COUNT(H220:I220)&lt;&gt;2,H220&lt;=0,I220&lt;=0),"",IF(TRUE,H220/I220,H220/H220))</f>
        <v>1</v>
      </c>
      <c r="K220" s="16" t="s">
        <v>237</v>
      </c>
      <c r="L220" s="16" t="s">
        <v>215</v>
      </c>
      <c r="M220" s="16" t="str">
        <f t="shared" si="27"/>
        <v>模拟评分记录完整</v>
      </c>
      <c r="N220" s="8" t="s">
        <v>163</v>
      </c>
    </row>
    <row r="221" spans="1:14" ht="46.05" customHeight="1">
      <c r="A221" s="16" t="s">
        <v>77</v>
      </c>
      <c r="B221" s="16">
        <v>2</v>
      </c>
      <c r="C221" s="17" t="str">
        <f>三案例选用!C10</f>
        <v>SC-011</v>
      </c>
      <c r="D221" s="16" t="s">
        <v>222</v>
      </c>
      <c r="E221" s="16" t="str">
        <f t="shared" si="30"/>
        <v>适用</v>
      </c>
      <c r="F221" s="17" t="str">
        <f>IF(TRUE,IF(COUNTIFS(资产清单!$A$6:$A$25,A221)&lt;&gt;1,"",IF(INDEX(资产清单!$I$6:$I$25,MATCH(A221,资产清单!$A$6:$A$25,0))="","",INDEX(资产清单!$I$6:$I$25,MATCH(A221,资产清单!$A$6:$A$25,0)))),"不适用")</f>
        <v>办公用房</v>
      </c>
      <c r="G221" s="17" t="str">
        <f>IF(TRUE,IF(COUNTIFS(市场案例库!$A$6:$A$35,C221)&lt;&gt;1,"",IF(INDEX(市场案例库!$O$6:$O$35,MATCH(C221,市场案例库!$A$6:$A$35,0))="","",INDEX(市场案例库!$O$6:$O$35,MATCH(C221,市场案例库!$A$6:$A$35,0)))),"不适用")</f>
        <v>办公用房</v>
      </c>
      <c r="H221" s="19">
        <f>测算参数!$B$6</f>
        <v>100</v>
      </c>
      <c r="I221" s="10">
        <v>100</v>
      </c>
      <c r="J221" s="20">
        <f t="shared" si="31"/>
        <v>1</v>
      </c>
      <c r="K221" s="16" t="s">
        <v>237</v>
      </c>
      <c r="L221" s="16" t="s">
        <v>215</v>
      </c>
      <c r="M221" s="16" t="str">
        <f t="shared" si="27"/>
        <v>模拟评分记录完整</v>
      </c>
      <c r="N221" s="8" t="s">
        <v>163</v>
      </c>
    </row>
    <row r="222" spans="1:14" ht="46.05" customHeight="1">
      <c r="A222" s="16" t="s">
        <v>77</v>
      </c>
      <c r="B222" s="16">
        <v>2</v>
      </c>
      <c r="C222" s="17" t="str">
        <f>三案例选用!C10</f>
        <v>SC-011</v>
      </c>
      <c r="D222" s="16" t="s">
        <v>224</v>
      </c>
      <c r="E222" s="16" t="str">
        <f t="shared" si="30"/>
        <v>适用</v>
      </c>
      <c r="F222" s="17" t="str">
        <f>IF(TRUE,IF(COUNTIFS(资产清单!$A$6:$A$25,A222)&lt;&gt;1,"",IF(INDEX(资产清单!$I$6:$I$25,MATCH(A222,资产清单!$A$6:$A$25,0))="","",INDEX(资产清单!$I$6:$I$25,MATCH(A222,资产清单!$A$6:$A$25,0)))),"不适用")</f>
        <v>办公用房</v>
      </c>
      <c r="G222" s="17" t="str">
        <f>IF(TRUE,IF(COUNTIFS(市场案例库!$A$6:$A$35,C222)&lt;&gt;1,"",IF(INDEX(市场案例库!$O$6:$O$35,MATCH(C222,市场案例库!$A$6:$A$35,0))="","",INDEX(市场案例库!$O$6:$O$35,MATCH(C222,市场案例库!$A$6:$A$35,0)))),"不适用")</f>
        <v>办公用房</v>
      </c>
      <c r="H222" s="19">
        <f>测算参数!$B$6</f>
        <v>100</v>
      </c>
      <c r="I222" s="10">
        <v>100</v>
      </c>
      <c r="J222" s="20">
        <f t="shared" si="31"/>
        <v>1</v>
      </c>
      <c r="K222" s="16" t="s">
        <v>237</v>
      </c>
      <c r="L222" s="16" t="s">
        <v>215</v>
      </c>
      <c r="M222" s="16" t="str">
        <f t="shared" si="27"/>
        <v>模拟评分记录完整</v>
      </c>
      <c r="N222" s="8" t="s">
        <v>163</v>
      </c>
    </row>
    <row r="223" spans="1:14" ht="46.05" customHeight="1">
      <c r="A223" s="16" t="s">
        <v>77</v>
      </c>
      <c r="B223" s="16">
        <v>2</v>
      </c>
      <c r="C223" s="17" t="str">
        <f>三案例选用!C10</f>
        <v>SC-011</v>
      </c>
      <c r="D223" s="16" t="s">
        <v>225</v>
      </c>
      <c r="E223" s="16" t="str">
        <f t="shared" si="30"/>
        <v>适用</v>
      </c>
      <c r="F223" s="17" t="str">
        <f>IF(TRUE,IF(COUNTIFS(资产清单!$A$6:$A$25,A223)&lt;&gt;1,"",IF(INDEX(资产清单!$I$6:$I$25,MATCH(A223,资产清单!$A$6:$A$25,0))="","",INDEX(资产清单!$I$6:$I$25,MATCH(A223,资产清单!$A$6:$A$25,0)))),"不适用")</f>
        <v>办公用房</v>
      </c>
      <c r="G223" s="17" t="str">
        <f>IF(TRUE,IF(COUNTIFS(市场案例库!$A$6:$A$35,C223)&lt;&gt;1,"",IF(INDEX(市场案例库!$O$6:$O$35,MATCH(C223,市场案例库!$A$6:$A$35,0))="","",INDEX(市场案例库!$O$6:$O$35,MATCH(C223,市场案例库!$A$6:$A$35,0)))),"不适用")</f>
        <v>办公用房</v>
      </c>
      <c r="H223" s="19">
        <f>测算参数!$B$6</f>
        <v>100</v>
      </c>
      <c r="I223" s="10">
        <v>100</v>
      </c>
      <c r="J223" s="20">
        <f t="shared" si="31"/>
        <v>1</v>
      </c>
      <c r="K223" s="16" t="s">
        <v>237</v>
      </c>
      <c r="L223" s="16" t="s">
        <v>215</v>
      </c>
      <c r="M223" s="16" t="str">
        <f t="shared" si="27"/>
        <v>模拟评分记录完整</v>
      </c>
      <c r="N223" s="8" t="s">
        <v>163</v>
      </c>
    </row>
    <row r="224" spans="1:14" ht="46.05" customHeight="1">
      <c r="A224" s="16" t="s">
        <v>77</v>
      </c>
      <c r="B224" s="16">
        <v>2</v>
      </c>
      <c r="C224" s="17" t="str">
        <f>三案例选用!C10</f>
        <v>SC-011</v>
      </c>
      <c r="D224" s="16" t="s">
        <v>226</v>
      </c>
      <c r="E224" s="16" t="str">
        <f t="shared" si="30"/>
        <v>适用</v>
      </c>
      <c r="F224" s="17" t="str">
        <f>IF(TRUE,IF(COUNTIFS(资产清单!$A$6:$A$25,A224)&lt;&gt;1,"",IF(INDEX(资产清单!$I$6:$I$25,MATCH(A224,资产清单!$A$6:$A$25,0))="","",INDEX(资产清单!$I$6:$I$25,MATCH(A224,资产清单!$A$6:$A$25,0)))),"不适用")</f>
        <v>办公用房</v>
      </c>
      <c r="G224" s="17" t="str">
        <f>IF(TRUE,IF(COUNTIFS(市场案例库!$A$6:$A$35,C224)&lt;&gt;1,"",IF(INDEX(市场案例库!$O$6:$O$35,MATCH(C224,市场案例库!$A$6:$A$35,0))="","",INDEX(市场案例库!$O$6:$O$35,MATCH(C224,市场案例库!$A$6:$A$35,0)))),"不适用")</f>
        <v>办公用房</v>
      </c>
      <c r="H224" s="19">
        <f>测算参数!$B$6</f>
        <v>100</v>
      </c>
      <c r="I224" s="10">
        <v>100</v>
      </c>
      <c r="J224" s="20">
        <f t="shared" si="31"/>
        <v>1</v>
      </c>
      <c r="K224" s="16" t="s">
        <v>237</v>
      </c>
      <c r="L224" s="16" t="s">
        <v>215</v>
      </c>
      <c r="M224" s="16" t="str">
        <f t="shared" si="27"/>
        <v>模拟评分记录完整</v>
      </c>
      <c r="N224" s="8" t="s">
        <v>163</v>
      </c>
    </row>
    <row r="225" spans="1:14" ht="46.05" customHeight="1">
      <c r="A225" s="16" t="s">
        <v>77</v>
      </c>
      <c r="B225" s="16">
        <v>2</v>
      </c>
      <c r="C225" s="17" t="str">
        <f>三案例选用!C10</f>
        <v>SC-011</v>
      </c>
      <c r="D225" s="16" t="s">
        <v>227</v>
      </c>
      <c r="E225" s="16" t="str">
        <f t="shared" si="30"/>
        <v>适用</v>
      </c>
      <c r="F225" s="17" t="str">
        <f>IF(TRUE,IF(COUNTIFS(资产清单!$A$6:$A$25,A225)&lt;&gt;1,"",IF(INDEX(资产清单!$I$6:$I$25,MATCH(A225,资产清单!$A$6:$A$25,0))="","",INDEX(资产清单!$I$6:$I$25,MATCH(A225,资产清单!$A$6:$A$25,0)))),"不适用")</f>
        <v>办公用房</v>
      </c>
      <c r="G225" s="17" t="str">
        <f>IF(TRUE,IF(COUNTIFS(市场案例库!$A$6:$A$35,C225)&lt;&gt;1,"",IF(INDEX(市场案例库!$O$6:$O$35,MATCH(C225,市场案例库!$A$6:$A$35,0))="","",INDEX(市场案例库!$O$6:$O$35,MATCH(C225,市场案例库!$A$6:$A$35,0)))),"不适用")</f>
        <v>办公用房</v>
      </c>
      <c r="H225" s="19">
        <f>测算参数!$B$6</f>
        <v>100</v>
      </c>
      <c r="I225" s="10">
        <v>100</v>
      </c>
      <c r="J225" s="20">
        <f t="shared" si="31"/>
        <v>1</v>
      </c>
      <c r="K225" s="16" t="s">
        <v>237</v>
      </c>
      <c r="L225" s="16" t="s">
        <v>215</v>
      </c>
      <c r="M225" s="16" t="str">
        <f t="shared" si="27"/>
        <v>模拟评分记录完整</v>
      </c>
      <c r="N225" s="8" t="s">
        <v>163</v>
      </c>
    </row>
    <row r="226" spans="1:14" ht="46.05" customHeight="1">
      <c r="A226" s="16" t="s">
        <v>77</v>
      </c>
      <c r="B226" s="16">
        <v>2</v>
      </c>
      <c r="C226" s="17" t="str">
        <f>三案例选用!C10</f>
        <v>SC-011</v>
      </c>
      <c r="D226" s="16" t="s">
        <v>228</v>
      </c>
      <c r="E226" s="17" t="str">
        <f>IF(AND(IF(COUNTIFS(资产清单!$A$6:$A$25,A226)&lt;&gt;1,"",IF(INDEX(资产清单!$H$6:$H$25,MATCH(A226,资产清单!$A$6:$A$25,0))="","",INDEX(资产清单!$H$6:$H$25,MATCH(A226,资产清单!$A$6:$A$25,0))))&lt;&gt;"场地",IF(COUNTIFS(资产清单!$A$6:$A$25,A226)&lt;&gt;1,"",IF(INDEX(资产清单!$H$6:$H$25,MATCH(A226,资产清单!$A$6:$A$25,0))="","",INDEX(资产清单!$H$6:$H$25,MATCH(A226,资产清单!$A$6:$A$25,0))))&lt;&gt;"车位",IF(COUNTIFS(资产清单!$A$6:$A$25,A226)&lt;&gt;1,"",IF(INDEX(资产清单!$H$6:$H$25,MATCH(A226,资产清单!$A$6:$A$25,0))="","",INDEX(资产清单!$H$6:$H$25,MATCH(A226,资产清单!$A$6:$A$25,0))))&lt;&gt;"通信基站"),"适用","不适用采用100/100")</f>
        <v>适用</v>
      </c>
      <c r="F226" s="17" t="str">
        <f>IF(AND(IF(COUNTIFS(资产清单!$A$6:$A$25,A226)&lt;&gt;1,"",IF(INDEX(资产清单!$H$6:$H$25,MATCH(A226,资产清单!$A$6:$A$25,0))="","",INDEX(资产清单!$H$6:$H$25,MATCH(A226,资产清单!$A$6:$A$25,0))))&lt;&gt;"场地",IF(COUNTIFS(资产清单!$A$6:$A$25,A226)&lt;&gt;1,"",IF(INDEX(资产清单!$H$6:$H$25,MATCH(A226,资产清单!$A$6:$A$25,0))="","",INDEX(资产清单!$H$6:$H$25,MATCH(A226,资产清单!$A$6:$A$25,0))))&lt;&gt;"车位",IF(COUNTIFS(资产清单!$A$6:$A$25,A226)&lt;&gt;1,"",IF(INDEX(资产清单!$H$6:$H$25,MATCH(A226,资产清单!$A$6:$A$25,0))="","",INDEX(资产清单!$H$6:$H$25,MATCH(A226,资产清单!$A$6:$A$25,0))))&lt;&gt;"通信基站"),IF(COUNTIFS(资产清单!$A$6:$A$25,A226)&lt;&gt;1,"",IF(INDEX(资产清单!$I$6:$I$25,MATCH(A226,资产清单!$A$6:$A$25,0))="","",INDEX(资产清单!$I$6:$I$25,MATCH(A226,资产清单!$A$6:$A$25,0)))),"不适用")</f>
        <v>办公用房</v>
      </c>
      <c r="G226" s="17" t="str">
        <f>IF(AND(IF(COUNTIFS(资产清单!$A$6:$A$25,A226)&lt;&gt;1,"",IF(INDEX(资产清单!$H$6:$H$25,MATCH(A226,资产清单!$A$6:$A$25,0))="","",INDEX(资产清单!$H$6:$H$25,MATCH(A226,资产清单!$A$6:$A$25,0))))&lt;&gt;"场地",IF(COUNTIFS(资产清单!$A$6:$A$25,A226)&lt;&gt;1,"",IF(INDEX(资产清单!$H$6:$H$25,MATCH(A226,资产清单!$A$6:$A$25,0))="","",INDEX(资产清单!$H$6:$H$25,MATCH(A226,资产清单!$A$6:$A$25,0))))&lt;&gt;"车位",IF(COUNTIFS(资产清单!$A$6:$A$25,A226)&lt;&gt;1,"",IF(INDEX(资产清单!$H$6:$H$25,MATCH(A226,资产清单!$A$6:$A$25,0))="","",INDEX(资产清单!$H$6:$H$25,MATCH(A226,资产清单!$A$6:$A$25,0))))&lt;&gt;"通信基站"),IF(COUNTIFS(市场案例库!$A$6:$A$35,C226)&lt;&gt;1,"",IF(INDEX(市场案例库!$O$6:$O$35,MATCH(C226,市场案例库!$A$6:$A$35,0))="","",INDEX(市场案例库!$O$6:$O$35,MATCH(C226,市场案例库!$A$6:$A$35,0)))),"不适用")</f>
        <v>办公用房</v>
      </c>
      <c r="H226" s="19">
        <f>测算参数!$B$6</f>
        <v>100</v>
      </c>
      <c r="I226" s="10">
        <v>100</v>
      </c>
      <c r="J226" s="21">
        <f>IF(OR(C226&lt;&gt;N226,COUNT(H226:I226)&lt;&gt;2,H226&lt;=0,I226&lt;=0),"",IF(AND(IF(COUNTIFS(资产清单!$A$6:$A$25,A226)&lt;&gt;1,"",IF(INDEX(资产清单!$H$6:$H$25,MATCH(A226,资产清单!$A$6:$A$25,0))="","",INDEX(资产清单!$H$6:$H$25,MATCH(A226,资产清单!$A$6:$A$25,0))))&lt;&gt;"场地",IF(COUNTIFS(资产清单!$A$6:$A$25,A226)&lt;&gt;1,"",IF(INDEX(资产清单!$H$6:$H$25,MATCH(A226,资产清单!$A$6:$A$25,0))="","",INDEX(资产清单!$H$6:$H$25,MATCH(A226,资产清单!$A$6:$A$25,0))))&lt;&gt;"车位",IF(COUNTIFS(资产清单!$A$6:$A$25,A226)&lt;&gt;1,"",IF(INDEX(资产清单!$H$6:$H$25,MATCH(A226,资产清单!$A$6:$A$25,0))="","",INDEX(资产清单!$H$6:$H$25,MATCH(A226,资产清单!$A$6:$A$25,0))))&lt;&gt;"通信基站"),H226/I226,H226/H226))</f>
        <v>1</v>
      </c>
      <c r="K226" s="16" t="s">
        <v>237</v>
      </c>
      <c r="L226" s="16" t="s">
        <v>215</v>
      </c>
      <c r="M226" s="16" t="str">
        <f t="shared" si="27"/>
        <v>模拟评分记录完整</v>
      </c>
      <c r="N226" s="8" t="s">
        <v>163</v>
      </c>
    </row>
    <row r="227" spans="1:14" ht="46.05" customHeight="1">
      <c r="A227" s="16" t="s">
        <v>77</v>
      </c>
      <c r="B227" s="16">
        <v>2</v>
      </c>
      <c r="C227" s="17" t="str">
        <f>三案例选用!C10</f>
        <v>SC-011</v>
      </c>
      <c r="D227" s="16" t="s">
        <v>229</v>
      </c>
      <c r="E227" s="17" t="str">
        <f>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"适用","不适用采用100/100")</f>
        <v>适用</v>
      </c>
      <c r="F227" s="17">
        <f>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IF(COUNTIFS(资产清单!$A$6:$A$25,A227)&lt;&gt;1,"",IF(COUNT(INDEX(资产清单!$N$6:$N$25,MATCH(A227,资产清单!$A$6:$A$25,0)))&lt;&gt;1,"",INDEX(资产清单!$N$6:$N$25,MATCH(A227,资产清单!$A$6:$A$25,0)))),"不适用")</f>
        <v>2</v>
      </c>
      <c r="G227" s="17">
        <f>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IF(COUNTIFS(市场案例库!$A$6:$A$35,C227)&lt;&gt;1,"",IF(COUNT(INDEX(市场案例库!$I$6:$I$35,MATCH(C227,市场案例库!$A$6:$A$35,0)))&lt;&gt;1,"",INDEX(市场案例库!$I$6:$I$35,MATCH(C227,市场案例库!$A$6:$A$35,0)))),"不适用")</f>
        <v>3</v>
      </c>
      <c r="H227" s="19">
        <f>测算参数!$B$6</f>
        <v>100</v>
      </c>
      <c r="I227" s="19">
        <f>IF(OR(COUNTIFS(市场案例库!$A$6:$A$35,C227)&lt;&gt;1,AND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OR(COUNT(IF(COUNTIFS(资产清单!$A$6:$A$25,A227)&lt;&gt;1,"",IF(COUNT(INDEX(资产清单!$N$6:$N$25,MATCH(A227,资产清单!$A$6:$A$25,0)))&lt;&gt;1,"",INDEX(资产清单!$N$6:$N$25,MATCH(A227,资产清单!$A$6:$A$25,0)))),IF(COUNTIFS(市场案例库!$A$6:$A$35,C227)&lt;&gt;1,"",IF(COUNT(INDEX(市场案例库!$I$6:$I$35,MATCH(C227,市场案例库!$A$6:$A$35,0)))&lt;&gt;1,"",INDEX(市场案例库!$I$6:$I$35,MATCH(C227,市场案例库!$A$6:$A$35,0)))))&lt;&gt;2,IF(COUNTIFS(资产清单!$A$6:$A$25,A227)&lt;&gt;1,"",IF(COUNT(INDEX(资产清单!$N$6:$N$25,MATCH(A227,资产清单!$A$6:$A$25,0)))&lt;&gt;1,"",INDEX(资产清单!$N$6:$N$25,MATCH(A227,资产清单!$A$6:$A$25,0))))&lt;1,IF(COUNTIFS(资产清单!$A$6:$A$25,A227)&lt;&gt;1,"",IF(COUNT(INDEX(资产清单!$N$6:$N$25,MATCH(A227,资产清单!$A$6:$A$25,0)))&lt;&gt;1,"",INDEX(资产清单!$N$6:$N$25,MATCH(A227,资产清单!$A$6:$A$25,0))))&gt;4,IF(COUNTIFS(市场案例库!$A$6:$A$35,C227)&lt;&gt;1,"",IF(COUNT(INDEX(市场案例库!$I$6:$I$35,MATCH(C227,市场案例库!$A$6:$A$35,0)))&lt;&gt;1,"",INDEX(市场案例库!$I$6:$I$35,MATCH(C227,市场案例库!$A$6:$A$35,0))))&lt;1,IF(COUNTIFS(市场案例库!$A$6:$A$35,C227)&lt;&gt;1,"",IF(COUNT(INDEX(市场案例库!$I$6:$I$35,MATCH(C227,市场案例库!$A$6:$A$35,0)))&lt;&gt;1,"",INDEX(市场案例库!$I$6:$I$35,MATCH(C227,市场案例库!$A$6:$A$35,0))))&gt;4))),"",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INDEX(测算参数!$B$35:$B$41,MATCH(IF(COUNTIFS(市场案例库!$A$6:$A$35,C227)&lt;&gt;1,"",IF(COUNT(INDEX(市场案例库!$I$6:$I$35,MATCH(C227,市场案例库!$A$6:$A$35,0)))&lt;&gt;1,"",INDEX(市场案例库!$I$6:$I$35,MATCH(C227,市场案例库!$A$6:$A$35,0))))-IF(COUNTIFS(资产清单!$A$6:$A$25,A227)&lt;&gt;1,"",IF(COUNT(INDEX(资产清单!$N$6:$N$25,MATCH(A227,资产清单!$A$6:$A$25,0)))&lt;&gt;1,"",INDEX(资产清单!$N$6:$N$25,MATCH(A227,资产清单!$A$6:$A$25,0)))),测算参数!$A$35:$A$41,0)),测算参数!$B$6))</f>
        <v>102</v>
      </c>
      <c r="J227" s="21">
        <f>IF(OR(C227&lt;&gt;N227,COUNT(H227:I227)&lt;&gt;2,H227&lt;=0,I227&lt;=0),"",IF(AND(IF(COUNTIFS(资产清单!$A$6:$A$25,A227)&lt;&gt;1,"",IF(INDEX(资产清单!$H$6:$H$25,MATCH(A227,资产清单!$A$6:$A$25,0))="","",INDEX(资产清单!$H$6:$H$25,MATCH(A227,资产清单!$A$6:$A$25,0))))&lt;&gt;"场地",IF(COUNTIFS(资产清单!$A$6:$A$25,A227)&lt;&gt;1,"",IF(INDEX(资产清单!$H$6:$H$25,MATCH(A227,资产清单!$A$6:$A$25,0))="","",INDEX(资产清单!$H$6:$H$25,MATCH(A227,资产清单!$A$6:$A$25,0))))&lt;&gt;"车位",IF(COUNTIFS(资产清单!$A$6:$A$25,A227)&lt;&gt;1,"",IF(INDEX(资产清单!$H$6:$H$25,MATCH(A227,资产清单!$A$6:$A$25,0))="","",INDEX(资产清单!$H$6:$H$25,MATCH(A227,资产清单!$A$6:$A$25,0))))&lt;&gt;"通信基站"),H227/I227,H227/H227))</f>
        <v>0.98039215686274506</v>
      </c>
      <c r="K227" s="16" t="s">
        <v>237</v>
      </c>
      <c r="L227" s="16" t="s">
        <v>230</v>
      </c>
      <c r="M227" s="16" t="str">
        <f t="shared" si="27"/>
        <v>模拟评分记录完整</v>
      </c>
      <c r="N227" s="8" t="s">
        <v>163</v>
      </c>
    </row>
    <row r="228" spans="1:14" ht="46.05" customHeight="1">
      <c r="A228" s="16" t="s">
        <v>77</v>
      </c>
      <c r="B228" s="16">
        <v>2</v>
      </c>
      <c r="C228" s="17" t="str">
        <f>三案例选用!C10</f>
        <v>SC-011</v>
      </c>
      <c r="D228" s="16" t="s">
        <v>231</v>
      </c>
      <c r="E228" s="17" t="str">
        <f>IF(AND(IF(COUNTIFS(资产清单!$A$6:$A$25,A228)&lt;&gt;1,"",IF(INDEX(资产清单!$H$6:$H$25,MATCH(A228,资产清单!$A$6:$A$25,0))="","",INDEX(资产清单!$H$6:$H$25,MATCH(A228,资产清单!$A$6:$A$25,0))))&lt;&gt;"场地",IF(COUNTIFS(资产清单!$A$6:$A$25,A228)&lt;&gt;1,"",IF(INDEX(资产清单!$H$6:$H$25,MATCH(A228,资产清单!$A$6:$A$25,0))="","",INDEX(资产清单!$H$6:$H$25,MATCH(A228,资产清单!$A$6:$A$25,0))))&lt;&gt;"车位",IF(COUNTIFS(资产清单!$A$6:$A$25,A228)&lt;&gt;1,"",IF(INDEX(资产清单!$H$6:$H$25,MATCH(A228,资产清单!$A$6:$A$25,0))="","",INDEX(资产清单!$H$6:$H$25,MATCH(A228,资产清单!$A$6:$A$25,0))))&lt;&gt;"通信基站"),"适用","不适用采用100/100")</f>
        <v>适用</v>
      </c>
      <c r="F228" s="17" t="str">
        <f>IF(AND(IF(COUNTIFS(资产清单!$A$6:$A$25,A228)&lt;&gt;1,"",IF(INDEX(资产清单!$H$6:$H$25,MATCH(A228,资产清单!$A$6:$A$25,0))="","",INDEX(资产清单!$H$6:$H$25,MATCH(A228,资产清单!$A$6:$A$25,0))))&lt;&gt;"场地",IF(COUNTIFS(资产清单!$A$6:$A$25,A228)&lt;&gt;1,"",IF(INDEX(资产清单!$H$6:$H$25,MATCH(A228,资产清单!$A$6:$A$25,0))="","",INDEX(资产清单!$H$6:$H$25,MATCH(A228,资产清单!$A$6:$A$25,0))))&lt;&gt;"车位",IF(COUNTIFS(资产清单!$A$6:$A$25,A228)&lt;&gt;1,"",IF(INDEX(资产清单!$H$6:$H$25,MATCH(A228,资产清单!$A$6:$A$25,0))="","",INDEX(资产清单!$H$6:$H$25,MATCH(A228,资产清单!$A$6:$A$25,0))))&lt;&gt;"通信基站"),IF(COUNTIFS(资产清单!$A$6:$A$25,A228)&lt;&gt;1,"",IF(INDEX(资产清单!$I$6:$I$25,MATCH(A228,资产清单!$A$6:$A$25,0))="","",INDEX(资产清单!$I$6:$I$25,MATCH(A228,资产清单!$A$6:$A$25,0)))),"不适用")</f>
        <v>办公用房</v>
      </c>
      <c r="G228" s="17" t="str">
        <f>IF(AND(IF(COUNTIFS(资产清单!$A$6:$A$25,A228)&lt;&gt;1,"",IF(INDEX(资产清单!$H$6:$H$25,MATCH(A228,资产清单!$A$6:$A$25,0))="","",INDEX(资产清单!$H$6:$H$25,MATCH(A228,资产清单!$A$6:$A$25,0))))&lt;&gt;"场地",IF(COUNTIFS(资产清单!$A$6:$A$25,A228)&lt;&gt;1,"",IF(INDEX(资产清单!$H$6:$H$25,MATCH(A228,资产清单!$A$6:$A$25,0))="","",INDEX(资产清单!$H$6:$H$25,MATCH(A228,资产清单!$A$6:$A$25,0))))&lt;&gt;"车位",IF(COUNTIFS(资产清单!$A$6:$A$25,A228)&lt;&gt;1,"",IF(INDEX(资产清单!$H$6:$H$25,MATCH(A228,资产清单!$A$6:$A$25,0))="","",INDEX(资产清单!$H$6:$H$25,MATCH(A228,资产清单!$A$6:$A$25,0))))&lt;&gt;"通信基站"),IF(COUNTIFS(市场案例库!$A$6:$A$35,C228)&lt;&gt;1,"",IF(INDEX(市场案例库!$O$6:$O$35,MATCH(C228,市场案例库!$A$6:$A$35,0))="","",INDEX(市场案例库!$O$6:$O$35,MATCH(C228,市场案例库!$A$6:$A$35,0)))),"不适用")</f>
        <v>办公用房</v>
      </c>
      <c r="H228" s="19">
        <f>测算参数!$B$6</f>
        <v>100</v>
      </c>
      <c r="I228" s="10">
        <v>100</v>
      </c>
      <c r="J228" s="21">
        <f>IF(OR(C228&lt;&gt;N228,COUNT(H228:I228)&lt;&gt;2,H228&lt;=0,I228&lt;=0),"",IF(AND(IF(COUNTIFS(资产清单!$A$6:$A$25,A228)&lt;&gt;1,"",IF(INDEX(资产清单!$H$6:$H$25,MATCH(A228,资产清单!$A$6:$A$25,0))="","",INDEX(资产清单!$H$6:$H$25,MATCH(A228,资产清单!$A$6:$A$25,0))))&lt;&gt;"场地",IF(COUNTIFS(资产清单!$A$6:$A$25,A228)&lt;&gt;1,"",IF(INDEX(资产清单!$H$6:$H$25,MATCH(A228,资产清单!$A$6:$A$25,0))="","",INDEX(资产清单!$H$6:$H$25,MATCH(A228,资产清单!$A$6:$A$25,0))))&lt;&gt;"车位",IF(COUNTIFS(资产清单!$A$6:$A$25,A228)&lt;&gt;1,"",IF(INDEX(资产清单!$H$6:$H$25,MATCH(A228,资产清单!$A$6:$A$25,0))="","",INDEX(资产清单!$H$6:$H$25,MATCH(A228,资产清单!$A$6:$A$25,0))))&lt;&gt;"通信基站"),H228/I228,H228/H228))</f>
        <v>1</v>
      </c>
      <c r="K228" s="16" t="s">
        <v>237</v>
      </c>
      <c r="L228" s="16" t="s">
        <v>215</v>
      </c>
      <c r="M228" s="16" t="str">
        <f t="shared" si="27"/>
        <v>模拟评分记录完整</v>
      </c>
      <c r="N228" s="8" t="s">
        <v>163</v>
      </c>
    </row>
    <row r="229" spans="1:14" ht="46.05" customHeight="1">
      <c r="A229" s="16" t="s">
        <v>77</v>
      </c>
      <c r="B229" s="16">
        <v>2</v>
      </c>
      <c r="C229" s="17" t="str">
        <f>三案例选用!C10</f>
        <v>SC-011</v>
      </c>
      <c r="D229" s="16" t="s">
        <v>232</v>
      </c>
      <c r="E229" s="16" t="str">
        <f>IF(TRUE,"适用","不适用采用100/100")</f>
        <v>适用</v>
      </c>
      <c r="F229" s="17" t="str">
        <f>IF(TRUE,IF(COUNTIFS(资产清单!$A$6:$A$25,A229)&lt;&gt;1,"",IF(INDEX(资产清单!$I$6:$I$25,MATCH(A229,资产清单!$A$6:$A$25,0))="","",INDEX(资产清单!$I$6:$I$25,MATCH(A229,资产清单!$A$6:$A$25,0)))),"不适用")</f>
        <v>办公用房</v>
      </c>
      <c r="G229" s="17" t="str">
        <f>IF(TRUE,IF(COUNTIFS(市场案例库!$A$6:$A$35,C229)&lt;&gt;1,"",IF(INDEX(市场案例库!$O$6:$O$35,MATCH(C229,市场案例库!$A$6:$A$35,0))="","",INDEX(市场案例库!$O$6:$O$35,MATCH(C229,市场案例库!$A$6:$A$35,0)))),"不适用")</f>
        <v>办公用房</v>
      </c>
      <c r="H229" s="19">
        <f>测算参数!$B$6</f>
        <v>100</v>
      </c>
      <c r="I229" s="10">
        <v>100</v>
      </c>
      <c r="J229" s="20">
        <f>IF(OR(C229&lt;&gt;N229,COUNT(H229:I229)&lt;&gt;2,H229&lt;=0,I229&lt;=0),"",IF(TRUE,H229/I229,H229/H229))</f>
        <v>1</v>
      </c>
      <c r="K229" s="16" t="s">
        <v>237</v>
      </c>
      <c r="L229" s="16" t="s">
        <v>215</v>
      </c>
      <c r="M229" s="16" t="str">
        <f t="shared" si="27"/>
        <v>模拟评分记录完整</v>
      </c>
      <c r="N229" s="8" t="s">
        <v>163</v>
      </c>
    </row>
    <row r="230" spans="1:14" ht="46.05" customHeight="1">
      <c r="A230" s="16" t="s">
        <v>77</v>
      </c>
      <c r="B230" s="16">
        <v>3</v>
      </c>
      <c r="C230" s="17" t="str">
        <f>三案例选用!D10</f>
        <v>SC-012</v>
      </c>
      <c r="D230" s="16" t="s">
        <v>209</v>
      </c>
      <c r="E230" s="16" t="str">
        <f>IF(TRUE,"适用","不适用采用100/100")</f>
        <v>适用</v>
      </c>
      <c r="F230" s="17" t="str">
        <f>IF(TRUE,IF(COUNTIFS(资产清单!$A$6:$A$25,A230)&lt;&gt;1,"",IF(INDEX(资产清单!$I$6:$I$25,MATCH(A230,资产清单!$A$6:$A$25,0))="","",INDEX(资产清单!$I$6:$I$25,MATCH(A230,资产清单!$A$6:$A$25,0)))),"不适用")</f>
        <v>办公用房</v>
      </c>
      <c r="G230" s="17" t="str">
        <f>IF(TRUE,IF(COUNTIFS(市场案例库!$A$6:$A$35,C230)&lt;&gt;1,"",IF(INDEX(市场案例库!$O$6:$O$35,MATCH(C230,市场案例库!$A$6:$A$35,0))="","",INDEX(市场案例库!$O$6:$O$35,MATCH(C230,市场案例库!$A$6:$A$35,0)))),"不适用")</f>
        <v>办公用房</v>
      </c>
      <c r="H230" s="19">
        <f>测算参数!$B$6</f>
        <v>100</v>
      </c>
      <c r="I230" s="19">
        <f>IF(OR(COUNTIFS(市场案例库!$A$6:$A$35,C230)&lt;&gt;1),"",IF(COUNTIFS(市场案例库!$A$6:$A$35,C230)&lt;&gt;1,"",IF(COUNT(INDEX(市场案例库!$M$6:$M$35,MATCH(C230,市场案例库!$A$6:$A$35,0)))&lt;&gt;1,"",INDEX(市场案例库!$M$6:$M$35,MATCH(C230,市场案例库!$A$6:$A$35,0)))))</f>
        <v>102</v>
      </c>
      <c r="J230" s="20">
        <f>IF(OR(C230&lt;&gt;N230,COUNT(H230:I230)&lt;&gt;2,H230&lt;=0,I230&lt;=0),"",IF(TRUE,H230/I230,H230/H230))</f>
        <v>0.98039215686274506</v>
      </c>
      <c r="K230" s="16" t="s">
        <v>237</v>
      </c>
      <c r="L230" s="16" t="s">
        <v>211</v>
      </c>
      <c r="M230" s="16" t="str">
        <f t="shared" si="27"/>
        <v>模拟评分记录完整</v>
      </c>
      <c r="N230" s="8" t="s">
        <v>164</v>
      </c>
    </row>
    <row r="231" spans="1:14" ht="46.05" customHeight="1">
      <c r="A231" s="16" t="s">
        <v>77</v>
      </c>
      <c r="B231" s="16">
        <v>3</v>
      </c>
      <c r="C231" s="17" t="str">
        <f>三案例选用!D10</f>
        <v>SC-012</v>
      </c>
      <c r="D231" s="16" t="s">
        <v>212</v>
      </c>
      <c r="E231" s="16" t="str">
        <f>IF(TRUE,"适用","不适用采用100/100")</f>
        <v>适用</v>
      </c>
      <c r="F231" s="17" t="str">
        <f>IF(TRUE,IF(COUNTIFS(资产清单!$A$6:$A$25,A231)&lt;&gt;1,"",IF(INDEX(资产清单!$I$6:$I$25,MATCH(A231,资产清单!$A$6:$A$25,0))="","",INDEX(资产清单!$I$6:$I$25,MATCH(A231,资产清单!$A$6:$A$25,0)))),"不适用")</f>
        <v>办公用房</v>
      </c>
      <c r="G231" s="17" t="str">
        <f>IF(TRUE,IF(COUNTIFS(市场案例库!$A$6:$A$35,C231)&lt;&gt;1,"",IF(INDEX(市场案例库!$O$6:$O$35,MATCH(C231,市场案例库!$A$6:$A$35,0))="","",INDEX(市场案例库!$O$6:$O$35,MATCH(C231,市场案例库!$A$6:$A$35,0)))),"不适用")</f>
        <v>办公用房</v>
      </c>
      <c r="H231" s="19">
        <f>测算参数!$B$6</f>
        <v>100</v>
      </c>
      <c r="I231" s="19">
        <f>IF(OR(COUNTIFS(市场案例库!$A$6:$A$35,C231)&lt;&gt;1),"",IF(COUNTIFS(市场案例库!$A$6:$A$35,C231)&lt;&gt;1,"",IF(COUNT(INDEX(市场案例库!$N$6:$N$35,MATCH(C231,市场案例库!$A$6:$A$35,0)))&lt;&gt;1,"",INDEX(市场案例库!$N$6:$N$35,MATCH(C231,市场案例库!$A$6:$A$35,0)))))</f>
        <v>100</v>
      </c>
      <c r="J231" s="20">
        <f>IF(OR(C231&lt;&gt;N231,COUNT(H231:I231)&lt;&gt;2,H231&lt;=0,I231&lt;=0),"",IF(TRUE,H231/I231,H231/H231))</f>
        <v>1</v>
      </c>
      <c r="K231" s="16" t="s">
        <v>237</v>
      </c>
      <c r="L231" s="16" t="s">
        <v>213</v>
      </c>
      <c r="M231" s="16" t="str">
        <f t="shared" si="27"/>
        <v>模拟评分记录完整</v>
      </c>
      <c r="N231" s="8" t="s">
        <v>164</v>
      </c>
    </row>
    <row r="232" spans="1:14" ht="46.05" customHeight="1">
      <c r="A232" s="16" t="s">
        <v>77</v>
      </c>
      <c r="B232" s="16">
        <v>3</v>
      </c>
      <c r="C232" s="17" t="str">
        <f>三案例选用!D10</f>
        <v>SC-012</v>
      </c>
      <c r="D232" s="16" t="s">
        <v>214</v>
      </c>
      <c r="E232" s="16" t="str">
        <f>IF(TRUE,"适用","不适用采用100/100")</f>
        <v>适用</v>
      </c>
      <c r="F232" s="17" t="str">
        <f>IF(TRUE,IF(COUNTIFS(资产清单!$A$6:$A$25,A232)&lt;&gt;1,"",IF(INDEX(资产清单!$I$6:$I$25,MATCH(A232,资产清单!$A$6:$A$25,0))="","",INDEX(资产清单!$I$6:$I$25,MATCH(A232,资产清单!$A$6:$A$25,0)))),"不适用")</f>
        <v>办公用房</v>
      </c>
      <c r="G232" s="17" t="str">
        <f>IF(TRUE,IF(COUNTIFS(市场案例库!$A$6:$A$35,C232)&lt;&gt;1,"",IF(INDEX(市场案例库!$O$6:$O$35,MATCH(C232,市场案例库!$A$6:$A$35,0))="","",INDEX(市场案例库!$O$6:$O$35,MATCH(C232,市场案例库!$A$6:$A$35,0)))),"不适用")</f>
        <v>办公用房</v>
      </c>
      <c r="H232" s="19">
        <f>测算参数!$B$6</f>
        <v>100</v>
      </c>
      <c r="I232" s="10">
        <v>100</v>
      </c>
      <c r="J232" s="20">
        <f>IF(OR(C232&lt;&gt;N232,COUNT(H232:I232)&lt;&gt;2,H232&lt;=0,I232&lt;=0),"",IF(TRUE,H232/I232,H232/H232))</f>
        <v>1</v>
      </c>
      <c r="K232" s="16" t="s">
        <v>237</v>
      </c>
      <c r="L232" s="16" t="s">
        <v>215</v>
      </c>
      <c r="M232" s="16" t="str">
        <f t="shared" si="27"/>
        <v>模拟评分记录完整</v>
      </c>
      <c r="N232" s="8" t="s">
        <v>164</v>
      </c>
    </row>
    <row r="233" spans="1:14" ht="46.05" customHeight="1">
      <c r="A233" s="16" t="s">
        <v>77</v>
      </c>
      <c r="B233" s="16">
        <v>3</v>
      </c>
      <c r="C233" s="17" t="str">
        <f>三案例选用!D10</f>
        <v>SC-012</v>
      </c>
      <c r="D233" s="16" t="s">
        <v>216</v>
      </c>
      <c r="E233" s="16" t="str">
        <f>IF(TRUE,"适用","不适用采用100/100")</f>
        <v>适用</v>
      </c>
      <c r="F233" s="17" t="str">
        <f>IF(TRUE,IF(COUNTIFS(资产清单!$A$6:$A$25,A233)&lt;&gt;1,"",IF(INDEX(资产清单!$I$6:$I$25,MATCH(A233,资产清单!$A$6:$A$25,0))="","",INDEX(资产清单!$I$6:$I$25,MATCH(A233,资产清单!$A$6:$A$25,0)))),"不适用")</f>
        <v>办公用房</v>
      </c>
      <c r="G233" s="17" t="str">
        <f>IF(TRUE,IF(COUNTIFS(市场案例库!$A$6:$A$35,C233)&lt;&gt;1,"",IF(INDEX(市场案例库!$O$6:$O$35,MATCH(C233,市场案例库!$A$6:$A$35,0))="","",INDEX(市场案例库!$O$6:$O$35,MATCH(C233,市场案例库!$A$6:$A$35,0)))),"不适用")</f>
        <v>办公用房</v>
      </c>
      <c r="H233" s="19">
        <f>测算参数!$B$6</f>
        <v>100</v>
      </c>
      <c r="I233" s="10">
        <v>100</v>
      </c>
      <c r="J233" s="20">
        <f>IF(OR(C233&lt;&gt;N233,COUNT(H233:I233)&lt;&gt;2,H233&lt;=0,I233&lt;=0),"",IF(TRUE,H233/I233,H233/H233))</f>
        <v>1</v>
      </c>
      <c r="K233" s="16" t="s">
        <v>237</v>
      </c>
      <c r="L233" s="16" t="s">
        <v>215</v>
      </c>
      <c r="M233" s="16" t="str">
        <f t="shared" si="27"/>
        <v>模拟评分记录完整</v>
      </c>
      <c r="N233" s="8" t="s">
        <v>164</v>
      </c>
    </row>
    <row r="234" spans="1:14" ht="46.05" customHeight="1">
      <c r="A234" s="16" t="s">
        <v>77</v>
      </c>
      <c r="B234" s="16">
        <v>3</v>
      </c>
      <c r="C234" s="17" t="str">
        <f>三案例选用!D10</f>
        <v>SC-012</v>
      </c>
      <c r="D234" s="16" t="s">
        <v>217</v>
      </c>
      <c r="E234" s="17" t="str">
        <f>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"适用","不适用采用100/100")</f>
        <v>适用</v>
      </c>
      <c r="F234" s="17">
        <f>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IF(COUNTIFS(资产清单!$A$6:$A$25,A234)&lt;&gt;1,"",IF(COUNT(INDEX(资产清单!$M$6:$M$25,MATCH(A234,资产清单!$A$6:$A$25,0)))&lt;&gt;1,"",INDEX(资产清单!$M$6:$M$25,MATCH(A234,资产清单!$A$6:$A$25,0)))),"不适用")</f>
        <v>3</v>
      </c>
      <c r="G234" s="17">
        <f>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IF(COUNTIFS(市场案例库!$A$6:$A$35,C234)&lt;&gt;1,"",IF(COUNT(INDEX(市场案例库!$H$6:$H$35,MATCH(C234,市场案例库!$A$6:$A$35,0)))&lt;&gt;1,"",INDEX(市场案例库!$H$6:$H$35,MATCH(C234,市场案例库!$A$6:$A$35,0)))),"不适用")</f>
        <v>4</v>
      </c>
      <c r="H234" s="19">
        <f>测算参数!$B$6</f>
        <v>100</v>
      </c>
      <c r="I234" s="19">
        <f>IF(OR(COUNTIFS(市场案例库!$A$6:$A$35,C234)&lt;&gt;1,AND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COUNT(IF(COUNTIFS(资产清单!$A$6:$A$25,A234)&lt;&gt;1,"",IF(COUNT(INDEX(资产清单!$M$6:$M$25,MATCH(A234,资产清单!$A$6:$A$25,0)))&lt;&gt;1,"",INDEX(资产清单!$M$6:$M$25,MATCH(A234,资产清单!$A$6:$A$25,0)))),IF(COUNTIFS(市场案例库!$A$6:$A$35,C234)&lt;&gt;1,"",IF(COUNT(INDEX(市场案例库!$H$6:$H$35,MATCH(C234,市场案例库!$A$6:$A$35,0)))&lt;&gt;1,"",INDEX(市场案例库!$H$6:$H$35,MATCH(C234,市场案例库!$A$6:$A$35,0)))))&lt;&gt;2)),"",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INDEX(测算参数!$B$25:$B$31,MATCH(MAX(-测算参数!$B$11,MIN(测算参数!$B$11,IF(COUNTIFS(资产清单!$A$6:$A$25,A234)&lt;&gt;1,"",IF(COUNT(INDEX(资产清单!$M$6:$M$25,MATCH(A234,资产清单!$A$6:$A$25,0)))&lt;&gt;1,"",INDEX(资产清单!$M$6:$M$25,MATCH(A234,资产清单!$A$6:$A$25,0))))-IF(COUNTIFS(市场案例库!$A$6:$A$35,C234)&lt;&gt;1,"",IF(COUNT(INDEX(市场案例库!$H$6:$H$35,MATCH(C234,市场案例库!$A$6:$A$35,0)))&lt;&gt;1,"",INDEX(市场案例库!$H$6:$H$35,MATCH(C234,市场案例库!$A$6:$A$35,0)))))),测算参数!$A$25:$A$31,0)),测算参数!$B$6))</f>
        <v>99</v>
      </c>
      <c r="J234" s="21">
        <f>IF(OR(C234&lt;&gt;N234,COUNT(H234:I234)&lt;&gt;2,H234&lt;=0,I234&lt;=0),"",IF(OR(IF(COUNTIFS(资产清单!$A$6:$A$25,A234)&lt;&gt;1,"",IF(INDEX(资产清单!$H$6:$H$25,MATCH(A234,资产清单!$A$6:$A$25,0))="","",INDEX(资产清单!$H$6:$H$25,MATCH(A234,资产清单!$A$6:$A$25,0))))="商业",IF(COUNTIFS(资产清单!$A$6:$A$25,A234)&lt;&gt;1,"",IF(INDEX(资产清单!$H$6:$H$25,MATCH(A234,资产清单!$A$6:$A$25,0))="","",INDEX(资产清单!$H$6:$H$25,MATCH(A234,资产清单!$A$6:$A$25,0))))="办公",IF(COUNTIFS(资产清单!$A$6:$A$25,A234)&lt;&gt;1,"",IF(INDEX(资产清单!$H$6:$H$25,MATCH(A234,资产清单!$A$6:$A$25,0))="","",INDEX(资产清单!$H$6:$H$25,MATCH(A234,资产清单!$A$6:$A$25,0))))="住宅"),H234/I234,H234/H234))</f>
        <v>1.0101010101010102</v>
      </c>
      <c r="K234" s="16" t="s">
        <v>237</v>
      </c>
      <c r="L234" s="16" t="s">
        <v>218</v>
      </c>
      <c r="M234" s="16" t="str">
        <f t="shared" si="27"/>
        <v>模拟评分记录完整</v>
      </c>
      <c r="N234" s="8" t="s">
        <v>164</v>
      </c>
    </row>
    <row r="235" spans="1:14" ht="46.05" customHeight="1">
      <c r="A235" s="16" t="s">
        <v>77</v>
      </c>
      <c r="B235" s="16">
        <v>3</v>
      </c>
      <c r="C235" s="17" t="str">
        <f>三案例选用!D10</f>
        <v>SC-012</v>
      </c>
      <c r="D235" s="16" t="s">
        <v>219</v>
      </c>
      <c r="E235" s="17" t="str">
        <f>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"适用","不适用采用100/100")</f>
        <v>适用</v>
      </c>
      <c r="F235" s="17">
        <f>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IF(COUNTIFS(资产清单!$A$6:$A$25,A235)&lt;&gt;1,"",IF(COUNT(INDEX(资产清单!$L$6:$L$25,MATCH(A235,资产清单!$A$6:$A$25,0)))&lt;&gt;1,"",INDEX(资产清单!$L$6:$L$25,MATCH(A235,资产清单!$A$6:$A$25,0)))),"不适用")</f>
        <v>140</v>
      </c>
      <c r="G235" s="17">
        <f>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IF(COUNTIFS(市场案例库!$A$6:$A$35,C235)&lt;&gt;1,"",IF(COUNT(INDEX(市场案例库!$G$6:$G$35,MATCH(C235,市场案例库!$A$6:$A$35,0)))&lt;&gt;1,"",INDEX(市场案例库!$G$6:$G$35,MATCH(C235,市场案例库!$A$6:$A$35,0)))),"不适用")</f>
        <v>160</v>
      </c>
      <c r="H235" s="19">
        <f>测算参数!$B$6</f>
        <v>100</v>
      </c>
      <c r="I235" s="19">
        <f>IF(OR(COUNTIFS(市场案例库!$A$6:$A$35,C235)&lt;&gt;1,AND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OR(COUNT(IF(COUNTIFS(资产清单!$A$6:$A$25,A235)&lt;&gt;1,"",IF(COUNT(INDEX(资产清单!$L$6:$L$25,MATCH(A235,资产清单!$A$6:$A$25,0)))&lt;&gt;1,"",INDEX(资产清单!$L$6:$L$25,MATCH(A235,资产清单!$A$6:$A$25,0)))),IF(COUNTIFS(市场案例库!$A$6:$A$35,C235)&lt;&gt;1,"",IF(COUNT(INDEX(市场案例库!$G$6:$G$35,MATCH(C235,市场案例库!$A$6:$A$35,0)))&lt;&gt;1,"",INDEX(市场案例库!$G$6:$G$35,MATCH(C235,市场案例库!$A$6:$A$35,0)))))&lt;&gt;2,IF(COUNTIFS(资产清单!$A$6:$A$25,A235)&lt;&gt;1,"",IF(COUNT(INDEX(资产清单!$L$6:$L$25,MATCH(A235,资产清单!$A$6:$A$25,0)))&lt;&gt;1,"",INDEX(资产清单!$L$6:$L$25,MATCH(A235,资产清单!$A$6:$A$25,0))))&lt;=0,IF(COUNTIFS(市场案例库!$A$6:$A$35,C235)&lt;&gt;1,"",IF(COUNT(INDEX(市场案例库!$G$6:$G$35,MATCH(C235,市场案例库!$A$6:$A$35,0)))&lt;&gt;1,"",INDEX(市场案例库!$G$6:$G$35,MATCH(C235,市场案例库!$A$6:$A$35,0))))&lt;=0))),"",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LOOKUP(IF(COUNTIFS(市场案例库!$A$6:$A$35,C235)&lt;&gt;1,"",IF(COUNT(INDEX(市场案例库!$G$6:$G$35,MATCH(C235,市场案例库!$A$6:$A$35,0)))&lt;&gt;1,"",INDEX(市场案例库!$G$6:$G$35,MATCH(C235,市场案例库!$A$6:$A$35,0))))/IF(COUNTIFS(资产清单!$A$6:$A$25,A235)&lt;&gt;1,"",IF(COUNT(INDEX(资产清单!$L$6:$L$25,MATCH(A235,资产清单!$A$6:$A$25,0)))&lt;&gt;1,"",INDEX(资产清单!$L$6:$L$25,MATCH(A235,资产清单!$A$6:$A$25,0)))),测算参数!$A$15:$A$21,测算参数!$C$15:$C$21),测算参数!$B$6))</f>
        <v>100</v>
      </c>
      <c r="J235" s="21">
        <f>IF(OR(C235&lt;&gt;N235,COUNT(H235:I235)&lt;&gt;2,H235&lt;=0,I235&lt;=0),"",IF(AND(IF(COUNTIFS(资产清单!$A$6:$A$25,A235)&lt;&gt;1,"",IF(INDEX(资产清单!$J$6:$J$25,MATCH(A235,资产清单!$A$6:$A$25,0))="","",INDEX(资产清单!$J$6:$J$25,MATCH(A235,资产清单!$A$6:$A$25,0))))="元/㎡/月",IF(COUNTIFS(资产清单!$A$6:$A$25,A235)&lt;&gt;1,"",IF(INDEX(资产清单!$H$6:$H$25,MATCH(A235,资产清单!$A$6:$A$25,0))="","",INDEX(资产清单!$H$6:$H$25,MATCH(A235,资产清单!$A$6:$A$25,0))))&lt;&gt;"场地"),H235/I235,H235/H235))</f>
        <v>1</v>
      </c>
      <c r="K235" s="16" t="s">
        <v>237</v>
      </c>
      <c r="L235" s="16" t="s">
        <v>220</v>
      </c>
      <c r="M235" s="16" t="str">
        <f t="shared" si="27"/>
        <v>模拟评分记录完整</v>
      </c>
      <c r="N235" s="8" t="s">
        <v>164</v>
      </c>
    </row>
    <row r="236" spans="1:14" ht="46.05" customHeight="1">
      <c r="A236" s="16" t="s">
        <v>77</v>
      </c>
      <c r="B236" s="16">
        <v>3</v>
      </c>
      <c r="C236" s="17" t="str">
        <f>三案例选用!D10</f>
        <v>SC-012</v>
      </c>
      <c r="D236" s="16" t="s">
        <v>221</v>
      </c>
      <c r="E236" s="16" t="str">
        <f t="shared" ref="E236:E241" si="32">IF(TRUE,"适用","不适用采用100/100")</f>
        <v>适用</v>
      </c>
      <c r="F236" s="17" t="str">
        <f>IF(TRUE,IF(COUNTIFS(资产清单!$A$6:$A$25,A236)&lt;&gt;1,"",IF(INDEX(资产清单!$I$6:$I$25,MATCH(A236,资产清单!$A$6:$A$25,0))="","",INDEX(资产清单!$I$6:$I$25,MATCH(A236,资产清单!$A$6:$A$25,0)))),"不适用")</f>
        <v>办公用房</v>
      </c>
      <c r="G236" s="17" t="str">
        <f>IF(TRUE,IF(COUNTIFS(市场案例库!$A$6:$A$35,C236)&lt;&gt;1,"",IF(INDEX(市场案例库!$O$6:$O$35,MATCH(C236,市场案例库!$A$6:$A$35,0))="","",INDEX(市场案例库!$O$6:$O$35,MATCH(C236,市场案例库!$A$6:$A$35,0)))),"不适用")</f>
        <v>办公用房</v>
      </c>
      <c r="H236" s="19">
        <f>测算参数!$B$6</f>
        <v>100</v>
      </c>
      <c r="I236" s="10">
        <v>100</v>
      </c>
      <c r="J236" s="20">
        <f t="shared" ref="J236:J241" si="33">IF(OR(C236&lt;&gt;N236,COUNT(H236:I236)&lt;&gt;2,H236&lt;=0,I236&lt;=0),"",IF(TRUE,H236/I236,H236/H236))</f>
        <v>1</v>
      </c>
      <c r="K236" s="16" t="s">
        <v>237</v>
      </c>
      <c r="L236" s="16" t="s">
        <v>215</v>
      </c>
      <c r="M236" s="16" t="str">
        <f t="shared" si="27"/>
        <v>模拟评分记录完整</v>
      </c>
      <c r="N236" s="8" t="s">
        <v>164</v>
      </c>
    </row>
    <row r="237" spans="1:14" ht="46.05" customHeight="1">
      <c r="A237" s="16" t="s">
        <v>77</v>
      </c>
      <c r="B237" s="16">
        <v>3</v>
      </c>
      <c r="C237" s="17" t="str">
        <f>三案例选用!D10</f>
        <v>SC-012</v>
      </c>
      <c r="D237" s="16" t="s">
        <v>222</v>
      </c>
      <c r="E237" s="16" t="str">
        <f t="shared" si="32"/>
        <v>适用</v>
      </c>
      <c r="F237" s="17" t="str">
        <f>IF(TRUE,IF(COUNTIFS(资产清单!$A$6:$A$25,A237)&lt;&gt;1,"",IF(INDEX(资产清单!$I$6:$I$25,MATCH(A237,资产清单!$A$6:$A$25,0))="","",INDEX(资产清单!$I$6:$I$25,MATCH(A237,资产清单!$A$6:$A$25,0)))),"不适用")</f>
        <v>办公用房</v>
      </c>
      <c r="G237" s="17" t="str">
        <f>IF(TRUE,IF(COUNTIFS(市场案例库!$A$6:$A$35,C237)&lt;&gt;1,"",IF(INDEX(市场案例库!$O$6:$O$35,MATCH(C237,市场案例库!$A$6:$A$35,0))="","",INDEX(市场案例库!$O$6:$O$35,MATCH(C237,市场案例库!$A$6:$A$35,0)))),"不适用")</f>
        <v>办公用房</v>
      </c>
      <c r="H237" s="19">
        <f>测算参数!$B$6</f>
        <v>100</v>
      </c>
      <c r="I237" s="10">
        <v>100</v>
      </c>
      <c r="J237" s="20">
        <f t="shared" si="33"/>
        <v>1</v>
      </c>
      <c r="K237" s="16" t="s">
        <v>237</v>
      </c>
      <c r="L237" s="16" t="s">
        <v>215</v>
      </c>
      <c r="M237" s="16" t="str">
        <f t="shared" si="27"/>
        <v>模拟评分记录完整</v>
      </c>
      <c r="N237" s="8" t="s">
        <v>164</v>
      </c>
    </row>
    <row r="238" spans="1:14" ht="46.05" customHeight="1">
      <c r="A238" s="16" t="s">
        <v>77</v>
      </c>
      <c r="B238" s="16">
        <v>3</v>
      </c>
      <c r="C238" s="17" t="str">
        <f>三案例选用!D10</f>
        <v>SC-012</v>
      </c>
      <c r="D238" s="16" t="s">
        <v>224</v>
      </c>
      <c r="E238" s="16" t="str">
        <f t="shared" si="32"/>
        <v>适用</v>
      </c>
      <c r="F238" s="17" t="str">
        <f>IF(TRUE,IF(COUNTIFS(资产清单!$A$6:$A$25,A238)&lt;&gt;1,"",IF(INDEX(资产清单!$I$6:$I$25,MATCH(A238,资产清单!$A$6:$A$25,0))="","",INDEX(资产清单!$I$6:$I$25,MATCH(A238,资产清单!$A$6:$A$25,0)))),"不适用")</f>
        <v>办公用房</v>
      </c>
      <c r="G238" s="17" t="str">
        <f>IF(TRUE,IF(COUNTIFS(市场案例库!$A$6:$A$35,C238)&lt;&gt;1,"",IF(INDEX(市场案例库!$O$6:$O$35,MATCH(C238,市场案例库!$A$6:$A$35,0))="","",INDEX(市场案例库!$O$6:$O$35,MATCH(C238,市场案例库!$A$6:$A$35,0)))),"不适用")</f>
        <v>办公用房</v>
      </c>
      <c r="H238" s="19">
        <f>测算参数!$B$6</f>
        <v>100</v>
      </c>
      <c r="I238" s="10">
        <v>100</v>
      </c>
      <c r="J238" s="20">
        <f t="shared" si="33"/>
        <v>1</v>
      </c>
      <c r="K238" s="16" t="s">
        <v>237</v>
      </c>
      <c r="L238" s="16" t="s">
        <v>215</v>
      </c>
      <c r="M238" s="16" t="str">
        <f t="shared" si="27"/>
        <v>模拟评分记录完整</v>
      </c>
      <c r="N238" s="8" t="s">
        <v>164</v>
      </c>
    </row>
    <row r="239" spans="1:14" ht="46.05" customHeight="1">
      <c r="A239" s="16" t="s">
        <v>77</v>
      </c>
      <c r="B239" s="16">
        <v>3</v>
      </c>
      <c r="C239" s="17" t="str">
        <f>三案例选用!D10</f>
        <v>SC-012</v>
      </c>
      <c r="D239" s="16" t="s">
        <v>225</v>
      </c>
      <c r="E239" s="16" t="str">
        <f t="shared" si="32"/>
        <v>适用</v>
      </c>
      <c r="F239" s="17" t="str">
        <f>IF(TRUE,IF(COUNTIFS(资产清单!$A$6:$A$25,A239)&lt;&gt;1,"",IF(INDEX(资产清单!$I$6:$I$25,MATCH(A239,资产清单!$A$6:$A$25,0))="","",INDEX(资产清单!$I$6:$I$25,MATCH(A239,资产清单!$A$6:$A$25,0)))),"不适用")</f>
        <v>办公用房</v>
      </c>
      <c r="G239" s="17" t="str">
        <f>IF(TRUE,IF(COUNTIFS(市场案例库!$A$6:$A$35,C239)&lt;&gt;1,"",IF(INDEX(市场案例库!$O$6:$O$35,MATCH(C239,市场案例库!$A$6:$A$35,0))="","",INDEX(市场案例库!$O$6:$O$35,MATCH(C239,市场案例库!$A$6:$A$35,0)))),"不适用")</f>
        <v>办公用房</v>
      </c>
      <c r="H239" s="19">
        <f>测算参数!$B$6</f>
        <v>100</v>
      </c>
      <c r="I239" s="10">
        <v>100</v>
      </c>
      <c r="J239" s="20">
        <f t="shared" si="33"/>
        <v>1</v>
      </c>
      <c r="K239" s="16" t="s">
        <v>237</v>
      </c>
      <c r="L239" s="16" t="s">
        <v>215</v>
      </c>
      <c r="M239" s="16" t="str">
        <f t="shared" si="27"/>
        <v>模拟评分记录完整</v>
      </c>
      <c r="N239" s="8" t="s">
        <v>164</v>
      </c>
    </row>
    <row r="240" spans="1:14" ht="46.05" customHeight="1">
      <c r="A240" s="16" t="s">
        <v>77</v>
      </c>
      <c r="B240" s="16">
        <v>3</v>
      </c>
      <c r="C240" s="17" t="str">
        <f>三案例选用!D10</f>
        <v>SC-012</v>
      </c>
      <c r="D240" s="16" t="s">
        <v>226</v>
      </c>
      <c r="E240" s="16" t="str">
        <f t="shared" si="32"/>
        <v>适用</v>
      </c>
      <c r="F240" s="17" t="str">
        <f>IF(TRUE,IF(COUNTIFS(资产清单!$A$6:$A$25,A240)&lt;&gt;1,"",IF(INDEX(资产清单!$I$6:$I$25,MATCH(A240,资产清单!$A$6:$A$25,0))="","",INDEX(资产清单!$I$6:$I$25,MATCH(A240,资产清单!$A$6:$A$25,0)))),"不适用")</f>
        <v>办公用房</v>
      </c>
      <c r="G240" s="17" t="str">
        <f>IF(TRUE,IF(COUNTIFS(市场案例库!$A$6:$A$35,C240)&lt;&gt;1,"",IF(INDEX(市场案例库!$O$6:$O$35,MATCH(C240,市场案例库!$A$6:$A$35,0))="","",INDEX(市场案例库!$O$6:$O$35,MATCH(C240,市场案例库!$A$6:$A$35,0)))),"不适用")</f>
        <v>办公用房</v>
      </c>
      <c r="H240" s="19">
        <f>测算参数!$B$6</f>
        <v>100</v>
      </c>
      <c r="I240" s="10">
        <v>100</v>
      </c>
      <c r="J240" s="20">
        <f t="shared" si="33"/>
        <v>1</v>
      </c>
      <c r="K240" s="16" t="s">
        <v>237</v>
      </c>
      <c r="L240" s="16" t="s">
        <v>215</v>
      </c>
      <c r="M240" s="16" t="str">
        <f t="shared" si="27"/>
        <v>模拟评分记录完整</v>
      </c>
      <c r="N240" s="8" t="s">
        <v>164</v>
      </c>
    </row>
    <row r="241" spans="1:14" ht="46.05" customHeight="1">
      <c r="A241" s="16" t="s">
        <v>77</v>
      </c>
      <c r="B241" s="16">
        <v>3</v>
      </c>
      <c r="C241" s="17" t="str">
        <f>三案例选用!D10</f>
        <v>SC-012</v>
      </c>
      <c r="D241" s="16" t="s">
        <v>227</v>
      </c>
      <c r="E241" s="16" t="str">
        <f t="shared" si="32"/>
        <v>适用</v>
      </c>
      <c r="F241" s="17" t="str">
        <f>IF(TRUE,IF(COUNTIFS(资产清单!$A$6:$A$25,A241)&lt;&gt;1,"",IF(INDEX(资产清单!$I$6:$I$25,MATCH(A241,资产清单!$A$6:$A$25,0))="","",INDEX(资产清单!$I$6:$I$25,MATCH(A241,资产清单!$A$6:$A$25,0)))),"不适用")</f>
        <v>办公用房</v>
      </c>
      <c r="G241" s="17" t="str">
        <f>IF(TRUE,IF(COUNTIFS(市场案例库!$A$6:$A$35,C241)&lt;&gt;1,"",IF(INDEX(市场案例库!$O$6:$O$35,MATCH(C241,市场案例库!$A$6:$A$35,0))="","",INDEX(市场案例库!$O$6:$O$35,MATCH(C241,市场案例库!$A$6:$A$35,0)))),"不适用")</f>
        <v>办公用房</v>
      </c>
      <c r="H241" s="19">
        <f>测算参数!$B$6</f>
        <v>100</v>
      </c>
      <c r="I241" s="10">
        <v>100</v>
      </c>
      <c r="J241" s="20">
        <f t="shared" si="33"/>
        <v>1</v>
      </c>
      <c r="K241" s="16" t="s">
        <v>237</v>
      </c>
      <c r="L241" s="16" t="s">
        <v>215</v>
      </c>
      <c r="M241" s="16" t="str">
        <f t="shared" si="27"/>
        <v>模拟评分记录完整</v>
      </c>
      <c r="N241" s="8" t="s">
        <v>164</v>
      </c>
    </row>
    <row r="242" spans="1:14" ht="46.05" customHeight="1">
      <c r="A242" s="16" t="s">
        <v>77</v>
      </c>
      <c r="B242" s="16">
        <v>3</v>
      </c>
      <c r="C242" s="17" t="str">
        <f>三案例选用!D10</f>
        <v>SC-012</v>
      </c>
      <c r="D242" s="16" t="s">
        <v>228</v>
      </c>
      <c r="E242" s="17" t="str">
        <f>IF(AND(IF(COUNTIFS(资产清单!$A$6:$A$25,A242)&lt;&gt;1,"",IF(INDEX(资产清单!$H$6:$H$25,MATCH(A242,资产清单!$A$6:$A$25,0))="","",INDEX(资产清单!$H$6:$H$25,MATCH(A242,资产清单!$A$6:$A$25,0))))&lt;&gt;"场地",IF(COUNTIFS(资产清单!$A$6:$A$25,A242)&lt;&gt;1,"",IF(INDEX(资产清单!$H$6:$H$25,MATCH(A242,资产清单!$A$6:$A$25,0))="","",INDEX(资产清单!$H$6:$H$25,MATCH(A242,资产清单!$A$6:$A$25,0))))&lt;&gt;"车位",IF(COUNTIFS(资产清单!$A$6:$A$25,A242)&lt;&gt;1,"",IF(INDEX(资产清单!$H$6:$H$25,MATCH(A242,资产清单!$A$6:$A$25,0))="","",INDEX(资产清单!$H$6:$H$25,MATCH(A242,资产清单!$A$6:$A$25,0))))&lt;&gt;"通信基站"),"适用","不适用采用100/100")</f>
        <v>适用</v>
      </c>
      <c r="F242" s="17" t="str">
        <f>IF(AND(IF(COUNTIFS(资产清单!$A$6:$A$25,A242)&lt;&gt;1,"",IF(INDEX(资产清单!$H$6:$H$25,MATCH(A242,资产清单!$A$6:$A$25,0))="","",INDEX(资产清单!$H$6:$H$25,MATCH(A242,资产清单!$A$6:$A$25,0))))&lt;&gt;"场地",IF(COUNTIFS(资产清单!$A$6:$A$25,A242)&lt;&gt;1,"",IF(INDEX(资产清单!$H$6:$H$25,MATCH(A242,资产清单!$A$6:$A$25,0))="","",INDEX(资产清单!$H$6:$H$25,MATCH(A242,资产清单!$A$6:$A$25,0))))&lt;&gt;"车位",IF(COUNTIFS(资产清单!$A$6:$A$25,A242)&lt;&gt;1,"",IF(INDEX(资产清单!$H$6:$H$25,MATCH(A242,资产清单!$A$6:$A$25,0))="","",INDEX(资产清单!$H$6:$H$25,MATCH(A242,资产清单!$A$6:$A$25,0))))&lt;&gt;"通信基站"),IF(COUNTIFS(资产清单!$A$6:$A$25,A242)&lt;&gt;1,"",IF(INDEX(资产清单!$I$6:$I$25,MATCH(A242,资产清单!$A$6:$A$25,0))="","",INDEX(资产清单!$I$6:$I$25,MATCH(A242,资产清单!$A$6:$A$25,0)))),"不适用")</f>
        <v>办公用房</v>
      </c>
      <c r="G242" s="17" t="str">
        <f>IF(AND(IF(COUNTIFS(资产清单!$A$6:$A$25,A242)&lt;&gt;1,"",IF(INDEX(资产清单!$H$6:$H$25,MATCH(A242,资产清单!$A$6:$A$25,0))="","",INDEX(资产清单!$H$6:$H$25,MATCH(A242,资产清单!$A$6:$A$25,0))))&lt;&gt;"场地",IF(COUNTIFS(资产清单!$A$6:$A$25,A242)&lt;&gt;1,"",IF(INDEX(资产清单!$H$6:$H$25,MATCH(A242,资产清单!$A$6:$A$25,0))="","",INDEX(资产清单!$H$6:$H$25,MATCH(A242,资产清单!$A$6:$A$25,0))))&lt;&gt;"车位",IF(COUNTIFS(资产清单!$A$6:$A$25,A242)&lt;&gt;1,"",IF(INDEX(资产清单!$H$6:$H$25,MATCH(A242,资产清单!$A$6:$A$25,0))="","",INDEX(资产清单!$H$6:$H$25,MATCH(A242,资产清单!$A$6:$A$25,0))))&lt;&gt;"通信基站"),IF(COUNTIFS(市场案例库!$A$6:$A$35,C242)&lt;&gt;1,"",IF(INDEX(市场案例库!$O$6:$O$35,MATCH(C242,市场案例库!$A$6:$A$35,0))="","",INDEX(市场案例库!$O$6:$O$35,MATCH(C242,市场案例库!$A$6:$A$35,0)))),"不适用")</f>
        <v>办公用房</v>
      </c>
      <c r="H242" s="19">
        <f>测算参数!$B$6</f>
        <v>100</v>
      </c>
      <c r="I242" s="10">
        <v>100</v>
      </c>
      <c r="J242" s="21">
        <f>IF(OR(C242&lt;&gt;N242,COUNT(H242:I242)&lt;&gt;2,H242&lt;=0,I242&lt;=0),"",IF(AND(IF(COUNTIFS(资产清单!$A$6:$A$25,A242)&lt;&gt;1,"",IF(INDEX(资产清单!$H$6:$H$25,MATCH(A242,资产清单!$A$6:$A$25,0))="","",INDEX(资产清单!$H$6:$H$25,MATCH(A242,资产清单!$A$6:$A$25,0))))&lt;&gt;"场地",IF(COUNTIFS(资产清单!$A$6:$A$25,A242)&lt;&gt;1,"",IF(INDEX(资产清单!$H$6:$H$25,MATCH(A242,资产清单!$A$6:$A$25,0))="","",INDEX(资产清单!$H$6:$H$25,MATCH(A242,资产清单!$A$6:$A$25,0))))&lt;&gt;"车位",IF(COUNTIFS(资产清单!$A$6:$A$25,A242)&lt;&gt;1,"",IF(INDEX(资产清单!$H$6:$H$25,MATCH(A242,资产清单!$A$6:$A$25,0))="","",INDEX(资产清单!$H$6:$H$25,MATCH(A242,资产清单!$A$6:$A$25,0))))&lt;&gt;"通信基站"),H242/I242,H242/H242))</f>
        <v>1</v>
      </c>
      <c r="K242" s="16" t="s">
        <v>237</v>
      </c>
      <c r="L242" s="16" t="s">
        <v>215</v>
      </c>
      <c r="M242" s="16" t="str">
        <f t="shared" si="27"/>
        <v>模拟评分记录完整</v>
      </c>
      <c r="N242" s="8" t="s">
        <v>164</v>
      </c>
    </row>
    <row r="243" spans="1:14" ht="46.05" customHeight="1">
      <c r="A243" s="16" t="s">
        <v>77</v>
      </c>
      <c r="B243" s="16">
        <v>3</v>
      </c>
      <c r="C243" s="17" t="str">
        <f>三案例选用!D10</f>
        <v>SC-012</v>
      </c>
      <c r="D243" s="16" t="s">
        <v>229</v>
      </c>
      <c r="E243" s="17" t="str">
        <f>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"适用","不适用采用100/100")</f>
        <v>适用</v>
      </c>
      <c r="F243" s="17">
        <f>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IF(COUNTIFS(资产清单!$A$6:$A$25,A243)&lt;&gt;1,"",IF(COUNT(INDEX(资产清单!$N$6:$N$25,MATCH(A243,资产清单!$A$6:$A$25,0)))&lt;&gt;1,"",INDEX(资产清单!$N$6:$N$25,MATCH(A243,资产清单!$A$6:$A$25,0)))),"不适用")</f>
        <v>2</v>
      </c>
      <c r="G243" s="17">
        <f>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IF(COUNTIFS(市场案例库!$A$6:$A$35,C243)&lt;&gt;1,"",IF(COUNT(INDEX(市场案例库!$I$6:$I$35,MATCH(C243,市场案例库!$A$6:$A$35,0)))&lt;&gt;1,"",INDEX(市场案例库!$I$6:$I$35,MATCH(C243,市场案例库!$A$6:$A$35,0)))),"不适用")</f>
        <v>2</v>
      </c>
      <c r="H243" s="19">
        <f>测算参数!$B$6</f>
        <v>100</v>
      </c>
      <c r="I243" s="19">
        <f>IF(OR(COUNTIFS(市场案例库!$A$6:$A$35,C243)&lt;&gt;1,AND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OR(COUNT(IF(COUNTIFS(资产清单!$A$6:$A$25,A243)&lt;&gt;1,"",IF(COUNT(INDEX(资产清单!$N$6:$N$25,MATCH(A243,资产清单!$A$6:$A$25,0)))&lt;&gt;1,"",INDEX(资产清单!$N$6:$N$25,MATCH(A243,资产清单!$A$6:$A$25,0)))),IF(COUNTIFS(市场案例库!$A$6:$A$35,C243)&lt;&gt;1,"",IF(COUNT(INDEX(市场案例库!$I$6:$I$35,MATCH(C243,市场案例库!$A$6:$A$35,0)))&lt;&gt;1,"",INDEX(市场案例库!$I$6:$I$35,MATCH(C243,市场案例库!$A$6:$A$35,0)))))&lt;&gt;2,IF(COUNTIFS(资产清单!$A$6:$A$25,A243)&lt;&gt;1,"",IF(COUNT(INDEX(资产清单!$N$6:$N$25,MATCH(A243,资产清单!$A$6:$A$25,0)))&lt;&gt;1,"",INDEX(资产清单!$N$6:$N$25,MATCH(A243,资产清单!$A$6:$A$25,0))))&lt;1,IF(COUNTIFS(资产清单!$A$6:$A$25,A243)&lt;&gt;1,"",IF(COUNT(INDEX(资产清单!$N$6:$N$25,MATCH(A243,资产清单!$A$6:$A$25,0)))&lt;&gt;1,"",INDEX(资产清单!$N$6:$N$25,MATCH(A243,资产清单!$A$6:$A$25,0))))&gt;4,IF(COUNTIFS(市场案例库!$A$6:$A$35,C243)&lt;&gt;1,"",IF(COUNT(INDEX(市场案例库!$I$6:$I$35,MATCH(C243,市场案例库!$A$6:$A$35,0)))&lt;&gt;1,"",INDEX(市场案例库!$I$6:$I$35,MATCH(C243,市场案例库!$A$6:$A$35,0))))&lt;1,IF(COUNTIFS(市场案例库!$A$6:$A$35,C243)&lt;&gt;1,"",IF(COUNT(INDEX(市场案例库!$I$6:$I$35,MATCH(C243,市场案例库!$A$6:$A$35,0)))&lt;&gt;1,"",INDEX(市场案例库!$I$6:$I$35,MATCH(C243,市场案例库!$A$6:$A$35,0))))&gt;4))),"",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INDEX(测算参数!$B$35:$B$41,MATCH(IF(COUNTIFS(市场案例库!$A$6:$A$35,C243)&lt;&gt;1,"",IF(COUNT(INDEX(市场案例库!$I$6:$I$35,MATCH(C243,市场案例库!$A$6:$A$35,0)))&lt;&gt;1,"",INDEX(市场案例库!$I$6:$I$35,MATCH(C243,市场案例库!$A$6:$A$35,0))))-IF(COUNTIFS(资产清单!$A$6:$A$25,A243)&lt;&gt;1,"",IF(COUNT(INDEX(资产清单!$N$6:$N$25,MATCH(A243,资产清单!$A$6:$A$25,0)))&lt;&gt;1,"",INDEX(资产清单!$N$6:$N$25,MATCH(A243,资产清单!$A$6:$A$25,0)))),测算参数!$A$35:$A$41,0)),测算参数!$B$6))</f>
        <v>100</v>
      </c>
      <c r="J243" s="21">
        <f>IF(OR(C243&lt;&gt;N243,COUNT(H243:I243)&lt;&gt;2,H243&lt;=0,I243&lt;=0),"",IF(AND(IF(COUNTIFS(资产清单!$A$6:$A$25,A243)&lt;&gt;1,"",IF(INDEX(资产清单!$H$6:$H$25,MATCH(A243,资产清单!$A$6:$A$25,0))="","",INDEX(资产清单!$H$6:$H$25,MATCH(A243,资产清单!$A$6:$A$25,0))))&lt;&gt;"场地",IF(COUNTIFS(资产清单!$A$6:$A$25,A243)&lt;&gt;1,"",IF(INDEX(资产清单!$H$6:$H$25,MATCH(A243,资产清单!$A$6:$A$25,0))="","",INDEX(资产清单!$H$6:$H$25,MATCH(A243,资产清单!$A$6:$A$25,0))))&lt;&gt;"车位",IF(COUNTIFS(资产清单!$A$6:$A$25,A243)&lt;&gt;1,"",IF(INDEX(资产清单!$H$6:$H$25,MATCH(A243,资产清单!$A$6:$A$25,0))="","",INDEX(资产清单!$H$6:$H$25,MATCH(A243,资产清单!$A$6:$A$25,0))))&lt;&gt;"通信基站"),H243/I243,H243/H243))</f>
        <v>1</v>
      </c>
      <c r="K243" s="16" t="s">
        <v>237</v>
      </c>
      <c r="L243" s="16" t="s">
        <v>230</v>
      </c>
      <c r="M243" s="16" t="str">
        <f t="shared" si="27"/>
        <v>模拟评分记录完整</v>
      </c>
      <c r="N243" s="8" t="s">
        <v>164</v>
      </c>
    </row>
    <row r="244" spans="1:14" ht="46.05" customHeight="1">
      <c r="A244" s="16" t="s">
        <v>77</v>
      </c>
      <c r="B244" s="16">
        <v>3</v>
      </c>
      <c r="C244" s="17" t="str">
        <f>三案例选用!D10</f>
        <v>SC-012</v>
      </c>
      <c r="D244" s="16" t="s">
        <v>231</v>
      </c>
      <c r="E244" s="17" t="str">
        <f>IF(AND(IF(COUNTIFS(资产清单!$A$6:$A$25,A244)&lt;&gt;1,"",IF(INDEX(资产清单!$H$6:$H$25,MATCH(A244,资产清单!$A$6:$A$25,0))="","",INDEX(资产清单!$H$6:$H$25,MATCH(A244,资产清单!$A$6:$A$25,0))))&lt;&gt;"场地",IF(COUNTIFS(资产清单!$A$6:$A$25,A244)&lt;&gt;1,"",IF(INDEX(资产清单!$H$6:$H$25,MATCH(A244,资产清单!$A$6:$A$25,0))="","",INDEX(资产清单!$H$6:$H$25,MATCH(A244,资产清单!$A$6:$A$25,0))))&lt;&gt;"车位",IF(COUNTIFS(资产清单!$A$6:$A$25,A244)&lt;&gt;1,"",IF(INDEX(资产清单!$H$6:$H$25,MATCH(A244,资产清单!$A$6:$A$25,0))="","",INDEX(资产清单!$H$6:$H$25,MATCH(A244,资产清单!$A$6:$A$25,0))))&lt;&gt;"通信基站"),"适用","不适用采用100/100")</f>
        <v>适用</v>
      </c>
      <c r="F244" s="17" t="str">
        <f>IF(AND(IF(COUNTIFS(资产清单!$A$6:$A$25,A244)&lt;&gt;1,"",IF(INDEX(资产清单!$H$6:$H$25,MATCH(A244,资产清单!$A$6:$A$25,0))="","",INDEX(资产清单!$H$6:$H$25,MATCH(A244,资产清单!$A$6:$A$25,0))))&lt;&gt;"场地",IF(COUNTIFS(资产清单!$A$6:$A$25,A244)&lt;&gt;1,"",IF(INDEX(资产清单!$H$6:$H$25,MATCH(A244,资产清单!$A$6:$A$25,0))="","",INDEX(资产清单!$H$6:$H$25,MATCH(A244,资产清单!$A$6:$A$25,0))))&lt;&gt;"车位",IF(COUNTIFS(资产清单!$A$6:$A$25,A244)&lt;&gt;1,"",IF(INDEX(资产清单!$H$6:$H$25,MATCH(A244,资产清单!$A$6:$A$25,0))="","",INDEX(资产清单!$H$6:$H$25,MATCH(A244,资产清单!$A$6:$A$25,0))))&lt;&gt;"通信基站"),IF(COUNTIFS(资产清单!$A$6:$A$25,A244)&lt;&gt;1,"",IF(INDEX(资产清单!$I$6:$I$25,MATCH(A244,资产清单!$A$6:$A$25,0))="","",INDEX(资产清单!$I$6:$I$25,MATCH(A244,资产清单!$A$6:$A$25,0)))),"不适用")</f>
        <v>办公用房</v>
      </c>
      <c r="G244" s="17" t="str">
        <f>IF(AND(IF(COUNTIFS(资产清单!$A$6:$A$25,A244)&lt;&gt;1,"",IF(INDEX(资产清单!$H$6:$H$25,MATCH(A244,资产清单!$A$6:$A$25,0))="","",INDEX(资产清单!$H$6:$H$25,MATCH(A244,资产清单!$A$6:$A$25,0))))&lt;&gt;"场地",IF(COUNTIFS(资产清单!$A$6:$A$25,A244)&lt;&gt;1,"",IF(INDEX(资产清单!$H$6:$H$25,MATCH(A244,资产清单!$A$6:$A$25,0))="","",INDEX(资产清单!$H$6:$H$25,MATCH(A244,资产清单!$A$6:$A$25,0))))&lt;&gt;"车位",IF(COUNTIFS(资产清单!$A$6:$A$25,A244)&lt;&gt;1,"",IF(INDEX(资产清单!$H$6:$H$25,MATCH(A244,资产清单!$A$6:$A$25,0))="","",INDEX(资产清单!$H$6:$H$25,MATCH(A244,资产清单!$A$6:$A$25,0))))&lt;&gt;"通信基站"),IF(COUNTIFS(市场案例库!$A$6:$A$35,C244)&lt;&gt;1,"",IF(INDEX(市场案例库!$O$6:$O$35,MATCH(C244,市场案例库!$A$6:$A$35,0))="","",INDEX(市场案例库!$O$6:$O$35,MATCH(C244,市场案例库!$A$6:$A$35,0)))),"不适用")</f>
        <v>办公用房</v>
      </c>
      <c r="H244" s="19">
        <f>测算参数!$B$6</f>
        <v>100</v>
      </c>
      <c r="I244" s="10">
        <v>100</v>
      </c>
      <c r="J244" s="21">
        <f>IF(OR(C244&lt;&gt;N244,COUNT(H244:I244)&lt;&gt;2,H244&lt;=0,I244&lt;=0),"",IF(AND(IF(COUNTIFS(资产清单!$A$6:$A$25,A244)&lt;&gt;1,"",IF(INDEX(资产清单!$H$6:$H$25,MATCH(A244,资产清单!$A$6:$A$25,0))="","",INDEX(资产清单!$H$6:$H$25,MATCH(A244,资产清单!$A$6:$A$25,0))))&lt;&gt;"场地",IF(COUNTIFS(资产清单!$A$6:$A$25,A244)&lt;&gt;1,"",IF(INDEX(资产清单!$H$6:$H$25,MATCH(A244,资产清单!$A$6:$A$25,0))="","",INDEX(资产清单!$H$6:$H$25,MATCH(A244,资产清单!$A$6:$A$25,0))))&lt;&gt;"车位",IF(COUNTIFS(资产清单!$A$6:$A$25,A244)&lt;&gt;1,"",IF(INDEX(资产清单!$H$6:$H$25,MATCH(A244,资产清单!$A$6:$A$25,0))="","",INDEX(资产清单!$H$6:$H$25,MATCH(A244,资产清单!$A$6:$A$25,0))))&lt;&gt;"通信基站"),H244/I244,H244/H244))</f>
        <v>1</v>
      </c>
      <c r="K244" s="16" t="s">
        <v>237</v>
      </c>
      <c r="L244" s="16" t="s">
        <v>215</v>
      </c>
      <c r="M244" s="16" t="str">
        <f t="shared" si="27"/>
        <v>模拟评分记录完整</v>
      </c>
      <c r="N244" s="8" t="s">
        <v>164</v>
      </c>
    </row>
    <row r="245" spans="1:14" ht="46.05" customHeight="1">
      <c r="A245" s="16" t="s">
        <v>77</v>
      </c>
      <c r="B245" s="16">
        <v>3</v>
      </c>
      <c r="C245" s="17" t="str">
        <f>三案例选用!D10</f>
        <v>SC-012</v>
      </c>
      <c r="D245" s="16" t="s">
        <v>232</v>
      </c>
      <c r="E245" s="16" t="str">
        <f>IF(TRUE,"适用","不适用采用100/100")</f>
        <v>适用</v>
      </c>
      <c r="F245" s="17" t="str">
        <f>IF(TRUE,IF(COUNTIFS(资产清单!$A$6:$A$25,A245)&lt;&gt;1,"",IF(INDEX(资产清单!$I$6:$I$25,MATCH(A245,资产清单!$A$6:$A$25,0))="","",INDEX(资产清单!$I$6:$I$25,MATCH(A245,资产清单!$A$6:$A$25,0)))),"不适用")</f>
        <v>办公用房</v>
      </c>
      <c r="G245" s="17" t="str">
        <f>IF(TRUE,IF(COUNTIFS(市场案例库!$A$6:$A$35,C245)&lt;&gt;1,"",IF(INDEX(市场案例库!$O$6:$O$35,MATCH(C245,市场案例库!$A$6:$A$35,0))="","",INDEX(市场案例库!$O$6:$O$35,MATCH(C245,市场案例库!$A$6:$A$35,0)))),"不适用")</f>
        <v>办公用房</v>
      </c>
      <c r="H245" s="19">
        <f>测算参数!$B$6</f>
        <v>100</v>
      </c>
      <c r="I245" s="10">
        <v>100</v>
      </c>
      <c r="J245" s="20">
        <f>IF(OR(C245&lt;&gt;N245,COUNT(H245:I245)&lt;&gt;2,H245&lt;=0,I245&lt;=0),"",IF(TRUE,H245/I245,H245/H245))</f>
        <v>1</v>
      </c>
      <c r="K245" s="16" t="s">
        <v>237</v>
      </c>
      <c r="L245" s="16" t="s">
        <v>215</v>
      </c>
      <c r="M245" s="16" t="str">
        <f t="shared" si="27"/>
        <v>模拟评分记录完整</v>
      </c>
      <c r="N245" s="8" t="s">
        <v>164</v>
      </c>
    </row>
    <row r="246" spans="1:14" ht="46.05" customHeight="1">
      <c r="A246" s="16" t="s">
        <v>78</v>
      </c>
      <c r="B246" s="16">
        <v>1</v>
      </c>
      <c r="C246" s="17" t="str">
        <f>三案例选用!B11</f>
        <v>SC-010</v>
      </c>
      <c r="D246" s="16" t="s">
        <v>209</v>
      </c>
      <c r="E246" s="16" t="str">
        <f>IF(TRUE,"适用","不适用采用100/100")</f>
        <v>适用</v>
      </c>
      <c r="F246" s="17" t="str">
        <f>IF(TRUE,IF(COUNTIFS(资产清单!$A$6:$A$25,A246)&lt;&gt;1,"",IF(INDEX(资产清单!$I$6:$I$25,MATCH(A246,资产清单!$A$6:$A$25,0))="","",INDEX(资产清单!$I$6:$I$25,MATCH(A246,资产清单!$A$6:$A$25,0)))),"不适用")</f>
        <v>办公用房</v>
      </c>
      <c r="G246" s="17" t="str">
        <f>IF(TRUE,IF(COUNTIFS(市场案例库!$A$6:$A$35,C246)&lt;&gt;1,"",IF(INDEX(市场案例库!$O$6:$O$35,MATCH(C246,市场案例库!$A$6:$A$35,0))="","",INDEX(市场案例库!$O$6:$O$35,MATCH(C246,市场案例库!$A$6:$A$35,0)))),"不适用")</f>
        <v>办公用房</v>
      </c>
      <c r="H246" s="19">
        <f>测算参数!$B$6</f>
        <v>100</v>
      </c>
      <c r="I246" s="19">
        <f>IF(OR(COUNTIFS(市场案例库!$A$6:$A$35,C246)&lt;&gt;1),"",IF(COUNTIFS(市场案例库!$A$6:$A$35,C246)&lt;&gt;1,"",IF(COUNT(INDEX(市场案例库!$M$6:$M$35,MATCH(C246,市场案例库!$A$6:$A$35,0)))&lt;&gt;1,"",INDEX(市场案例库!$M$6:$M$35,MATCH(C246,市场案例库!$A$6:$A$35,0)))))</f>
        <v>102</v>
      </c>
      <c r="J246" s="20">
        <f>IF(OR(C246&lt;&gt;N246,COUNT(H246:I246)&lt;&gt;2,H246&lt;=0,I246&lt;=0),"",IF(TRUE,H246/I246,H246/H246))</f>
        <v>0.98039215686274506</v>
      </c>
      <c r="K246" s="16" t="s">
        <v>238</v>
      </c>
      <c r="L246" s="16" t="s">
        <v>211</v>
      </c>
      <c r="M246" s="16" t="str">
        <f t="shared" si="27"/>
        <v>模拟评分记录完整</v>
      </c>
      <c r="N246" s="8" t="s">
        <v>162</v>
      </c>
    </row>
    <row r="247" spans="1:14" ht="46.05" customHeight="1">
      <c r="A247" s="16" t="s">
        <v>78</v>
      </c>
      <c r="B247" s="16">
        <v>1</v>
      </c>
      <c r="C247" s="17" t="str">
        <f>三案例选用!B11</f>
        <v>SC-010</v>
      </c>
      <c r="D247" s="16" t="s">
        <v>212</v>
      </c>
      <c r="E247" s="16" t="str">
        <f>IF(TRUE,"适用","不适用采用100/100")</f>
        <v>适用</v>
      </c>
      <c r="F247" s="17" t="str">
        <f>IF(TRUE,IF(COUNTIFS(资产清单!$A$6:$A$25,A247)&lt;&gt;1,"",IF(INDEX(资产清单!$I$6:$I$25,MATCH(A247,资产清单!$A$6:$A$25,0))="","",INDEX(资产清单!$I$6:$I$25,MATCH(A247,资产清单!$A$6:$A$25,0)))),"不适用")</f>
        <v>办公用房</v>
      </c>
      <c r="G247" s="17" t="str">
        <f>IF(TRUE,IF(COUNTIFS(市场案例库!$A$6:$A$35,C247)&lt;&gt;1,"",IF(INDEX(市场案例库!$O$6:$O$35,MATCH(C247,市场案例库!$A$6:$A$35,0))="","",INDEX(市场案例库!$O$6:$O$35,MATCH(C247,市场案例库!$A$6:$A$35,0)))),"不适用")</f>
        <v>办公用房</v>
      </c>
      <c r="H247" s="19">
        <f>测算参数!$B$6</f>
        <v>100</v>
      </c>
      <c r="I247" s="19">
        <f>IF(OR(COUNTIFS(市场案例库!$A$6:$A$35,C247)&lt;&gt;1),"",IF(COUNTIFS(市场案例库!$A$6:$A$35,C247)&lt;&gt;1,"",IF(COUNT(INDEX(市场案例库!$N$6:$N$35,MATCH(C247,市场案例库!$A$6:$A$35,0)))&lt;&gt;1,"",INDEX(市场案例库!$N$6:$N$35,MATCH(C247,市场案例库!$A$6:$A$35,0)))))</f>
        <v>100</v>
      </c>
      <c r="J247" s="20">
        <f>IF(OR(C247&lt;&gt;N247,COUNT(H247:I247)&lt;&gt;2,H247&lt;=0,I247&lt;=0),"",IF(TRUE,H247/I247,H247/H247))</f>
        <v>1</v>
      </c>
      <c r="K247" s="16" t="s">
        <v>238</v>
      </c>
      <c r="L247" s="16" t="s">
        <v>213</v>
      </c>
      <c r="M247" s="16" t="str">
        <f t="shared" si="27"/>
        <v>模拟评分记录完整</v>
      </c>
      <c r="N247" s="8" t="s">
        <v>162</v>
      </c>
    </row>
    <row r="248" spans="1:14" ht="46.05" customHeight="1">
      <c r="A248" s="16" t="s">
        <v>78</v>
      </c>
      <c r="B248" s="16">
        <v>1</v>
      </c>
      <c r="C248" s="17" t="str">
        <f>三案例选用!B11</f>
        <v>SC-010</v>
      </c>
      <c r="D248" s="16" t="s">
        <v>214</v>
      </c>
      <c r="E248" s="16" t="str">
        <f>IF(TRUE,"适用","不适用采用100/100")</f>
        <v>适用</v>
      </c>
      <c r="F248" s="17" t="str">
        <f>IF(TRUE,IF(COUNTIFS(资产清单!$A$6:$A$25,A248)&lt;&gt;1,"",IF(INDEX(资产清单!$I$6:$I$25,MATCH(A248,资产清单!$A$6:$A$25,0))="","",INDEX(资产清单!$I$6:$I$25,MATCH(A248,资产清单!$A$6:$A$25,0)))),"不适用")</f>
        <v>办公用房</v>
      </c>
      <c r="G248" s="17" t="str">
        <f>IF(TRUE,IF(COUNTIFS(市场案例库!$A$6:$A$35,C248)&lt;&gt;1,"",IF(INDEX(市场案例库!$O$6:$O$35,MATCH(C248,市场案例库!$A$6:$A$35,0))="","",INDEX(市场案例库!$O$6:$O$35,MATCH(C248,市场案例库!$A$6:$A$35,0)))),"不适用")</f>
        <v>办公用房</v>
      </c>
      <c r="H248" s="19">
        <f>测算参数!$B$6</f>
        <v>100</v>
      </c>
      <c r="I248" s="10">
        <v>100</v>
      </c>
      <c r="J248" s="20">
        <f>IF(OR(C248&lt;&gt;N248,COUNT(H248:I248)&lt;&gt;2,H248&lt;=0,I248&lt;=0),"",IF(TRUE,H248/I248,H248/H248))</f>
        <v>1</v>
      </c>
      <c r="K248" s="16" t="s">
        <v>238</v>
      </c>
      <c r="L248" s="16" t="s">
        <v>215</v>
      </c>
      <c r="M248" s="16" t="str">
        <f t="shared" si="27"/>
        <v>模拟评分记录完整</v>
      </c>
      <c r="N248" s="8" t="s">
        <v>162</v>
      </c>
    </row>
    <row r="249" spans="1:14" ht="46.05" customHeight="1">
      <c r="A249" s="16" t="s">
        <v>78</v>
      </c>
      <c r="B249" s="16">
        <v>1</v>
      </c>
      <c r="C249" s="17" t="str">
        <f>三案例选用!B11</f>
        <v>SC-010</v>
      </c>
      <c r="D249" s="16" t="s">
        <v>216</v>
      </c>
      <c r="E249" s="16" t="str">
        <f>IF(TRUE,"适用","不适用采用100/100")</f>
        <v>适用</v>
      </c>
      <c r="F249" s="17" t="str">
        <f>IF(TRUE,IF(COUNTIFS(资产清单!$A$6:$A$25,A249)&lt;&gt;1,"",IF(INDEX(资产清单!$I$6:$I$25,MATCH(A249,资产清单!$A$6:$A$25,0))="","",INDEX(资产清单!$I$6:$I$25,MATCH(A249,资产清单!$A$6:$A$25,0)))),"不适用")</f>
        <v>办公用房</v>
      </c>
      <c r="G249" s="17" t="str">
        <f>IF(TRUE,IF(COUNTIFS(市场案例库!$A$6:$A$35,C249)&lt;&gt;1,"",IF(INDEX(市场案例库!$O$6:$O$35,MATCH(C249,市场案例库!$A$6:$A$35,0))="","",INDEX(市场案例库!$O$6:$O$35,MATCH(C249,市场案例库!$A$6:$A$35,0)))),"不适用")</f>
        <v>办公用房</v>
      </c>
      <c r="H249" s="19">
        <f>测算参数!$B$6</f>
        <v>100</v>
      </c>
      <c r="I249" s="10">
        <v>100</v>
      </c>
      <c r="J249" s="20">
        <f>IF(OR(C249&lt;&gt;N249,COUNT(H249:I249)&lt;&gt;2,H249&lt;=0,I249&lt;=0),"",IF(TRUE,H249/I249,H249/H249))</f>
        <v>1</v>
      </c>
      <c r="K249" s="16" t="s">
        <v>238</v>
      </c>
      <c r="L249" s="16" t="s">
        <v>215</v>
      </c>
      <c r="M249" s="16" t="str">
        <f t="shared" si="27"/>
        <v>模拟评分记录完整</v>
      </c>
      <c r="N249" s="8" t="s">
        <v>162</v>
      </c>
    </row>
    <row r="250" spans="1:14" ht="46.05" customHeight="1">
      <c r="A250" s="16" t="s">
        <v>78</v>
      </c>
      <c r="B250" s="16">
        <v>1</v>
      </c>
      <c r="C250" s="17" t="str">
        <f>三案例选用!B11</f>
        <v>SC-010</v>
      </c>
      <c r="D250" s="16" t="s">
        <v>217</v>
      </c>
      <c r="E250" s="17" t="str">
        <f>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"适用","不适用采用100/100")</f>
        <v>适用</v>
      </c>
      <c r="F250" s="17">
        <f>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IF(COUNTIFS(资产清单!$A$6:$A$25,A250)&lt;&gt;1,"",IF(COUNT(INDEX(资产清单!$M$6:$M$25,MATCH(A250,资产清单!$A$6:$A$25,0)))&lt;&gt;1,"",INDEX(资产清单!$M$6:$M$25,MATCH(A250,资产清单!$A$6:$A$25,0)))),"不适用")</f>
        <v>3</v>
      </c>
      <c r="G250" s="17">
        <f>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IF(COUNTIFS(市场案例库!$A$6:$A$35,C250)&lt;&gt;1,"",IF(COUNT(INDEX(市场案例库!$H$6:$H$35,MATCH(C250,市场案例库!$A$6:$A$35,0)))&lt;&gt;1,"",INDEX(市场案例库!$H$6:$H$35,MATCH(C250,市场案例库!$A$6:$A$35,0)))),"不适用")</f>
        <v>2</v>
      </c>
      <c r="H250" s="19">
        <f>测算参数!$B$6</f>
        <v>100</v>
      </c>
      <c r="I250" s="19">
        <f>IF(OR(COUNTIFS(市场案例库!$A$6:$A$35,C250)&lt;&gt;1,AND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COUNT(IF(COUNTIFS(资产清单!$A$6:$A$25,A250)&lt;&gt;1,"",IF(COUNT(INDEX(资产清单!$M$6:$M$25,MATCH(A250,资产清单!$A$6:$A$25,0)))&lt;&gt;1,"",INDEX(资产清单!$M$6:$M$25,MATCH(A250,资产清单!$A$6:$A$25,0)))),IF(COUNTIFS(市场案例库!$A$6:$A$35,C250)&lt;&gt;1,"",IF(COUNT(INDEX(市场案例库!$H$6:$H$35,MATCH(C250,市场案例库!$A$6:$A$35,0)))&lt;&gt;1,"",INDEX(市场案例库!$H$6:$H$35,MATCH(C250,市场案例库!$A$6:$A$35,0)))))&lt;&gt;2)),"",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INDEX(测算参数!$B$25:$B$31,MATCH(MAX(-测算参数!$B$11,MIN(测算参数!$B$11,IF(COUNTIFS(资产清单!$A$6:$A$25,A250)&lt;&gt;1,"",IF(COUNT(INDEX(资产清单!$M$6:$M$25,MATCH(A250,资产清单!$A$6:$A$25,0)))&lt;&gt;1,"",INDEX(资产清单!$M$6:$M$25,MATCH(A250,资产清单!$A$6:$A$25,0))))-IF(COUNTIFS(市场案例库!$A$6:$A$35,C250)&lt;&gt;1,"",IF(COUNT(INDEX(市场案例库!$H$6:$H$35,MATCH(C250,市场案例库!$A$6:$A$35,0)))&lt;&gt;1,"",INDEX(市场案例库!$H$6:$H$35,MATCH(C250,市场案例库!$A$6:$A$35,0)))))),测算参数!$A$25:$A$31,0)),测算参数!$B$6))</f>
        <v>101</v>
      </c>
      <c r="J250" s="21">
        <f>IF(OR(C250&lt;&gt;N250,COUNT(H250:I250)&lt;&gt;2,H250&lt;=0,I250&lt;=0),"",IF(OR(IF(COUNTIFS(资产清单!$A$6:$A$25,A250)&lt;&gt;1,"",IF(INDEX(资产清单!$H$6:$H$25,MATCH(A250,资产清单!$A$6:$A$25,0))="","",INDEX(资产清单!$H$6:$H$25,MATCH(A250,资产清单!$A$6:$A$25,0))))="商业",IF(COUNTIFS(资产清单!$A$6:$A$25,A250)&lt;&gt;1,"",IF(INDEX(资产清单!$H$6:$H$25,MATCH(A250,资产清单!$A$6:$A$25,0))="","",INDEX(资产清单!$H$6:$H$25,MATCH(A250,资产清单!$A$6:$A$25,0))))="办公",IF(COUNTIFS(资产清单!$A$6:$A$25,A250)&lt;&gt;1,"",IF(INDEX(资产清单!$H$6:$H$25,MATCH(A250,资产清单!$A$6:$A$25,0))="","",INDEX(资产清单!$H$6:$H$25,MATCH(A250,资产清单!$A$6:$A$25,0))))="住宅"),H250/I250,H250/H250))</f>
        <v>0.99009900990099009</v>
      </c>
      <c r="K250" s="16" t="s">
        <v>238</v>
      </c>
      <c r="L250" s="16" t="s">
        <v>218</v>
      </c>
      <c r="M250" s="16" t="str">
        <f t="shared" si="27"/>
        <v>模拟评分记录完整</v>
      </c>
      <c r="N250" s="8" t="s">
        <v>162</v>
      </c>
    </row>
    <row r="251" spans="1:14" ht="46.05" customHeight="1">
      <c r="A251" s="16" t="s">
        <v>78</v>
      </c>
      <c r="B251" s="16">
        <v>1</v>
      </c>
      <c r="C251" s="17" t="str">
        <f>三案例选用!B11</f>
        <v>SC-010</v>
      </c>
      <c r="D251" s="16" t="s">
        <v>219</v>
      </c>
      <c r="E251" s="17" t="str">
        <f>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"适用","不适用采用100/100")</f>
        <v>适用</v>
      </c>
      <c r="F251" s="17">
        <f>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IF(COUNTIFS(资产清单!$A$6:$A$25,A251)&lt;&gt;1,"",IF(COUNT(INDEX(资产清单!$L$6:$L$25,MATCH(A251,资产清单!$A$6:$A$25,0)))&lt;&gt;1,"",INDEX(资产清单!$L$6:$L$25,MATCH(A251,资产清单!$A$6:$A$25,0)))),"不适用")</f>
        <v>180</v>
      </c>
      <c r="G251" s="17">
        <f>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IF(COUNTIFS(市场案例库!$A$6:$A$35,C251)&lt;&gt;1,"",IF(COUNT(INDEX(市场案例库!$G$6:$G$35,MATCH(C251,市场案例库!$A$6:$A$35,0)))&lt;&gt;1,"",INDEX(市场案例库!$G$6:$G$35,MATCH(C251,市场案例库!$A$6:$A$35,0)))),"不适用")</f>
        <v>130</v>
      </c>
      <c r="H251" s="19">
        <f>测算参数!$B$6</f>
        <v>100</v>
      </c>
      <c r="I251" s="19">
        <f>IF(OR(COUNTIFS(市场案例库!$A$6:$A$35,C251)&lt;&gt;1,AND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OR(COUNT(IF(COUNTIFS(资产清单!$A$6:$A$25,A251)&lt;&gt;1,"",IF(COUNT(INDEX(资产清单!$L$6:$L$25,MATCH(A251,资产清单!$A$6:$A$25,0)))&lt;&gt;1,"",INDEX(资产清单!$L$6:$L$25,MATCH(A251,资产清单!$A$6:$A$25,0)))),IF(COUNTIFS(市场案例库!$A$6:$A$35,C251)&lt;&gt;1,"",IF(COUNT(INDEX(市场案例库!$G$6:$G$35,MATCH(C251,市场案例库!$A$6:$A$35,0)))&lt;&gt;1,"",INDEX(市场案例库!$G$6:$G$35,MATCH(C251,市场案例库!$A$6:$A$35,0)))))&lt;&gt;2,IF(COUNTIFS(资产清单!$A$6:$A$25,A251)&lt;&gt;1,"",IF(COUNT(INDEX(资产清单!$L$6:$L$25,MATCH(A251,资产清单!$A$6:$A$25,0)))&lt;&gt;1,"",INDEX(资产清单!$L$6:$L$25,MATCH(A251,资产清单!$A$6:$A$25,0))))&lt;=0,IF(COUNTIFS(市场案例库!$A$6:$A$35,C251)&lt;&gt;1,"",IF(COUNT(INDEX(市场案例库!$G$6:$G$35,MATCH(C251,市场案例库!$A$6:$A$35,0)))&lt;&gt;1,"",INDEX(市场案例库!$G$6:$G$35,MATCH(C251,市场案例库!$A$6:$A$35,0))))&lt;=0))),"",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LOOKUP(IF(COUNTIFS(市场案例库!$A$6:$A$35,C251)&lt;&gt;1,"",IF(COUNT(INDEX(市场案例库!$G$6:$G$35,MATCH(C251,市场案例库!$A$6:$A$35,0)))&lt;&gt;1,"",INDEX(市场案例库!$G$6:$G$35,MATCH(C251,市场案例库!$A$6:$A$35,0))))/IF(COUNTIFS(资产清单!$A$6:$A$25,A251)&lt;&gt;1,"",IF(COUNT(INDEX(资产清单!$L$6:$L$25,MATCH(A251,资产清单!$A$6:$A$25,0)))&lt;&gt;1,"",INDEX(资产清单!$L$6:$L$25,MATCH(A251,资产清单!$A$6:$A$25,0)))),测算参数!$A$15:$A$21,测算参数!$C$15:$C$21),测算参数!$B$6))</f>
        <v>102</v>
      </c>
      <c r="J251" s="21">
        <f>IF(OR(C251&lt;&gt;N251,COUNT(H251:I251)&lt;&gt;2,H251&lt;=0,I251&lt;=0),"",IF(AND(IF(COUNTIFS(资产清单!$A$6:$A$25,A251)&lt;&gt;1,"",IF(INDEX(资产清单!$J$6:$J$25,MATCH(A251,资产清单!$A$6:$A$25,0))="","",INDEX(资产清单!$J$6:$J$25,MATCH(A251,资产清单!$A$6:$A$25,0))))="元/㎡/月",IF(COUNTIFS(资产清单!$A$6:$A$25,A251)&lt;&gt;1,"",IF(INDEX(资产清单!$H$6:$H$25,MATCH(A251,资产清单!$A$6:$A$25,0))="","",INDEX(资产清单!$H$6:$H$25,MATCH(A251,资产清单!$A$6:$A$25,0))))&lt;&gt;"场地"),H251/I251,H251/H251))</f>
        <v>0.98039215686274506</v>
      </c>
      <c r="K251" s="16" t="s">
        <v>238</v>
      </c>
      <c r="L251" s="16" t="s">
        <v>220</v>
      </c>
      <c r="M251" s="16" t="str">
        <f t="shared" si="27"/>
        <v>模拟评分记录完整</v>
      </c>
      <c r="N251" s="8" t="s">
        <v>162</v>
      </c>
    </row>
    <row r="252" spans="1:14" ht="46.05" customHeight="1">
      <c r="A252" s="16" t="s">
        <v>78</v>
      </c>
      <c r="B252" s="16">
        <v>1</v>
      </c>
      <c r="C252" s="17" t="str">
        <f>三案例选用!B11</f>
        <v>SC-010</v>
      </c>
      <c r="D252" s="16" t="s">
        <v>221</v>
      </c>
      <c r="E252" s="16" t="str">
        <f t="shared" ref="E252:E257" si="34">IF(TRUE,"适用","不适用采用100/100")</f>
        <v>适用</v>
      </c>
      <c r="F252" s="17" t="str">
        <f>IF(TRUE,IF(COUNTIFS(资产清单!$A$6:$A$25,A252)&lt;&gt;1,"",IF(INDEX(资产清单!$I$6:$I$25,MATCH(A252,资产清单!$A$6:$A$25,0))="","",INDEX(资产清单!$I$6:$I$25,MATCH(A252,资产清单!$A$6:$A$25,0)))),"不适用")</f>
        <v>办公用房</v>
      </c>
      <c r="G252" s="17" t="str">
        <f>IF(TRUE,IF(COUNTIFS(市场案例库!$A$6:$A$35,C252)&lt;&gt;1,"",IF(INDEX(市场案例库!$O$6:$O$35,MATCH(C252,市场案例库!$A$6:$A$35,0))="","",INDEX(市场案例库!$O$6:$O$35,MATCH(C252,市场案例库!$A$6:$A$35,0)))),"不适用")</f>
        <v>办公用房</v>
      </c>
      <c r="H252" s="19">
        <f>测算参数!$B$6</f>
        <v>100</v>
      </c>
      <c r="I252" s="10">
        <v>100</v>
      </c>
      <c r="J252" s="20">
        <f t="shared" ref="J252:J257" si="35">IF(OR(C252&lt;&gt;N252,COUNT(H252:I252)&lt;&gt;2,H252&lt;=0,I252&lt;=0),"",IF(TRUE,H252/I252,H252/H252))</f>
        <v>1</v>
      </c>
      <c r="K252" s="16" t="s">
        <v>238</v>
      </c>
      <c r="L252" s="16" t="s">
        <v>215</v>
      </c>
      <c r="M252" s="16" t="str">
        <f t="shared" si="27"/>
        <v>模拟评分记录完整</v>
      </c>
      <c r="N252" s="8" t="s">
        <v>162</v>
      </c>
    </row>
    <row r="253" spans="1:14" ht="46.05" customHeight="1">
      <c r="A253" s="16" t="s">
        <v>78</v>
      </c>
      <c r="B253" s="16">
        <v>1</v>
      </c>
      <c r="C253" s="17" t="str">
        <f>三案例选用!B11</f>
        <v>SC-010</v>
      </c>
      <c r="D253" s="16" t="s">
        <v>222</v>
      </c>
      <c r="E253" s="16" t="str">
        <f t="shared" si="34"/>
        <v>适用</v>
      </c>
      <c r="F253" s="17" t="str">
        <f>IF(TRUE,IF(COUNTIFS(资产清单!$A$6:$A$25,A253)&lt;&gt;1,"",IF(INDEX(资产清单!$I$6:$I$25,MATCH(A253,资产清单!$A$6:$A$25,0))="","",INDEX(资产清单!$I$6:$I$25,MATCH(A253,资产清单!$A$6:$A$25,0)))),"不适用")</f>
        <v>办公用房</v>
      </c>
      <c r="G253" s="17" t="str">
        <f>IF(TRUE,IF(COUNTIFS(市场案例库!$A$6:$A$35,C253)&lt;&gt;1,"",IF(INDEX(市场案例库!$O$6:$O$35,MATCH(C253,市场案例库!$A$6:$A$35,0))="","",INDEX(市场案例库!$O$6:$O$35,MATCH(C253,市场案例库!$A$6:$A$35,0)))),"不适用")</f>
        <v>办公用房</v>
      </c>
      <c r="H253" s="19">
        <f>测算参数!$B$6</f>
        <v>100</v>
      </c>
      <c r="I253" s="10">
        <v>100</v>
      </c>
      <c r="J253" s="20">
        <f t="shared" si="35"/>
        <v>1</v>
      </c>
      <c r="K253" s="16" t="s">
        <v>238</v>
      </c>
      <c r="L253" s="16" t="s">
        <v>215</v>
      </c>
      <c r="M253" s="16" t="str">
        <f t="shared" si="27"/>
        <v>模拟评分记录完整</v>
      </c>
      <c r="N253" s="8" t="s">
        <v>162</v>
      </c>
    </row>
    <row r="254" spans="1:14" ht="46.05" customHeight="1">
      <c r="A254" s="16" t="s">
        <v>78</v>
      </c>
      <c r="B254" s="16">
        <v>1</v>
      </c>
      <c r="C254" s="17" t="str">
        <f>三案例选用!B11</f>
        <v>SC-010</v>
      </c>
      <c r="D254" s="16" t="s">
        <v>224</v>
      </c>
      <c r="E254" s="16" t="str">
        <f t="shared" si="34"/>
        <v>适用</v>
      </c>
      <c r="F254" s="17" t="str">
        <f>IF(TRUE,IF(COUNTIFS(资产清单!$A$6:$A$25,A254)&lt;&gt;1,"",IF(INDEX(资产清单!$I$6:$I$25,MATCH(A254,资产清单!$A$6:$A$25,0))="","",INDEX(资产清单!$I$6:$I$25,MATCH(A254,资产清单!$A$6:$A$25,0)))),"不适用")</f>
        <v>办公用房</v>
      </c>
      <c r="G254" s="17" t="str">
        <f>IF(TRUE,IF(COUNTIFS(市场案例库!$A$6:$A$35,C254)&lt;&gt;1,"",IF(INDEX(市场案例库!$O$6:$O$35,MATCH(C254,市场案例库!$A$6:$A$35,0))="","",INDEX(市场案例库!$O$6:$O$35,MATCH(C254,市场案例库!$A$6:$A$35,0)))),"不适用")</f>
        <v>办公用房</v>
      </c>
      <c r="H254" s="19">
        <f>测算参数!$B$6</f>
        <v>100</v>
      </c>
      <c r="I254" s="10">
        <v>100</v>
      </c>
      <c r="J254" s="20">
        <f t="shared" si="35"/>
        <v>1</v>
      </c>
      <c r="K254" s="16" t="s">
        <v>238</v>
      </c>
      <c r="L254" s="16" t="s">
        <v>215</v>
      </c>
      <c r="M254" s="16" t="str">
        <f t="shared" si="27"/>
        <v>模拟评分记录完整</v>
      </c>
      <c r="N254" s="8" t="s">
        <v>162</v>
      </c>
    </row>
    <row r="255" spans="1:14" ht="46.05" customHeight="1">
      <c r="A255" s="16" t="s">
        <v>78</v>
      </c>
      <c r="B255" s="16">
        <v>1</v>
      </c>
      <c r="C255" s="17" t="str">
        <f>三案例选用!B11</f>
        <v>SC-010</v>
      </c>
      <c r="D255" s="16" t="s">
        <v>225</v>
      </c>
      <c r="E255" s="16" t="str">
        <f t="shared" si="34"/>
        <v>适用</v>
      </c>
      <c r="F255" s="17" t="str">
        <f>IF(TRUE,IF(COUNTIFS(资产清单!$A$6:$A$25,A255)&lt;&gt;1,"",IF(INDEX(资产清单!$I$6:$I$25,MATCH(A255,资产清单!$A$6:$A$25,0))="","",INDEX(资产清单!$I$6:$I$25,MATCH(A255,资产清单!$A$6:$A$25,0)))),"不适用")</f>
        <v>办公用房</v>
      </c>
      <c r="G255" s="17" t="str">
        <f>IF(TRUE,IF(COUNTIFS(市场案例库!$A$6:$A$35,C255)&lt;&gt;1,"",IF(INDEX(市场案例库!$O$6:$O$35,MATCH(C255,市场案例库!$A$6:$A$35,0))="","",INDEX(市场案例库!$O$6:$O$35,MATCH(C255,市场案例库!$A$6:$A$35,0)))),"不适用")</f>
        <v>办公用房</v>
      </c>
      <c r="H255" s="19">
        <f>测算参数!$B$6</f>
        <v>100</v>
      </c>
      <c r="I255" s="10">
        <v>100</v>
      </c>
      <c r="J255" s="20">
        <f t="shared" si="35"/>
        <v>1</v>
      </c>
      <c r="K255" s="16" t="s">
        <v>238</v>
      </c>
      <c r="L255" s="16" t="s">
        <v>215</v>
      </c>
      <c r="M255" s="16" t="str">
        <f t="shared" si="27"/>
        <v>模拟评分记录完整</v>
      </c>
      <c r="N255" s="8" t="s">
        <v>162</v>
      </c>
    </row>
    <row r="256" spans="1:14" ht="46.05" customHeight="1">
      <c r="A256" s="16" t="s">
        <v>78</v>
      </c>
      <c r="B256" s="16">
        <v>1</v>
      </c>
      <c r="C256" s="17" t="str">
        <f>三案例选用!B11</f>
        <v>SC-010</v>
      </c>
      <c r="D256" s="16" t="s">
        <v>226</v>
      </c>
      <c r="E256" s="16" t="str">
        <f t="shared" si="34"/>
        <v>适用</v>
      </c>
      <c r="F256" s="17" t="str">
        <f>IF(TRUE,IF(COUNTIFS(资产清单!$A$6:$A$25,A256)&lt;&gt;1,"",IF(INDEX(资产清单!$I$6:$I$25,MATCH(A256,资产清单!$A$6:$A$25,0))="","",INDEX(资产清单!$I$6:$I$25,MATCH(A256,资产清单!$A$6:$A$25,0)))),"不适用")</f>
        <v>办公用房</v>
      </c>
      <c r="G256" s="17" t="str">
        <f>IF(TRUE,IF(COUNTIFS(市场案例库!$A$6:$A$35,C256)&lt;&gt;1,"",IF(INDEX(市场案例库!$O$6:$O$35,MATCH(C256,市场案例库!$A$6:$A$35,0))="","",INDEX(市场案例库!$O$6:$O$35,MATCH(C256,市场案例库!$A$6:$A$35,0)))),"不适用")</f>
        <v>办公用房</v>
      </c>
      <c r="H256" s="19">
        <f>测算参数!$B$6</f>
        <v>100</v>
      </c>
      <c r="I256" s="10">
        <v>100</v>
      </c>
      <c r="J256" s="20">
        <f t="shared" si="35"/>
        <v>1</v>
      </c>
      <c r="K256" s="16" t="s">
        <v>238</v>
      </c>
      <c r="L256" s="16" t="s">
        <v>215</v>
      </c>
      <c r="M256" s="16" t="str">
        <f t="shared" si="27"/>
        <v>模拟评分记录完整</v>
      </c>
      <c r="N256" s="8" t="s">
        <v>162</v>
      </c>
    </row>
    <row r="257" spans="1:14" ht="46.05" customHeight="1">
      <c r="A257" s="16" t="s">
        <v>78</v>
      </c>
      <c r="B257" s="16">
        <v>1</v>
      </c>
      <c r="C257" s="17" t="str">
        <f>三案例选用!B11</f>
        <v>SC-010</v>
      </c>
      <c r="D257" s="16" t="s">
        <v>227</v>
      </c>
      <c r="E257" s="16" t="str">
        <f t="shared" si="34"/>
        <v>适用</v>
      </c>
      <c r="F257" s="17" t="str">
        <f>IF(TRUE,IF(COUNTIFS(资产清单!$A$6:$A$25,A257)&lt;&gt;1,"",IF(INDEX(资产清单!$I$6:$I$25,MATCH(A257,资产清单!$A$6:$A$25,0))="","",INDEX(资产清单!$I$6:$I$25,MATCH(A257,资产清单!$A$6:$A$25,0)))),"不适用")</f>
        <v>办公用房</v>
      </c>
      <c r="G257" s="17" t="str">
        <f>IF(TRUE,IF(COUNTIFS(市场案例库!$A$6:$A$35,C257)&lt;&gt;1,"",IF(INDEX(市场案例库!$O$6:$O$35,MATCH(C257,市场案例库!$A$6:$A$35,0))="","",INDEX(市场案例库!$O$6:$O$35,MATCH(C257,市场案例库!$A$6:$A$35,0)))),"不适用")</f>
        <v>办公用房</v>
      </c>
      <c r="H257" s="19">
        <f>测算参数!$B$6</f>
        <v>100</v>
      </c>
      <c r="I257" s="10">
        <v>100</v>
      </c>
      <c r="J257" s="20">
        <f t="shared" si="35"/>
        <v>1</v>
      </c>
      <c r="K257" s="16" t="s">
        <v>238</v>
      </c>
      <c r="L257" s="16" t="s">
        <v>215</v>
      </c>
      <c r="M257" s="16" t="str">
        <f t="shared" si="27"/>
        <v>模拟评分记录完整</v>
      </c>
      <c r="N257" s="8" t="s">
        <v>162</v>
      </c>
    </row>
    <row r="258" spans="1:14" ht="46.05" customHeight="1">
      <c r="A258" s="16" t="s">
        <v>78</v>
      </c>
      <c r="B258" s="16">
        <v>1</v>
      </c>
      <c r="C258" s="17" t="str">
        <f>三案例选用!B11</f>
        <v>SC-010</v>
      </c>
      <c r="D258" s="16" t="s">
        <v>228</v>
      </c>
      <c r="E258" s="17" t="str">
        <f>IF(AND(IF(COUNTIFS(资产清单!$A$6:$A$25,A258)&lt;&gt;1,"",IF(INDEX(资产清单!$H$6:$H$25,MATCH(A258,资产清单!$A$6:$A$25,0))="","",INDEX(资产清单!$H$6:$H$25,MATCH(A258,资产清单!$A$6:$A$25,0))))&lt;&gt;"场地",IF(COUNTIFS(资产清单!$A$6:$A$25,A258)&lt;&gt;1,"",IF(INDEX(资产清单!$H$6:$H$25,MATCH(A258,资产清单!$A$6:$A$25,0))="","",INDEX(资产清单!$H$6:$H$25,MATCH(A258,资产清单!$A$6:$A$25,0))))&lt;&gt;"车位",IF(COUNTIFS(资产清单!$A$6:$A$25,A258)&lt;&gt;1,"",IF(INDEX(资产清单!$H$6:$H$25,MATCH(A258,资产清单!$A$6:$A$25,0))="","",INDEX(资产清单!$H$6:$H$25,MATCH(A258,资产清单!$A$6:$A$25,0))))&lt;&gt;"通信基站"),"适用","不适用采用100/100")</f>
        <v>适用</v>
      </c>
      <c r="F258" s="17" t="str">
        <f>IF(AND(IF(COUNTIFS(资产清单!$A$6:$A$25,A258)&lt;&gt;1,"",IF(INDEX(资产清单!$H$6:$H$25,MATCH(A258,资产清单!$A$6:$A$25,0))="","",INDEX(资产清单!$H$6:$H$25,MATCH(A258,资产清单!$A$6:$A$25,0))))&lt;&gt;"场地",IF(COUNTIFS(资产清单!$A$6:$A$25,A258)&lt;&gt;1,"",IF(INDEX(资产清单!$H$6:$H$25,MATCH(A258,资产清单!$A$6:$A$25,0))="","",INDEX(资产清单!$H$6:$H$25,MATCH(A258,资产清单!$A$6:$A$25,0))))&lt;&gt;"车位",IF(COUNTIFS(资产清单!$A$6:$A$25,A258)&lt;&gt;1,"",IF(INDEX(资产清单!$H$6:$H$25,MATCH(A258,资产清单!$A$6:$A$25,0))="","",INDEX(资产清单!$H$6:$H$25,MATCH(A258,资产清单!$A$6:$A$25,0))))&lt;&gt;"通信基站"),IF(COUNTIFS(资产清单!$A$6:$A$25,A258)&lt;&gt;1,"",IF(INDEX(资产清单!$I$6:$I$25,MATCH(A258,资产清单!$A$6:$A$25,0))="","",INDEX(资产清单!$I$6:$I$25,MATCH(A258,资产清单!$A$6:$A$25,0)))),"不适用")</f>
        <v>办公用房</v>
      </c>
      <c r="G258" s="17" t="str">
        <f>IF(AND(IF(COUNTIFS(资产清单!$A$6:$A$25,A258)&lt;&gt;1,"",IF(INDEX(资产清单!$H$6:$H$25,MATCH(A258,资产清单!$A$6:$A$25,0))="","",INDEX(资产清单!$H$6:$H$25,MATCH(A258,资产清单!$A$6:$A$25,0))))&lt;&gt;"场地",IF(COUNTIFS(资产清单!$A$6:$A$25,A258)&lt;&gt;1,"",IF(INDEX(资产清单!$H$6:$H$25,MATCH(A258,资产清单!$A$6:$A$25,0))="","",INDEX(资产清单!$H$6:$H$25,MATCH(A258,资产清单!$A$6:$A$25,0))))&lt;&gt;"车位",IF(COUNTIFS(资产清单!$A$6:$A$25,A258)&lt;&gt;1,"",IF(INDEX(资产清单!$H$6:$H$25,MATCH(A258,资产清单!$A$6:$A$25,0))="","",INDEX(资产清单!$H$6:$H$25,MATCH(A258,资产清单!$A$6:$A$25,0))))&lt;&gt;"通信基站"),IF(COUNTIFS(市场案例库!$A$6:$A$35,C258)&lt;&gt;1,"",IF(INDEX(市场案例库!$O$6:$O$35,MATCH(C258,市场案例库!$A$6:$A$35,0))="","",INDEX(市场案例库!$O$6:$O$35,MATCH(C258,市场案例库!$A$6:$A$35,0)))),"不适用")</f>
        <v>办公用房</v>
      </c>
      <c r="H258" s="19">
        <f>测算参数!$B$6</f>
        <v>100</v>
      </c>
      <c r="I258" s="10">
        <v>100</v>
      </c>
      <c r="J258" s="21">
        <f>IF(OR(C258&lt;&gt;N258,COUNT(H258:I258)&lt;&gt;2,H258&lt;=0,I258&lt;=0),"",IF(AND(IF(COUNTIFS(资产清单!$A$6:$A$25,A258)&lt;&gt;1,"",IF(INDEX(资产清单!$H$6:$H$25,MATCH(A258,资产清单!$A$6:$A$25,0))="","",INDEX(资产清单!$H$6:$H$25,MATCH(A258,资产清单!$A$6:$A$25,0))))&lt;&gt;"场地",IF(COUNTIFS(资产清单!$A$6:$A$25,A258)&lt;&gt;1,"",IF(INDEX(资产清单!$H$6:$H$25,MATCH(A258,资产清单!$A$6:$A$25,0))="","",INDEX(资产清单!$H$6:$H$25,MATCH(A258,资产清单!$A$6:$A$25,0))))&lt;&gt;"车位",IF(COUNTIFS(资产清单!$A$6:$A$25,A258)&lt;&gt;1,"",IF(INDEX(资产清单!$H$6:$H$25,MATCH(A258,资产清单!$A$6:$A$25,0))="","",INDEX(资产清单!$H$6:$H$25,MATCH(A258,资产清单!$A$6:$A$25,0))))&lt;&gt;"通信基站"),H258/I258,H258/H258))</f>
        <v>1</v>
      </c>
      <c r="K258" s="16" t="s">
        <v>238</v>
      </c>
      <c r="L258" s="16" t="s">
        <v>215</v>
      </c>
      <c r="M258" s="16" t="str">
        <f t="shared" si="27"/>
        <v>模拟评分记录完整</v>
      </c>
      <c r="N258" s="8" t="s">
        <v>162</v>
      </c>
    </row>
    <row r="259" spans="1:14" ht="46.05" customHeight="1">
      <c r="A259" s="16" t="s">
        <v>78</v>
      </c>
      <c r="B259" s="16">
        <v>1</v>
      </c>
      <c r="C259" s="17" t="str">
        <f>三案例选用!B11</f>
        <v>SC-010</v>
      </c>
      <c r="D259" s="16" t="s">
        <v>229</v>
      </c>
      <c r="E259" s="17" t="str">
        <f>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"适用","不适用采用100/100")</f>
        <v>适用</v>
      </c>
      <c r="F259" s="17">
        <f>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IF(COUNTIFS(资产清单!$A$6:$A$25,A259)&lt;&gt;1,"",IF(COUNT(INDEX(资产清单!$N$6:$N$25,MATCH(A259,资产清单!$A$6:$A$25,0)))&lt;&gt;1,"",INDEX(资产清单!$N$6:$N$25,MATCH(A259,资产清单!$A$6:$A$25,0)))),"不适用")</f>
        <v>2</v>
      </c>
      <c r="G259" s="17">
        <f>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IF(COUNTIFS(市场案例库!$A$6:$A$35,C259)&lt;&gt;1,"",IF(COUNT(INDEX(市场案例库!$I$6:$I$35,MATCH(C259,市场案例库!$A$6:$A$35,0)))&lt;&gt;1,"",INDEX(市场案例库!$I$6:$I$35,MATCH(C259,市场案例库!$A$6:$A$35,0)))),"不适用")</f>
        <v>2</v>
      </c>
      <c r="H259" s="19">
        <f>测算参数!$B$6</f>
        <v>100</v>
      </c>
      <c r="I259" s="19">
        <f>IF(OR(COUNTIFS(市场案例库!$A$6:$A$35,C259)&lt;&gt;1,AND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OR(COUNT(IF(COUNTIFS(资产清单!$A$6:$A$25,A259)&lt;&gt;1,"",IF(COUNT(INDEX(资产清单!$N$6:$N$25,MATCH(A259,资产清单!$A$6:$A$25,0)))&lt;&gt;1,"",INDEX(资产清单!$N$6:$N$25,MATCH(A259,资产清单!$A$6:$A$25,0)))),IF(COUNTIFS(市场案例库!$A$6:$A$35,C259)&lt;&gt;1,"",IF(COUNT(INDEX(市场案例库!$I$6:$I$35,MATCH(C259,市场案例库!$A$6:$A$35,0)))&lt;&gt;1,"",INDEX(市场案例库!$I$6:$I$35,MATCH(C259,市场案例库!$A$6:$A$35,0)))))&lt;&gt;2,IF(COUNTIFS(资产清单!$A$6:$A$25,A259)&lt;&gt;1,"",IF(COUNT(INDEX(资产清单!$N$6:$N$25,MATCH(A259,资产清单!$A$6:$A$25,0)))&lt;&gt;1,"",INDEX(资产清单!$N$6:$N$25,MATCH(A259,资产清单!$A$6:$A$25,0))))&lt;1,IF(COUNTIFS(资产清单!$A$6:$A$25,A259)&lt;&gt;1,"",IF(COUNT(INDEX(资产清单!$N$6:$N$25,MATCH(A259,资产清单!$A$6:$A$25,0)))&lt;&gt;1,"",INDEX(资产清单!$N$6:$N$25,MATCH(A259,资产清单!$A$6:$A$25,0))))&gt;4,IF(COUNTIFS(市场案例库!$A$6:$A$35,C259)&lt;&gt;1,"",IF(COUNT(INDEX(市场案例库!$I$6:$I$35,MATCH(C259,市场案例库!$A$6:$A$35,0)))&lt;&gt;1,"",INDEX(市场案例库!$I$6:$I$35,MATCH(C259,市场案例库!$A$6:$A$35,0))))&lt;1,IF(COUNTIFS(市场案例库!$A$6:$A$35,C259)&lt;&gt;1,"",IF(COUNT(INDEX(市场案例库!$I$6:$I$35,MATCH(C259,市场案例库!$A$6:$A$35,0)))&lt;&gt;1,"",INDEX(市场案例库!$I$6:$I$35,MATCH(C259,市场案例库!$A$6:$A$35,0))))&gt;4))),"",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INDEX(测算参数!$B$35:$B$41,MATCH(IF(COUNTIFS(市场案例库!$A$6:$A$35,C259)&lt;&gt;1,"",IF(COUNT(INDEX(市场案例库!$I$6:$I$35,MATCH(C259,市场案例库!$A$6:$A$35,0)))&lt;&gt;1,"",INDEX(市场案例库!$I$6:$I$35,MATCH(C259,市场案例库!$A$6:$A$35,0))))-IF(COUNTIFS(资产清单!$A$6:$A$25,A259)&lt;&gt;1,"",IF(COUNT(INDEX(资产清单!$N$6:$N$25,MATCH(A259,资产清单!$A$6:$A$25,0)))&lt;&gt;1,"",INDEX(资产清单!$N$6:$N$25,MATCH(A259,资产清单!$A$6:$A$25,0)))),测算参数!$A$35:$A$41,0)),测算参数!$B$6))</f>
        <v>100</v>
      </c>
      <c r="J259" s="21">
        <f>IF(OR(C259&lt;&gt;N259,COUNT(H259:I259)&lt;&gt;2,H259&lt;=0,I259&lt;=0),"",IF(AND(IF(COUNTIFS(资产清单!$A$6:$A$25,A259)&lt;&gt;1,"",IF(INDEX(资产清单!$H$6:$H$25,MATCH(A259,资产清单!$A$6:$A$25,0))="","",INDEX(资产清单!$H$6:$H$25,MATCH(A259,资产清单!$A$6:$A$25,0))))&lt;&gt;"场地",IF(COUNTIFS(资产清单!$A$6:$A$25,A259)&lt;&gt;1,"",IF(INDEX(资产清单!$H$6:$H$25,MATCH(A259,资产清单!$A$6:$A$25,0))="","",INDEX(资产清单!$H$6:$H$25,MATCH(A259,资产清单!$A$6:$A$25,0))))&lt;&gt;"车位",IF(COUNTIFS(资产清单!$A$6:$A$25,A259)&lt;&gt;1,"",IF(INDEX(资产清单!$H$6:$H$25,MATCH(A259,资产清单!$A$6:$A$25,0))="","",INDEX(资产清单!$H$6:$H$25,MATCH(A259,资产清单!$A$6:$A$25,0))))&lt;&gt;"通信基站"),H259/I259,H259/H259))</f>
        <v>1</v>
      </c>
      <c r="K259" s="16" t="s">
        <v>238</v>
      </c>
      <c r="L259" s="16" t="s">
        <v>230</v>
      </c>
      <c r="M259" s="16" t="str">
        <f t="shared" si="27"/>
        <v>模拟评分记录完整</v>
      </c>
      <c r="N259" s="8" t="s">
        <v>162</v>
      </c>
    </row>
    <row r="260" spans="1:14" ht="46.05" customHeight="1">
      <c r="A260" s="16" t="s">
        <v>78</v>
      </c>
      <c r="B260" s="16">
        <v>1</v>
      </c>
      <c r="C260" s="17" t="str">
        <f>三案例选用!B11</f>
        <v>SC-010</v>
      </c>
      <c r="D260" s="16" t="s">
        <v>231</v>
      </c>
      <c r="E260" s="17" t="str">
        <f>IF(AND(IF(COUNTIFS(资产清单!$A$6:$A$25,A260)&lt;&gt;1,"",IF(INDEX(资产清单!$H$6:$H$25,MATCH(A260,资产清单!$A$6:$A$25,0))="","",INDEX(资产清单!$H$6:$H$25,MATCH(A260,资产清单!$A$6:$A$25,0))))&lt;&gt;"场地",IF(COUNTIFS(资产清单!$A$6:$A$25,A260)&lt;&gt;1,"",IF(INDEX(资产清单!$H$6:$H$25,MATCH(A260,资产清单!$A$6:$A$25,0))="","",INDEX(资产清单!$H$6:$H$25,MATCH(A260,资产清单!$A$6:$A$25,0))))&lt;&gt;"车位",IF(COUNTIFS(资产清单!$A$6:$A$25,A260)&lt;&gt;1,"",IF(INDEX(资产清单!$H$6:$H$25,MATCH(A260,资产清单!$A$6:$A$25,0))="","",INDEX(资产清单!$H$6:$H$25,MATCH(A260,资产清单!$A$6:$A$25,0))))&lt;&gt;"通信基站"),"适用","不适用采用100/100")</f>
        <v>适用</v>
      </c>
      <c r="F260" s="17" t="str">
        <f>IF(AND(IF(COUNTIFS(资产清单!$A$6:$A$25,A260)&lt;&gt;1,"",IF(INDEX(资产清单!$H$6:$H$25,MATCH(A260,资产清单!$A$6:$A$25,0))="","",INDEX(资产清单!$H$6:$H$25,MATCH(A260,资产清单!$A$6:$A$25,0))))&lt;&gt;"场地",IF(COUNTIFS(资产清单!$A$6:$A$25,A260)&lt;&gt;1,"",IF(INDEX(资产清单!$H$6:$H$25,MATCH(A260,资产清单!$A$6:$A$25,0))="","",INDEX(资产清单!$H$6:$H$25,MATCH(A260,资产清单!$A$6:$A$25,0))))&lt;&gt;"车位",IF(COUNTIFS(资产清单!$A$6:$A$25,A260)&lt;&gt;1,"",IF(INDEX(资产清单!$H$6:$H$25,MATCH(A260,资产清单!$A$6:$A$25,0))="","",INDEX(资产清单!$H$6:$H$25,MATCH(A260,资产清单!$A$6:$A$25,0))))&lt;&gt;"通信基站"),IF(COUNTIFS(资产清单!$A$6:$A$25,A260)&lt;&gt;1,"",IF(INDEX(资产清单!$I$6:$I$25,MATCH(A260,资产清单!$A$6:$A$25,0))="","",INDEX(资产清单!$I$6:$I$25,MATCH(A260,资产清单!$A$6:$A$25,0)))),"不适用")</f>
        <v>办公用房</v>
      </c>
      <c r="G260" s="17" t="str">
        <f>IF(AND(IF(COUNTIFS(资产清单!$A$6:$A$25,A260)&lt;&gt;1,"",IF(INDEX(资产清单!$H$6:$H$25,MATCH(A260,资产清单!$A$6:$A$25,0))="","",INDEX(资产清单!$H$6:$H$25,MATCH(A260,资产清单!$A$6:$A$25,0))))&lt;&gt;"场地",IF(COUNTIFS(资产清单!$A$6:$A$25,A260)&lt;&gt;1,"",IF(INDEX(资产清单!$H$6:$H$25,MATCH(A260,资产清单!$A$6:$A$25,0))="","",INDEX(资产清单!$H$6:$H$25,MATCH(A260,资产清单!$A$6:$A$25,0))))&lt;&gt;"车位",IF(COUNTIFS(资产清单!$A$6:$A$25,A260)&lt;&gt;1,"",IF(INDEX(资产清单!$H$6:$H$25,MATCH(A260,资产清单!$A$6:$A$25,0))="","",INDEX(资产清单!$H$6:$H$25,MATCH(A260,资产清单!$A$6:$A$25,0))))&lt;&gt;"通信基站"),IF(COUNTIFS(市场案例库!$A$6:$A$35,C260)&lt;&gt;1,"",IF(INDEX(市场案例库!$O$6:$O$35,MATCH(C260,市场案例库!$A$6:$A$35,0))="","",INDEX(市场案例库!$O$6:$O$35,MATCH(C260,市场案例库!$A$6:$A$35,0)))),"不适用")</f>
        <v>办公用房</v>
      </c>
      <c r="H260" s="19">
        <f>测算参数!$B$6</f>
        <v>100</v>
      </c>
      <c r="I260" s="10">
        <v>100</v>
      </c>
      <c r="J260" s="21">
        <f>IF(OR(C260&lt;&gt;N260,COUNT(H260:I260)&lt;&gt;2,H260&lt;=0,I260&lt;=0),"",IF(AND(IF(COUNTIFS(资产清单!$A$6:$A$25,A260)&lt;&gt;1,"",IF(INDEX(资产清单!$H$6:$H$25,MATCH(A260,资产清单!$A$6:$A$25,0))="","",INDEX(资产清单!$H$6:$H$25,MATCH(A260,资产清单!$A$6:$A$25,0))))&lt;&gt;"场地",IF(COUNTIFS(资产清单!$A$6:$A$25,A260)&lt;&gt;1,"",IF(INDEX(资产清单!$H$6:$H$25,MATCH(A260,资产清单!$A$6:$A$25,0))="","",INDEX(资产清单!$H$6:$H$25,MATCH(A260,资产清单!$A$6:$A$25,0))))&lt;&gt;"车位",IF(COUNTIFS(资产清单!$A$6:$A$25,A260)&lt;&gt;1,"",IF(INDEX(资产清单!$H$6:$H$25,MATCH(A260,资产清单!$A$6:$A$25,0))="","",INDEX(资产清单!$H$6:$H$25,MATCH(A260,资产清单!$A$6:$A$25,0))))&lt;&gt;"通信基站"),H260/I260,H260/H260))</f>
        <v>1</v>
      </c>
      <c r="K260" s="16" t="s">
        <v>238</v>
      </c>
      <c r="L260" s="16" t="s">
        <v>215</v>
      </c>
      <c r="M260" s="16" t="str">
        <f t="shared" si="27"/>
        <v>模拟评分记录完整</v>
      </c>
      <c r="N260" s="8" t="s">
        <v>162</v>
      </c>
    </row>
    <row r="261" spans="1:14" ht="46.05" customHeight="1">
      <c r="A261" s="16" t="s">
        <v>78</v>
      </c>
      <c r="B261" s="16">
        <v>1</v>
      </c>
      <c r="C261" s="17" t="str">
        <f>三案例选用!B11</f>
        <v>SC-010</v>
      </c>
      <c r="D261" s="16" t="s">
        <v>232</v>
      </c>
      <c r="E261" s="16" t="str">
        <f>IF(TRUE,"适用","不适用采用100/100")</f>
        <v>适用</v>
      </c>
      <c r="F261" s="17" t="str">
        <f>IF(TRUE,IF(COUNTIFS(资产清单!$A$6:$A$25,A261)&lt;&gt;1,"",IF(INDEX(资产清单!$I$6:$I$25,MATCH(A261,资产清单!$A$6:$A$25,0))="","",INDEX(资产清单!$I$6:$I$25,MATCH(A261,资产清单!$A$6:$A$25,0)))),"不适用")</f>
        <v>办公用房</v>
      </c>
      <c r="G261" s="17" t="str">
        <f>IF(TRUE,IF(COUNTIFS(市场案例库!$A$6:$A$35,C261)&lt;&gt;1,"",IF(INDEX(市场案例库!$O$6:$O$35,MATCH(C261,市场案例库!$A$6:$A$35,0))="","",INDEX(市场案例库!$O$6:$O$35,MATCH(C261,市场案例库!$A$6:$A$35,0)))),"不适用")</f>
        <v>办公用房</v>
      </c>
      <c r="H261" s="19">
        <f>测算参数!$B$6</f>
        <v>100</v>
      </c>
      <c r="I261" s="10">
        <v>100</v>
      </c>
      <c r="J261" s="20">
        <f>IF(OR(C261&lt;&gt;N261,COUNT(H261:I261)&lt;&gt;2,H261&lt;=0,I261&lt;=0),"",IF(TRUE,H261/I261,H261/H261))</f>
        <v>1</v>
      </c>
      <c r="K261" s="16" t="s">
        <v>238</v>
      </c>
      <c r="L261" s="16" t="s">
        <v>215</v>
      </c>
      <c r="M261" s="16" t="str">
        <f t="shared" si="27"/>
        <v>模拟评分记录完整</v>
      </c>
      <c r="N261" s="8" t="s">
        <v>162</v>
      </c>
    </row>
    <row r="262" spans="1:14" ht="46.05" customHeight="1">
      <c r="A262" s="16" t="s">
        <v>78</v>
      </c>
      <c r="B262" s="16">
        <v>2</v>
      </c>
      <c r="C262" s="17" t="str">
        <f>三案例选用!C11</f>
        <v>SC-011</v>
      </c>
      <c r="D262" s="16" t="s">
        <v>209</v>
      </c>
      <c r="E262" s="16" t="str">
        <f>IF(TRUE,"适用","不适用采用100/100")</f>
        <v>适用</v>
      </c>
      <c r="F262" s="17" t="str">
        <f>IF(TRUE,IF(COUNTIFS(资产清单!$A$6:$A$25,A262)&lt;&gt;1,"",IF(INDEX(资产清单!$I$6:$I$25,MATCH(A262,资产清单!$A$6:$A$25,0))="","",INDEX(资产清单!$I$6:$I$25,MATCH(A262,资产清单!$A$6:$A$25,0)))),"不适用")</f>
        <v>办公用房</v>
      </c>
      <c r="G262" s="17" t="str">
        <f>IF(TRUE,IF(COUNTIFS(市场案例库!$A$6:$A$35,C262)&lt;&gt;1,"",IF(INDEX(市场案例库!$O$6:$O$35,MATCH(C262,市场案例库!$A$6:$A$35,0))="","",INDEX(市场案例库!$O$6:$O$35,MATCH(C262,市场案例库!$A$6:$A$35,0)))),"不适用")</f>
        <v>办公用房</v>
      </c>
      <c r="H262" s="19">
        <f>测算参数!$B$6</f>
        <v>100</v>
      </c>
      <c r="I262" s="19">
        <f>IF(OR(COUNTIFS(市场案例库!$A$6:$A$35,C262)&lt;&gt;1),"",IF(COUNTIFS(市场案例库!$A$6:$A$35,C262)&lt;&gt;1,"",IF(COUNT(INDEX(市场案例库!$M$6:$M$35,MATCH(C262,市场案例库!$A$6:$A$35,0)))&lt;&gt;1,"",INDEX(市场案例库!$M$6:$M$35,MATCH(C262,市场案例库!$A$6:$A$35,0)))))</f>
        <v>102</v>
      </c>
      <c r="J262" s="20">
        <f>IF(OR(C262&lt;&gt;N262,COUNT(H262:I262)&lt;&gt;2,H262&lt;=0,I262&lt;=0),"",IF(TRUE,H262/I262,H262/H262))</f>
        <v>0.98039215686274506</v>
      </c>
      <c r="K262" s="16" t="s">
        <v>238</v>
      </c>
      <c r="L262" s="16" t="s">
        <v>211</v>
      </c>
      <c r="M262" s="16" t="str">
        <f t="shared" ref="M262:M325" si="36">IF(C262&lt;&gt;N262,"待重判评分",IF(COUNT(J262)&lt;&gt;1,"待补评分",IF(OR(K262="",L262=""),"待补依据","模拟评分记录完整")))</f>
        <v>模拟评分记录完整</v>
      </c>
      <c r="N262" s="8" t="s">
        <v>163</v>
      </c>
    </row>
    <row r="263" spans="1:14" ht="46.05" customHeight="1">
      <c r="A263" s="16" t="s">
        <v>78</v>
      </c>
      <c r="B263" s="16">
        <v>2</v>
      </c>
      <c r="C263" s="17" t="str">
        <f>三案例选用!C11</f>
        <v>SC-011</v>
      </c>
      <c r="D263" s="16" t="s">
        <v>212</v>
      </c>
      <c r="E263" s="16" t="str">
        <f>IF(TRUE,"适用","不适用采用100/100")</f>
        <v>适用</v>
      </c>
      <c r="F263" s="17" t="str">
        <f>IF(TRUE,IF(COUNTIFS(资产清单!$A$6:$A$25,A263)&lt;&gt;1,"",IF(INDEX(资产清单!$I$6:$I$25,MATCH(A263,资产清单!$A$6:$A$25,0))="","",INDEX(资产清单!$I$6:$I$25,MATCH(A263,资产清单!$A$6:$A$25,0)))),"不适用")</f>
        <v>办公用房</v>
      </c>
      <c r="G263" s="17" t="str">
        <f>IF(TRUE,IF(COUNTIFS(市场案例库!$A$6:$A$35,C263)&lt;&gt;1,"",IF(INDEX(市场案例库!$O$6:$O$35,MATCH(C263,市场案例库!$A$6:$A$35,0))="","",INDEX(市场案例库!$O$6:$O$35,MATCH(C263,市场案例库!$A$6:$A$35,0)))),"不适用")</f>
        <v>办公用房</v>
      </c>
      <c r="H263" s="19">
        <f>测算参数!$B$6</f>
        <v>100</v>
      </c>
      <c r="I263" s="19">
        <f>IF(OR(COUNTIFS(市场案例库!$A$6:$A$35,C263)&lt;&gt;1),"",IF(COUNTIFS(市场案例库!$A$6:$A$35,C263)&lt;&gt;1,"",IF(COUNT(INDEX(市场案例库!$N$6:$N$35,MATCH(C263,市场案例库!$A$6:$A$35,0)))&lt;&gt;1,"",INDEX(市场案例库!$N$6:$N$35,MATCH(C263,市场案例库!$A$6:$A$35,0)))))</f>
        <v>100</v>
      </c>
      <c r="J263" s="20">
        <f>IF(OR(C263&lt;&gt;N263,COUNT(H263:I263)&lt;&gt;2,H263&lt;=0,I263&lt;=0),"",IF(TRUE,H263/I263,H263/H263))</f>
        <v>1</v>
      </c>
      <c r="K263" s="16" t="s">
        <v>238</v>
      </c>
      <c r="L263" s="16" t="s">
        <v>213</v>
      </c>
      <c r="M263" s="16" t="str">
        <f t="shared" si="36"/>
        <v>模拟评分记录完整</v>
      </c>
      <c r="N263" s="8" t="s">
        <v>163</v>
      </c>
    </row>
    <row r="264" spans="1:14" ht="46.05" customHeight="1">
      <c r="A264" s="16" t="s">
        <v>78</v>
      </c>
      <c r="B264" s="16">
        <v>2</v>
      </c>
      <c r="C264" s="17" t="str">
        <f>三案例选用!C11</f>
        <v>SC-011</v>
      </c>
      <c r="D264" s="16" t="s">
        <v>214</v>
      </c>
      <c r="E264" s="16" t="str">
        <f>IF(TRUE,"适用","不适用采用100/100")</f>
        <v>适用</v>
      </c>
      <c r="F264" s="17" t="str">
        <f>IF(TRUE,IF(COUNTIFS(资产清单!$A$6:$A$25,A264)&lt;&gt;1,"",IF(INDEX(资产清单!$I$6:$I$25,MATCH(A264,资产清单!$A$6:$A$25,0))="","",INDEX(资产清单!$I$6:$I$25,MATCH(A264,资产清单!$A$6:$A$25,0)))),"不适用")</f>
        <v>办公用房</v>
      </c>
      <c r="G264" s="17" t="str">
        <f>IF(TRUE,IF(COUNTIFS(市场案例库!$A$6:$A$35,C264)&lt;&gt;1,"",IF(INDEX(市场案例库!$O$6:$O$35,MATCH(C264,市场案例库!$A$6:$A$35,0))="","",INDEX(市场案例库!$O$6:$O$35,MATCH(C264,市场案例库!$A$6:$A$35,0)))),"不适用")</f>
        <v>办公用房</v>
      </c>
      <c r="H264" s="19">
        <f>测算参数!$B$6</f>
        <v>100</v>
      </c>
      <c r="I264" s="10">
        <v>100</v>
      </c>
      <c r="J264" s="20">
        <f>IF(OR(C264&lt;&gt;N264,COUNT(H264:I264)&lt;&gt;2,H264&lt;=0,I264&lt;=0),"",IF(TRUE,H264/I264,H264/H264))</f>
        <v>1</v>
      </c>
      <c r="K264" s="16" t="s">
        <v>238</v>
      </c>
      <c r="L264" s="16" t="s">
        <v>215</v>
      </c>
      <c r="M264" s="16" t="str">
        <f t="shared" si="36"/>
        <v>模拟评分记录完整</v>
      </c>
      <c r="N264" s="8" t="s">
        <v>163</v>
      </c>
    </row>
    <row r="265" spans="1:14" ht="46.05" customHeight="1">
      <c r="A265" s="16" t="s">
        <v>78</v>
      </c>
      <c r="B265" s="16">
        <v>2</v>
      </c>
      <c r="C265" s="17" t="str">
        <f>三案例选用!C11</f>
        <v>SC-011</v>
      </c>
      <c r="D265" s="16" t="s">
        <v>216</v>
      </c>
      <c r="E265" s="16" t="str">
        <f>IF(TRUE,"适用","不适用采用100/100")</f>
        <v>适用</v>
      </c>
      <c r="F265" s="17" t="str">
        <f>IF(TRUE,IF(COUNTIFS(资产清单!$A$6:$A$25,A265)&lt;&gt;1,"",IF(INDEX(资产清单!$I$6:$I$25,MATCH(A265,资产清单!$A$6:$A$25,0))="","",INDEX(资产清单!$I$6:$I$25,MATCH(A265,资产清单!$A$6:$A$25,0)))),"不适用")</f>
        <v>办公用房</v>
      </c>
      <c r="G265" s="17" t="str">
        <f>IF(TRUE,IF(COUNTIFS(市场案例库!$A$6:$A$35,C265)&lt;&gt;1,"",IF(INDEX(市场案例库!$O$6:$O$35,MATCH(C265,市场案例库!$A$6:$A$35,0))="","",INDEX(市场案例库!$O$6:$O$35,MATCH(C265,市场案例库!$A$6:$A$35,0)))),"不适用")</f>
        <v>办公用房</v>
      </c>
      <c r="H265" s="19">
        <f>测算参数!$B$6</f>
        <v>100</v>
      </c>
      <c r="I265" s="10">
        <v>100</v>
      </c>
      <c r="J265" s="20">
        <f>IF(OR(C265&lt;&gt;N265,COUNT(H265:I265)&lt;&gt;2,H265&lt;=0,I265&lt;=0),"",IF(TRUE,H265/I265,H265/H265))</f>
        <v>1</v>
      </c>
      <c r="K265" s="16" t="s">
        <v>238</v>
      </c>
      <c r="L265" s="16" t="s">
        <v>215</v>
      </c>
      <c r="M265" s="16" t="str">
        <f t="shared" si="36"/>
        <v>模拟评分记录完整</v>
      </c>
      <c r="N265" s="8" t="s">
        <v>163</v>
      </c>
    </row>
    <row r="266" spans="1:14" ht="46.05" customHeight="1">
      <c r="A266" s="16" t="s">
        <v>78</v>
      </c>
      <c r="B266" s="16">
        <v>2</v>
      </c>
      <c r="C266" s="17" t="str">
        <f>三案例选用!C11</f>
        <v>SC-011</v>
      </c>
      <c r="D266" s="16" t="s">
        <v>217</v>
      </c>
      <c r="E266" s="17" t="str">
        <f>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"适用","不适用采用100/100")</f>
        <v>适用</v>
      </c>
      <c r="F266" s="17">
        <f>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IF(COUNTIFS(资产清单!$A$6:$A$25,A266)&lt;&gt;1,"",IF(COUNT(INDEX(资产清单!$M$6:$M$25,MATCH(A266,资产清单!$A$6:$A$25,0)))&lt;&gt;1,"",INDEX(资产清单!$M$6:$M$25,MATCH(A266,资产清单!$A$6:$A$25,0)))),"不适用")</f>
        <v>3</v>
      </c>
      <c r="G266" s="17">
        <f>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IF(COUNTIFS(市场案例库!$A$6:$A$35,C266)&lt;&gt;1,"",IF(COUNT(INDEX(市场案例库!$H$6:$H$35,MATCH(C266,市场案例库!$A$6:$A$35,0)))&lt;&gt;1,"",INDEX(市场案例库!$H$6:$H$35,MATCH(C266,市场案例库!$A$6:$A$35,0)))),"不适用")</f>
        <v>3</v>
      </c>
      <c r="H266" s="19">
        <f>测算参数!$B$6</f>
        <v>100</v>
      </c>
      <c r="I266" s="19">
        <f>IF(OR(COUNTIFS(市场案例库!$A$6:$A$35,C266)&lt;&gt;1,AND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COUNT(IF(COUNTIFS(资产清单!$A$6:$A$25,A266)&lt;&gt;1,"",IF(COUNT(INDEX(资产清单!$M$6:$M$25,MATCH(A266,资产清单!$A$6:$A$25,0)))&lt;&gt;1,"",INDEX(资产清单!$M$6:$M$25,MATCH(A266,资产清单!$A$6:$A$25,0)))),IF(COUNTIFS(市场案例库!$A$6:$A$35,C266)&lt;&gt;1,"",IF(COUNT(INDEX(市场案例库!$H$6:$H$35,MATCH(C266,市场案例库!$A$6:$A$35,0)))&lt;&gt;1,"",INDEX(市场案例库!$H$6:$H$35,MATCH(C266,市场案例库!$A$6:$A$35,0)))))&lt;&gt;2)),"",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INDEX(测算参数!$B$25:$B$31,MATCH(MAX(-测算参数!$B$11,MIN(测算参数!$B$11,IF(COUNTIFS(资产清单!$A$6:$A$25,A266)&lt;&gt;1,"",IF(COUNT(INDEX(资产清单!$M$6:$M$25,MATCH(A266,资产清单!$A$6:$A$25,0)))&lt;&gt;1,"",INDEX(资产清单!$M$6:$M$25,MATCH(A266,资产清单!$A$6:$A$25,0))))-IF(COUNTIFS(市场案例库!$A$6:$A$35,C266)&lt;&gt;1,"",IF(COUNT(INDEX(市场案例库!$H$6:$H$35,MATCH(C266,市场案例库!$A$6:$A$35,0)))&lt;&gt;1,"",INDEX(市场案例库!$H$6:$H$35,MATCH(C266,市场案例库!$A$6:$A$35,0)))))),测算参数!$A$25:$A$31,0)),测算参数!$B$6))</f>
        <v>100</v>
      </c>
      <c r="J266" s="21">
        <f>IF(OR(C266&lt;&gt;N266,COUNT(H266:I266)&lt;&gt;2,H266&lt;=0,I266&lt;=0),"",IF(OR(IF(COUNTIFS(资产清单!$A$6:$A$25,A266)&lt;&gt;1,"",IF(INDEX(资产清单!$H$6:$H$25,MATCH(A266,资产清单!$A$6:$A$25,0))="","",INDEX(资产清单!$H$6:$H$25,MATCH(A266,资产清单!$A$6:$A$25,0))))="商业",IF(COUNTIFS(资产清单!$A$6:$A$25,A266)&lt;&gt;1,"",IF(INDEX(资产清单!$H$6:$H$25,MATCH(A266,资产清单!$A$6:$A$25,0))="","",INDEX(资产清单!$H$6:$H$25,MATCH(A266,资产清单!$A$6:$A$25,0))))="办公",IF(COUNTIFS(资产清单!$A$6:$A$25,A266)&lt;&gt;1,"",IF(INDEX(资产清单!$H$6:$H$25,MATCH(A266,资产清单!$A$6:$A$25,0))="","",INDEX(资产清单!$H$6:$H$25,MATCH(A266,资产清单!$A$6:$A$25,0))))="住宅"),H266/I266,H266/H266))</f>
        <v>1</v>
      </c>
      <c r="K266" s="16" t="s">
        <v>238</v>
      </c>
      <c r="L266" s="16" t="s">
        <v>218</v>
      </c>
      <c r="M266" s="16" t="str">
        <f t="shared" si="36"/>
        <v>模拟评分记录完整</v>
      </c>
      <c r="N266" s="8" t="s">
        <v>163</v>
      </c>
    </row>
    <row r="267" spans="1:14" ht="46.05" customHeight="1">
      <c r="A267" s="16" t="s">
        <v>78</v>
      </c>
      <c r="B267" s="16">
        <v>2</v>
      </c>
      <c r="C267" s="17" t="str">
        <f>三案例选用!C11</f>
        <v>SC-011</v>
      </c>
      <c r="D267" s="16" t="s">
        <v>219</v>
      </c>
      <c r="E267" s="17" t="str">
        <f>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"适用","不适用采用100/100")</f>
        <v>适用</v>
      </c>
      <c r="F267" s="17">
        <f>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IF(COUNTIFS(资产清单!$A$6:$A$25,A267)&lt;&gt;1,"",IF(COUNT(INDEX(资产清单!$L$6:$L$25,MATCH(A267,资产清单!$A$6:$A$25,0)))&lt;&gt;1,"",INDEX(资产清单!$L$6:$L$25,MATCH(A267,资产清单!$A$6:$A$25,0)))),"不适用")</f>
        <v>180</v>
      </c>
      <c r="G267" s="17">
        <f>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IF(COUNTIFS(市场案例库!$A$6:$A$35,C267)&lt;&gt;1,"",IF(COUNT(INDEX(市场案例库!$G$6:$G$35,MATCH(C267,市场案例库!$A$6:$A$35,0)))&lt;&gt;1,"",INDEX(市场案例库!$G$6:$G$35,MATCH(C267,市场案例库!$A$6:$A$35,0)))),"不适用")</f>
        <v>180</v>
      </c>
      <c r="H267" s="19">
        <f>测算参数!$B$6</f>
        <v>100</v>
      </c>
      <c r="I267" s="19">
        <f>IF(OR(COUNTIFS(市场案例库!$A$6:$A$35,C267)&lt;&gt;1,AND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OR(COUNT(IF(COUNTIFS(资产清单!$A$6:$A$25,A267)&lt;&gt;1,"",IF(COUNT(INDEX(资产清单!$L$6:$L$25,MATCH(A267,资产清单!$A$6:$A$25,0)))&lt;&gt;1,"",INDEX(资产清单!$L$6:$L$25,MATCH(A267,资产清单!$A$6:$A$25,0)))),IF(COUNTIFS(市场案例库!$A$6:$A$35,C267)&lt;&gt;1,"",IF(COUNT(INDEX(市场案例库!$G$6:$G$35,MATCH(C267,市场案例库!$A$6:$A$35,0)))&lt;&gt;1,"",INDEX(市场案例库!$G$6:$G$35,MATCH(C267,市场案例库!$A$6:$A$35,0)))))&lt;&gt;2,IF(COUNTIFS(资产清单!$A$6:$A$25,A267)&lt;&gt;1,"",IF(COUNT(INDEX(资产清单!$L$6:$L$25,MATCH(A267,资产清单!$A$6:$A$25,0)))&lt;&gt;1,"",INDEX(资产清单!$L$6:$L$25,MATCH(A267,资产清单!$A$6:$A$25,0))))&lt;=0,IF(COUNTIFS(市场案例库!$A$6:$A$35,C267)&lt;&gt;1,"",IF(COUNT(INDEX(市场案例库!$G$6:$G$35,MATCH(C267,市场案例库!$A$6:$A$35,0)))&lt;&gt;1,"",INDEX(市场案例库!$G$6:$G$35,MATCH(C267,市场案例库!$A$6:$A$35,0))))&lt;=0))),"",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LOOKUP(IF(COUNTIFS(市场案例库!$A$6:$A$35,C267)&lt;&gt;1,"",IF(COUNT(INDEX(市场案例库!$G$6:$G$35,MATCH(C267,市场案例库!$A$6:$A$35,0)))&lt;&gt;1,"",INDEX(市场案例库!$G$6:$G$35,MATCH(C267,市场案例库!$A$6:$A$35,0))))/IF(COUNTIFS(资产清单!$A$6:$A$25,A267)&lt;&gt;1,"",IF(COUNT(INDEX(资产清单!$L$6:$L$25,MATCH(A267,资产清单!$A$6:$A$25,0)))&lt;&gt;1,"",INDEX(资产清单!$L$6:$L$25,MATCH(A267,资产清单!$A$6:$A$25,0)))),测算参数!$A$15:$A$21,测算参数!$C$15:$C$21),测算参数!$B$6))</f>
        <v>100</v>
      </c>
      <c r="J267" s="21">
        <f>IF(OR(C267&lt;&gt;N267,COUNT(H267:I267)&lt;&gt;2,H267&lt;=0,I267&lt;=0),"",IF(AND(IF(COUNTIFS(资产清单!$A$6:$A$25,A267)&lt;&gt;1,"",IF(INDEX(资产清单!$J$6:$J$25,MATCH(A267,资产清单!$A$6:$A$25,0))="","",INDEX(资产清单!$J$6:$J$25,MATCH(A267,资产清单!$A$6:$A$25,0))))="元/㎡/月",IF(COUNTIFS(资产清单!$A$6:$A$25,A267)&lt;&gt;1,"",IF(INDEX(资产清单!$H$6:$H$25,MATCH(A267,资产清单!$A$6:$A$25,0))="","",INDEX(资产清单!$H$6:$H$25,MATCH(A267,资产清单!$A$6:$A$25,0))))&lt;&gt;"场地"),H267/I267,H267/H267))</f>
        <v>1</v>
      </c>
      <c r="K267" s="16" t="s">
        <v>238</v>
      </c>
      <c r="L267" s="16" t="s">
        <v>220</v>
      </c>
      <c r="M267" s="16" t="str">
        <f t="shared" si="36"/>
        <v>模拟评分记录完整</v>
      </c>
      <c r="N267" s="8" t="s">
        <v>163</v>
      </c>
    </row>
    <row r="268" spans="1:14" ht="46.05" customHeight="1">
      <c r="A268" s="16" t="s">
        <v>78</v>
      </c>
      <c r="B268" s="16">
        <v>2</v>
      </c>
      <c r="C268" s="17" t="str">
        <f>三案例选用!C11</f>
        <v>SC-011</v>
      </c>
      <c r="D268" s="16" t="s">
        <v>221</v>
      </c>
      <c r="E268" s="16" t="str">
        <f t="shared" ref="E268:E273" si="37">IF(TRUE,"适用","不适用采用100/100")</f>
        <v>适用</v>
      </c>
      <c r="F268" s="17" t="str">
        <f>IF(TRUE,IF(COUNTIFS(资产清单!$A$6:$A$25,A268)&lt;&gt;1,"",IF(INDEX(资产清单!$I$6:$I$25,MATCH(A268,资产清单!$A$6:$A$25,0))="","",INDEX(资产清单!$I$6:$I$25,MATCH(A268,资产清单!$A$6:$A$25,0)))),"不适用")</f>
        <v>办公用房</v>
      </c>
      <c r="G268" s="17" t="str">
        <f>IF(TRUE,IF(COUNTIFS(市场案例库!$A$6:$A$35,C268)&lt;&gt;1,"",IF(INDEX(市场案例库!$O$6:$O$35,MATCH(C268,市场案例库!$A$6:$A$35,0))="","",INDEX(市场案例库!$O$6:$O$35,MATCH(C268,市场案例库!$A$6:$A$35,0)))),"不适用")</f>
        <v>办公用房</v>
      </c>
      <c r="H268" s="19">
        <f>测算参数!$B$6</f>
        <v>100</v>
      </c>
      <c r="I268" s="10">
        <v>100</v>
      </c>
      <c r="J268" s="20">
        <f t="shared" ref="J268:J273" si="38">IF(OR(C268&lt;&gt;N268,COUNT(H268:I268)&lt;&gt;2,H268&lt;=0,I268&lt;=0),"",IF(TRUE,H268/I268,H268/H268))</f>
        <v>1</v>
      </c>
      <c r="K268" s="16" t="s">
        <v>238</v>
      </c>
      <c r="L268" s="16" t="s">
        <v>215</v>
      </c>
      <c r="M268" s="16" t="str">
        <f t="shared" si="36"/>
        <v>模拟评分记录完整</v>
      </c>
      <c r="N268" s="8" t="s">
        <v>163</v>
      </c>
    </row>
    <row r="269" spans="1:14" ht="46.05" customHeight="1">
      <c r="A269" s="16" t="s">
        <v>78</v>
      </c>
      <c r="B269" s="16">
        <v>2</v>
      </c>
      <c r="C269" s="17" t="str">
        <f>三案例选用!C11</f>
        <v>SC-011</v>
      </c>
      <c r="D269" s="16" t="s">
        <v>222</v>
      </c>
      <c r="E269" s="16" t="str">
        <f t="shared" si="37"/>
        <v>适用</v>
      </c>
      <c r="F269" s="17" t="str">
        <f>IF(TRUE,IF(COUNTIFS(资产清单!$A$6:$A$25,A269)&lt;&gt;1,"",IF(INDEX(资产清单!$I$6:$I$25,MATCH(A269,资产清单!$A$6:$A$25,0))="","",INDEX(资产清单!$I$6:$I$25,MATCH(A269,资产清单!$A$6:$A$25,0)))),"不适用")</f>
        <v>办公用房</v>
      </c>
      <c r="G269" s="17" t="str">
        <f>IF(TRUE,IF(COUNTIFS(市场案例库!$A$6:$A$35,C269)&lt;&gt;1,"",IF(INDEX(市场案例库!$O$6:$O$35,MATCH(C269,市场案例库!$A$6:$A$35,0))="","",INDEX(市场案例库!$O$6:$O$35,MATCH(C269,市场案例库!$A$6:$A$35,0)))),"不适用")</f>
        <v>办公用房</v>
      </c>
      <c r="H269" s="19">
        <f>测算参数!$B$6</f>
        <v>100</v>
      </c>
      <c r="I269" s="10">
        <v>100</v>
      </c>
      <c r="J269" s="20">
        <f t="shared" si="38"/>
        <v>1</v>
      </c>
      <c r="K269" s="16" t="s">
        <v>238</v>
      </c>
      <c r="L269" s="16" t="s">
        <v>215</v>
      </c>
      <c r="M269" s="16" t="str">
        <f t="shared" si="36"/>
        <v>模拟评分记录完整</v>
      </c>
      <c r="N269" s="8" t="s">
        <v>163</v>
      </c>
    </row>
    <row r="270" spans="1:14" ht="46.05" customHeight="1">
      <c r="A270" s="16" t="s">
        <v>78</v>
      </c>
      <c r="B270" s="16">
        <v>2</v>
      </c>
      <c r="C270" s="17" t="str">
        <f>三案例选用!C11</f>
        <v>SC-011</v>
      </c>
      <c r="D270" s="16" t="s">
        <v>224</v>
      </c>
      <c r="E270" s="16" t="str">
        <f t="shared" si="37"/>
        <v>适用</v>
      </c>
      <c r="F270" s="17" t="str">
        <f>IF(TRUE,IF(COUNTIFS(资产清单!$A$6:$A$25,A270)&lt;&gt;1,"",IF(INDEX(资产清单!$I$6:$I$25,MATCH(A270,资产清单!$A$6:$A$25,0))="","",INDEX(资产清单!$I$6:$I$25,MATCH(A270,资产清单!$A$6:$A$25,0)))),"不适用")</f>
        <v>办公用房</v>
      </c>
      <c r="G270" s="17" t="str">
        <f>IF(TRUE,IF(COUNTIFS(市场案例库!$A$6:$A$35,C270)&lt;&gt;1,"",IF(INDEX(市场案例库!$O$6:$O$35,MATCH(C270,市场案例库!$A$6:$A$35,0))="","",INDEX(市场案例库!$O$6:$O$35,MATCH(C270,市场案例库!$A$6:$A$35,0)))),"不适用")</f>
        <v>办公用房</v>
      </c>
      <c r="H270" s="19">
        <f>测算参数!$B$6</f>
        <v>100</v>
      </c>
      <c r="I270" s="10">
        <v>100</v>
      </c>
      <c r="J270" s="20">
        <f t="shared" si="38"/>
        <v>1</v>
      </c>
      <c r="K270" s="16" t="s">
        <v>238</v>
      </c>
      <c r="L270" s="16" t="s">
        <v>215</v>
      </c>
      <c r="M270" s="16" t="str">
        <f t="shared" si="36"/>
        <v>模拟评分记录完整</v>
      </c>
      <c r="N270" s="8" t="s">
        <v>163</v>
      </c>
    </row>
    <row r="271" spans="1:14" ht="46.05" customHeight="1">
      <c r="A271" s="16" t="s">
        <v>78</v>
      </c>
      <c r="B271" s="16">
        <v>2</v>
      </c>
      <c r="C271" s="17" t="str">
        <f>三案例选用!C11</f>
        <v>SC-011</v>
      </c>
      <c r="D271" s="16" t="s">
        <v>225</v>
      </c>
      <c r="E271" s="16" t="str">
        <f t="shared" si="37"/>
        <v>适用</v>
      </c>
      <c r="F271" s="17" t="str">
        <f>IF(TRUE,IF(COUNTIFS(资产清单!$A$6:$A$25,A271)&lt;&gt;1,"",IF(INDEX(资产清单!$I$6:$I$25,MATCH(A271,资产清单!$A$6:$A$25,0))="","",INDEX(资产清单!$I$6:$I$25,MATCH(A271,资产清单!$A$6:$A$25,0)))),"不适用")</f>
        <v>办公用房</v>
      </c>
      <c r="G271" s="17" t="str">
        <f>IF(TRUE,IF(COUNTIFS(市场案例库!$A$6:$A$35,C271)&lt;&gt;1,"",IF(INDEX(市场案例库!$O$6:$O$35,MATCH(C271,市场案例库!$A$6:$A$35,0))="","",INDEX(市场案例库!$O$6:$O$35,MATCH(C271,市场案例库!$A$6:$A$35,0)))),"不适用")</f>
        <v>办公用房</v>
      </c>
      <c r="H271" s="19">
        <f>测算参数!$B$6</f>
        <v>100</v>
      </c>
      <c r="I271" s="10">
        <v>100</v>
      </c>
      <c r="J271" s="20">
        <f t="shared" si="38"/>
        <v>1</v>
      </c>
      <c r="K271" s="16" t="s">
        <v>238</v>
      </c>
      <c r="L271" s="16" t="s">
        <v>215</v>
      </c>
      <c r="M271" s="16" t="str">
        <f t="shared" si="36"/>
        <v>模拟评分记录完整</v>
      </c>
      <c r="N271" s="8" t="s">
        <v>163</v>
      </c>
    </row>
    <row r="272" spans="1:14" ht="46.05" customHeight="1">
      <c r="A272" s="16" t="s">
        <v>78</v>
      </c>
      <c r="B272" s="16">
        <v>2</v>
      </c>
      <c r="C272" s="17" t="str">
        <f>三案例选用!C11</f>
        <v>SC-011</v>
      </c>
      <c r="D272" s="16" t="s">
        <v>226</v>
      </c>
      <c r="E272" s="16" t="str">
        <f t="shared" si="37"/>
        <v>适用</v>
      </c>
      <c r="F272" s="17" t="str">
        <f>IF(TRUE,IF(COUNTIFS(资产清单!$A$6:$A$25,A272)&lt;&gt;1,"",IF(INDEX(资产清单!$I$6:$I$25,MATCH(A272,资产清单!$A$6:$A$25,0))="","",INDEX(资产清单!$I$6:$I$25,MATCH(A272,资产清单!$A$6:$A$25,0)))),"不适用")</f>
        <v>办公用房</v>
      </c>
      <c r="G272" s="17" t="str">
        <f>IF(TRUE,IF(COUNTIFS(市场案例库!$A$6:$A$35,C272)&lt;&gt;1,"",IF(INDEX(市场案例库!$O$6:$O$35,MATCH(C272,市场案例库!$A$6:$A$35,0))="","",INDEX(市场案例库!$O$6:$O$35,MATCH(C272,市场案例库!$A$6:$A$35,0)))),"不适用")</f>
        <v>办公用房</v>
      </c>
      <c r="H272" s="19">
        <f>测算参数!$B$6</f>
        <v>100</v>
      </c>
      <c r="I272" s="10">
        <v>100</v>
      </c>
      <c r="J272" s="20">
        <f t="shared" si="38"/>
        <v>1</v>
      </c>
      <c r="K272" s="16" t="s">
        <v>238</v>
      </c>
      <c r="L272" s="16" t="s">
        <v>215</v>
      </c>
      <c r="M272" s="16" t="str">
        <f t="shared" si="36"/>
        <v>模拟评分记录完整</v>
      </c>
      <c r="N272" s="8" t="s">
        <v>163</v>
      </c>
    </row>
    <row r="273" spans="1:14" ht="46.05" customHeight="1">
      <c r="A273" s="16" t="s">
        <v>78</v>
      </c>
      <c r="B273" s="16">
        <v>2</v>
      </c>
      <c r="C273" s="17" t="str">
        <f>三案例选用!C11</f>
        <v>SC-011</v>
      </c>
      <c r="D273" s="16" t="s">
        <v>227</v>
      </c>
      <c r="E273" s="16" t="str">
        <f t="shared" si="37"/>
        <v>适用</v>
      </c>
      <c r="F273" s="17" t="str">
        <f>IF(TRUE,IF(COUNTIFS(资产清单!$A$6:$A$25,A273)&lt;&gt;1,"",IF(INDEX(资产清单!$I$6:$I$25,MATCH(A273,资产清单!$A$6:$A$25,0))="","",INDEX(资产清单!$I$6:$I$25,MATCH(A273,资产清单!$A$6:$A$25,0)))),"不适用")</f>
        <v>办公用房</v>
      </c>
      <c r="G273" s="17" t="str">
        <f>IF(TRUE,IF(COUNTIFS(市场案例库!$A$6:$A$35,C273)&lt;&gt;1,"",IF(INDEX(市场案例库!$O$6:$O$35,MATCH(C273,市场案例库!$A$6:$A$35,0))="","",INDEX(市场案例库!$O$6:$O$35,MATCH(C273,市场案例库!$A$6:$A$35,0)))),"不适用")</f>
        <v>办公用房</v>
      </c>
      <c r="H273" s="19">
        <f>测算参数!$B$6</f>
        <v>100</v>
      </c>
      <c r="I273" s="10">
        <v>100</v>
      </c>
      <c r="J273" s="20">
        <f t="shared" si="38"/>
        <v>1</v>
      </c>
      <c r="K273" s="16" t="s">
        <v>238</v>
      </c>
      <c r="L273" s="16" t="s">
        <v>215</v>
      </c>
      <c r="M273" s="16" t="str">
        <f t="shared" si="36"/>
        <v>模拟评分记录完整</v>
      </c>
      <c r="N273" s="8" t="s">
        <v>163</v>
      </c>
    </row>
    <row r="274" spans="1:14" ht="46.05" customHeight="1">
      <c r="A274" s="16" t="s">
        <v>78</v>
      </c>
      <c r="B274" s="16">
        <v>2</v>
      </c>
      <c r="C274" s="17" t="str">
        <f>三案例选用!C11</f>
        <v>SC-011</v>
      </c>
      <c r="D274" s="16" t="s">
        <v>228</v>
      </c>
      <c r="E274" s="17" t="str">
        <f>IF(AND(IF(COUNTIFS(资产清单!$A$6:$A$25,A274)&lt;&gt;1,"",IF(INDEX(资产清单!$H$6:$H$25,MATCH(A274,资产清单!$A$6:$A$25,0))="","",INDEX(资产清单!$H$6:$H$25,MATCH(A274,资产清单!$A$6:$A$25,0))))&lt;&gt;"场地",IF(COUNTIFS(资产清单!$A$6:$A$25,A274)&lt;&gt;1,"",IF(INDEX(资产清单!$H$6:$H$25,MATCH(A274,资产清单!$A$6:$A$25,0))="","",INDEX(资产清单!$H$6:$H$25,MATCH(A274,资产清单!$A$6:$A$25,0))))&lt;&gt;"车位",IF(COUNTIFS(资产清单!$A$6:$A$25,A274)&lt;&gt;1,"",IF(INDEX(资产清单!$H$6:$H$25,MATCH(A274,资产清单!$A$6:$A$25,0))="","",INDEX(资产清单!$H$6:$H$25,MATCH(A274,资产清单!$A$6:$A$25,0))))&lt;&gt;"通信基站"),"适用","不适用采用100/100")</f>
        <v>适用</v>
      </c>
      <c r="F274" s="17" t="str">
        <f>IF(AND(IF(COUNTIFS(资产清单!$A$6:$A$25,A274)&lt;&gt;1,"",IF(INDEX(资产清单!$H$6:$H$25,MATCH(A274,资产清单!$A$6:$A$25,0))="","",INDEX(资产清单!$H$6:$H$25,MATCH(A274,资产清单!$A$6:$A$25,0))))&lt;&gt;"场地",IF(COUNTIFS(资产清单!$A$6:$A$25,A274)&lt;&gt;1,"",IF(INDEX(资产清单!$H$6:$H$25,MATCH(A274,资产清单!$A$6:$A$25,0))="","",INDEX(资产清单!$H$6:$H$25,MATCH(A274,资产清单!$A$6:$A$25,0))))&lt;&gt;"车位",IF(COUNTIFS(资产清单!$A$6:$A$25,A274)&lt;&gt;1,"",IF(INDEX(资产清单!$H$6:$H$25,MATCH(A274,资产清单!$A$6:$A$25,0))="","",INDEX(资产清单!$H$6:$H$25,MATCH(A274,资产清单!$A$6:$A$25,0))))&lt;&gt;"通信基站"),IF(COUNTIFS(资产清单!$A$6:$A$25,A274)&lt;&gt;1,"",IF(INDEX(资产清单!$I$6:$I$25,MATCH(A274,资产清单!$A$6:$A$25,0))="","",INDEX(资产清单!$I$6:$I$25,MATCH(A274,资产清单!$A$6:$A$25,0)))),"不适用")</f>
        <v>办公用房</v>
      </c>
      <c r="G274" s="17" t="str">
        <f>IF(AND(IF(COUNTIFS(资产清单!$A$6:$A$25,A274)&lt;&gt;1,"",IF(INDEX(资产清单!$H$6:$H$25,MATCH(A274,资产清单!$A$6:$A$25,0))="","",INDEX(资产清单!$H$6:$H$25,MATCH(A274,资产清单!$A$6:$A$25,0))))&lt;&gt;"场地",IF(COUNTIFS(资产清单!$A$6:$A$25,A274)&lt;&gt;1,"",IF(INDEX(资产清单!$H$6:$H$25,MATCH(A274,资产清单!$A$6:$A$25,0))="","",INDEX(资产清单!$H$6:$H$25,MATCH(A274,资产清单!$A$6:$A$25,0))))&lt;&gt;"车位",IF(COUNTIFS(资产清单!$A$6:$A$25,A274)&lt;&gt;1,"",IF(INDEX(资产清单!$H$6:$H$25,MATCH(A274,资产清单!$A$6:$A$25,0))="","",INDEX(资产清单!$H$6:$H$25,MATCH(A274,资产清单!$A$6:$A$25,0))))&lt;&gt;"通信基站"),IF(COUNTIFS(市场案例库!$A$6:$A$35,C274)&lt;&gt;1,"",IF(INDEX(市场案例库!$O$6:$O$35,MATCH(C274,市场案例库!$A$6:$A$35,0))="","",INDEX(市场案例库!$O$6:$O$35,MATCH(C274,市场案例库!$A$6:$A$35,0)))),"不适用")</f>
        <v>办公用房</v>
      </c>
      <c r="H274" s="19">
        <f>测算参数!$B$6</f>
        <v>100</v>
      </c>
      <c r="I274" s="10">
        <v>100</v>
      </c>
      <c r="J274" s="21">
        <f>IF(OR(C274&lt;&gt;N274,COUNT(H274:I274)&lt;&gt;2,H274&lt;=0,I274&lt;=0),"",IF(AND(IF(COUNTIFS(资产清单!$A$6:$A$25,A274)&lt;&gt;1,"",IF(INDEX(资产清单!$H$6:$H$25,MATCH(A274,资产清单!$A$6:$A$25,0))="","",INDEX(资产清单!$H$6:$H$25,MATCH(A274,资产清单!$A$6:$A$25,0))))&lt;&gt;"场地",IF(COUNTIFS(资产清单!$A$6:$A$25,A274)&lt;&gt;1,"",IF(INDEX(资产清单!$H$6:$H$25,MATCH(A274,资产清单!$A$6:$A$25,0))="","",INDEX(资产清单!$H$6:$H$25,MATCH(A274,资产清单!$A$6:$A$25,0))))&lt;&gt;"车位",IF(COUNTIFS(资产清单!$A$6:$A$25,A274)&lt;&gt;1,"",IF(INDEX(资产清单!$H$6:$H$25,MATCH(A274,资产清单!$A$6:$A$25,0))="","",INDEX(资产清单!$H$6:$H$25,MATCH(A274,资产清单!$A$6:$A$25,0))))&lt;&gt;"通信基站"),H274/I274,H274/H274))</f>
        <v>1</v>
      </c>
      <c r="K274" s="16" t="s">
        <v>238</v>
      </c>
      <c r="L274" s="16" t="s">
        <v>215</v>
      </c>
      <c r="M274" s="16" t="str">
        <f t="shared" si="36"/>
        <v>模拟评分记录完整</v>
      </c>
      <c r="N274" s="8" t="s">
        <v>163</v>
      </c>
    </row>
    <row r="275" spans="1:14" ht="46.05" customHeight="1">
      <c r="A275" s="16" t="s">
        <v>78</v>
      </c>
      <c r="B275" s="16">
        <v>2</v>
      </c>
      <c r="C275" s="17" t="str">
        <f>三案例选用!C11</f>
        <v>SC-011</v>
      </c>
      <c r="D275" s="16" t="s">
        <v>229</v>
      </c>
      <c r="E275" s="17" t="str">
        <f>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"适用","不适用采用100/100")</f>
        <v>适用</v>
      </c>
      <c r="F275" s="17">
        <f>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IF(COUNTIFS(资产清单!$A$6:$A$25,A275)&lt;&gt;1,"",IF(COUNT(INDEX(资产清单!$N$6:$N$25,MATCH(A275,资产清单!$A$6:$A$25,0)))&lt;&gt;1,"",INDEX(资产清单!$N$6:$N$25,MATCH(A275,资产清单!$A$6:$A$25,0)))),"不适用")</f>
        <v>2</v>
      </c>
      <c r="G275" s="17">
        <f>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IF(COUNTIFS(市场案例库!$A$6:$A$35,C275)&lt;&gt;1,"",IF(COUNT(INDEX(市场案例库!$I$6:$I$35,MATCH(C275,市场案例库!$A$6:$A$35,0)))&lt;&gt;1,"",INDEX(市场案例库!$I$6:$I$35,MATCH(C275,市场案例库!$A$6:$A$35,0)))),"不适用")</f>
        <v>3</v>
      </c>
      <c r="H275" s="19">
        <f>测算参数!$B$6</f>
        <v>100</v>
      </c>
      <c r="I275" s="19">
        <f>IF(OR(COUNTIFS(市场案例库!$A$6:$A$35,C275)&lt;&gt;1,AND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OR(COUNT(IF(COUNTIFS(资产清单!$A$6:$A$25,A275)&lt;&gt;1,"",IF(COUNT(INDEX(资产清单!$N$6:$N$25,MATCH(A275,资产清单!$A$6:$A$25,0)))&lt;&gt;1,"",INDEX(资产清单!$N$6:$N$25,MATCH(A275,资产清单!$A$6:$A$25,0)))),IF(COUNTIFS(市场案例库!$A$6:$A$35,C275)&lt;&gt;1,"",IF(COUNT(INDEX(市场案例库!$I$6:$I$35,MATCH(C275,市场案例库!$A$6:$A$35,0)))&lt;&gt;1,"",INDEX(市场案例库!$I$6:$I$35,MATCH(C275,市场案例库!$A$6:$A$35,0)))))&lt;&gt;2,IF(COUNTIFS(资产清单!$A$6:$A$25,A275)&lt;&gt;1,"",IF(COUNT(INDEX(资产清单!$N$6:$N$25,MATCH(A275,资产清单!$A$6:$A$25,0)))&lt;&gt;1,"",INDEX(资产清单!$N$6:$N$25,MATCH(A275,资产清单!$A$6:$A$25,0))))&lt;1,IF(COUNTIFS(资产清单!$A$6:$A$25,A275)&lt;&gt;1,"",IF(COUNT(INDEX(资产清单!$N$6:$N$25,MATCH(A275,资产清单!$A$6:$A$25,0)))&lt;&gt;1,"",INDEX(资产清单!$N$6:$N$25,MATCH(A275,资产清单!$A$6:$A$25,0))))&gt;4,IF(COUNTIFS(市场案例库!$A$6:$A$35,C275)&lt;&gt;1,"",IF(COUNT(INDEX(市场案例库!$I$6:$I$35,MATCH(C275,市场案例库!$A$6:$A$35,0)))&lt;&gt;1,"",INDEX(市场案例库!$I$6:$I$35,MATCH(C275,市场案例库!$A$6:$A$35,0))))&lt;1,IF(COUNTIFS(市场案例库!$A$6:$A$35,C275)&lt;&gt;1,"",IF(COUNT(INDEX(市场案例库!$I$6:$I$35,MATCH(C275,市场案例库!$A$6:$A$35,0)))&lt;&gt;1,"",INDEX(市场案例库!$I$6:$I$35,MATCH(C275,市场案例库!$A$6:$A$35,0))))&gt;4))),"",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INDEX(测算参数!$B$35:$B$41,MATCH(IF(COUNTIFS(市场案例库!$A$6:$A$35,C275)&lt;&gt;1,"",IF(COUNT(INDEX(市场案例库!$I$6:$I$35,MATCH(C275,市场案例库!$A$6:$A$35,0)))&lt;&gt;1,"",INDEX(市场案例库!$I$6:$I$35,MATCH(C275,市场案例库!$A$6:$A$35,0))))-IF(COUNTIFS(资产清单!$A$6:$A$25,A275)&lt;&gt;1,"",IF(COUNT(INDEX(资产清单!$N$6:$N$25,MATCH(A275,资产清单!$A$6:$A$25,0)))&lt;&gt;1,"",INDEX(资产清单!$N$6:$N$25,MATCH(A275,资产清单!$A$6:$A$25,0)))),测算参数!$A$35:$A$41,0)),测算参数!$B$6))</f>
        <v>102</v>
      </c>
      <c r="J275" s="21">
        <f>IF(OR(C275&lt;&gt;N275,COUNT(H275:I275)&lt;&gt;2,H275&lt;=0,I275&lt;=0),"",IF(AND(IF(COUNTIFS(资产清单!$A$6:$A$25,A275)&lt;&gt;1,"",IF(INDEX(资产清单!$H$6:$H$25,MATCH(A275,资产清单!$A$6:$A$25,0))="","",INDEX(资产清单!$H$6:$H$25,MATCH(A275,资产清单!$A$6:$A$25,0))))&lt;&gt;"场地",IF(COUNTIFS(资产清单!$A$6:$A$25,A275)&lt;&gt;1,"",IF(INDEX(资产清单!$H$6:$H$25,MATCH(A275,资产清单!$A$6:$A$25,0))="","",INDEX(资产清单!$H$6:$H$25,MATCH(A275,资产清单!$A$6:$A$25,0))))&lt;&gt;"车位",IF(COUNTIFS(资产清单!$A$6:$A$25,A275)&lt;&gt;1,"",IF(INDEX(资产清单!$H$6:$H$25,MATCH(A275,资产清单!$A$6:$A$25,0))="","",INDEX(资产清单!$H$6:$H$25,MATCH(A275,资产清单!$A$6:$A$25,0))))&lt;&gt;"通信基站"),H275/I275,H275/H275))</f>
        <v>0.98039215686274506</v>
      </c>
      <c r="K275" s="16" t="s">
        <v>238</v>
      </c>
      <c r="L275" s="16" t="s">
        <v>230</v>
      </c>
      <c r="M275" s="16" t="str">
        <f t="shared" si="36"/>
        <v>模拟评分记录完整</v>
      </c>
      <c r="N275" s="8" t="s">
        <v>163</v>
      </c>
    </row>
    <row r="276" spans="1:14" ht="46.05" customHeight="1">
      <c r="A276" s="16" t="s">
        <v>78</v>
      </c>
      <c r="B276" s="16">
        <v>2</v>
      </c>
      <c r="C276" s="17" t="str">
        <f>三案例选用!C11</f>
        <v>SC-011</v>
      </c>
      <c r="D276" s="16" t="s">
        <v>231</v>
      </c>
      <c r="E276" s="17" t="str">
        <f>IF(AND(IF(COUNTIFS(资产清单!$A$6:$A$25,A276)&lt;&gt;1,"",IF(INDEX(资产清单!$H$6:$H$25,MATCH(A276,资产清单!$A$6:$A$25,0))="","",INDEX(资产清单!$H$6:$H$25,MATCH(A276,资产清单!$A$6:$A$25,0))))&lt;&gt;"场地",IF(COUNTIFS(资产清单!$A$6:$A$25,A276)&lt;&gt;1,"",IF(INDEX(资产清单!$H$6:$H$25,MATCH(A276,资产清单!$A$6:$A$25,0))="","",INDEX(资产清单!$H$6:$H$25,MATCH(A276,资产清单!$A$6:$A$25,0))))&lt;&gt;"车位",IF(COUNTIFS(资产清单!$A$6:$A$25,A276)&lt;&gt;1,"",IF(INDEX(资产清单!$H$6:$H$25,MATCH(A276,资产清单!$A$6:$A$25,0))="","",INDEX(资产清单!$H$6:$H$25,MATCH(A276,资产清单!$A$6:$A$25,0))))&lt;&gt;"通信基站"),"适用","不适用采用100/100")</f>
        <v>适用</v>
      </c>
      <c r="F276" s="17" t="str">
        <f>IF(AND(IF(COUNTIFS(资产清单!$A$6:$A$25,A276)&lt;&gt;1,"",IF(INDEX(资产清单!$H$6:$H$25,MATCH(A276,资产清单!$A$6:$A$25,0))="","",INDEX(资产清单!$H$6:$H$25,MATCH(A276,资产清单!$A$6:$A$25,0))))&lt;&gt;"场地",IF(COUNTIFS(资产清单!$A$6:$A$25,A276)&lt;&gt;1,"",IF(INDEX(资产清单!$H$6:$H$25,MATCH(A276,资产清单!$A$6:$A$25,0))="","",INDEX(资产清单!$H$6:$H$25,MATCH(A276,资产清单!$A$6:$A$25,0))))&lt;&gt;"车位",IF(COUNTIFS(资产清单!$A$6:$A$25,A276)&lt;&gt;1,"",IF(INDEX(资产清单!$H$6:$H$25,MATCH(A276,资产清单!$A$6:$A$25,0))="","",INDEX(资产清单!$H$6:$H$25,MATCH(A276,资产清单!$A$6:$A$25,0))))&lt;&gt;"通信基站"),IF(COUNTIFS(资产清单!$A$6:$A$25,A276)&lt;&gt;1,"",IF(INDEX(资产清单!$I$6:$I$25,MATCH(A276,资产清单!$A$6:$A$25,0))="","",INDEX(资产清单!$I$6:$I$25,MATCH(A276,资产清单!$A$6:$A$25,0)))),"不适用")</f>
        <v>办公用房</v>
      </c>
      <c r="G276" s="17" t="str">
        <f>IF(AND(IF(COUNTIFS(资产清单!$A$6:$A$25,A276)&lt;&gt;1,"",IF(INDEX(资产清单!$H$6:$H$25,MATCH(A276,资产清单!$A$6:$A$25,0))="","",INDEX(资产清单!$H$6:$H$25,MATCH(A276,资产清单!$A$6:$A$25,0))))&lt;&gt;"场地",IF(COUNTIFS(资产清单!$A$6:$A$25,A276)&lt;&gt;1,"",IF(INDEX(资产清单!$H$6:$H$25,MATCH(A276,资产清单!$A$6:$A$25,0))="","",INDEX(资产清单!$H$6:$H$25,MATCH(A276,资产清单!$A$6:$A$25,0))))&lt;&gt;"车位",IF(COUNTIFS(资产清单!$A$6:$A$25,A276)&lt;&gt;1,"",IF(INDEX(资产清单!$H$6:$H$25,MATCH(A276,资产清单!$A$6:$A$25,0))="","",INDEX(资产清单!$H$6:$H$25,MATCH(A276,资产清单!$A$6:$A$25,0))))&lt;&gt;"通信基站"),IF(COUNTIFS(市场案例库!$A$6:$A$35,C276)&lt;&gt;1,"",IF(INDEX(市场案例库!$O$6:$O$35,MATCH(C276,市场案例库!$A$6:$A$35,0))="","",INDEX(市场案例库!$O$6:$O$35,MATCH(C276,市场案例库!$A$6:$A$35,0)))),"不适用")</f>
        <v>办公用房</v>
      </c>
      <c r="H276" s="19">
        <f>测算参数!$B$6</f>
        <v>100</v>
      </c>
      <c r="I276" s="10">
        <v>100</v>
      </c>
      <c r="J276" s="21">
        <f>IF(OR(C276&lt;&gt;N276,COUNT(H276:I276)&lt;&gt;2,H276&lt;=0,I276&lt;=0),"",IF(AND(IF(COUNTIFS(资产清单!$A$6:$A$25,A276)&lt;&gt;1,"",IF(INDEX(资产清单!$H$6:$H$25,MATCH(A276,资产清单!$A$6:$A$25,0))="","",INDEX(资产清单!$H$6:$H$25,MATCH(A276,资产清单!$A$6:$A$25,0))))&lt;&gt;"场地",IF(COUNTIFS(资产清单!$A$6:$A$25,A276)&lt;&gt;1,"",IF(INDEX(资产清单!$H$6:$H$25,MATCH(A276,资产清单!$A$6:$A$25,0))="","",INDEX(资产清单!$H$6:$H$25,MATCH(A276,资产清单!$A$6:$A$25,0))))&lt;&gt;"车位",IF(COUNTIFS(资产清单!$A$6:$A$25,A276)&lt;&gt;1,"",IF(INDEX(资产清单!$H$6:$H$25,MATCH(A276,资产清单!$A$6:$A$25,0))="","",INDEX(资产清单!$H$6:$H$25,MATCH(A276,资产清单!$A$6:$A$25,0))))&lt;&gt;"通信基站"),H276/I276,H276/H276))</f>
        <v>1</v>
      </c>
      <c r="K276" s="16" t="s">
        <v>238</v>
      </c>
      <c r="L276" s="16" t="s">
        <v>215</v>
      </c>
      <c r="M276" s="16" t="str">
        <f t="shared" si="36"/>
        <v>模拟评分记录完整</v>
      </c>
      <c r="N276" s="8" t="s">
        <v>163</v>
      </c>
    </row>
    <row r="277" spans="1:14" ht="46.05" customHeight="1">
      <c r="A277" s="16" t="s">
        <v>78</v>
      </c>
      <c r="B277" s="16">
        <v>2</v>
      </c>
      <c r="C277" s="17" t="str">
        <f>三案例选用!C11</f>
        <v>SC-011</v>
      </c>
      <c r="D277" s="16" t="s">
        <v>232</v>
      </c>
      <c r="E277" s="16" t="str">
        <f>IF(TRUE,"适用","不适用采用100/100")</f>
        <v>适用</v>
      </c>
      <c r="F277" s="17" t="str">
        <f>IF(TRUE,IF(COUNTIFS(资产清单!$A$6:$A$25,A277)&lt;&gt;1,"",IF(INDEX(资产清单!$I$6:$I$25,MATCH(A277,资产清单!$A$6:$A$25,0))="","",INDEX(资产清单!$I$6:$I$25,MATCH(A277,资产清单!$A$6:$A$25,0)))),"不适用")</f>
        <v>办公用房</v>
      </c>
      <c r="G277" s="17" t="str">
        <f>IF(TRUE,IF(COUNTIFS(市场案例库!$A$6:$A$35,C277)&lt;&gt;1,"",IF(INDEX(市场案例库!$O$6:$O$35,MATCH(C277,市场案例库!$A$6:$A$35,0))="","",INDEX(市场案例库!$O$6:$O$35,MATCH(C277,市场案例库!$A$6:$A$35,0)))),"不适用")</f>
        <v>办公用房</v>
      </c>
      <c r="H277" s="19">
        <f>测算参数!$B$6</f>
        <v>100</v>
      </c>
      <c r="I277" s="10">
        <v>100</v>
      </c>
      <c r="J277" s="20">
        <f>IF(OR(C277&lt;&gt;N277,COUNT(H277:I277)&lt;&gt;2,H277&lt;=0,I277&lt;=0),"",IF(TRUE,H277/I277,H277/H277))</f>
        <v>1</v>
      </c>
      <c r="K277" s="16" t="s">
        <v>238</v>
      </c>
      <c r="L277" s="16" t="s">
        <v>215</v>
      </c>
      <c r="M277" s="16" t="str">
        <f t="shared" si="36"/>
        <v>模拟评分记录完整</v>
      </c>
      <c r="N277" s="8" t="s">
        <v>163</v>
      </c>
    </row>
    <row r="278" spans="1:14" ht="46.05" customHeight="1">
      <c r="A278" s="16" t="s">
        <v>78</v>
      </c>
      <c r="B278" s="16">
        <v>3</v>
      </c>
      <c r="C278" s="17" t="str">
        <f>三案例选用!D11</f>
        <v>SC-012</v>
      </c>
      <c r="D278" s="16" t="s">
        <v>209</v>
      </c>
      <c r="E278" s="16" t="str">
        <f>IF(TRUE,"适用","不适用采用100/100")</f>
        <v>适用</v>
      </c>
      <c r="F278" s="17" t="str">
        <f>IF(TRUE,IF(COUNTIFS(资产清单!$A$6:$A$25,A278)&lt;&gt;1,"",IF(INDEX(资产清单!$I$6:$I$25,MATCH(A278,资产清单!$A$6:$A$25,0))="","",INDEX(资产清单!$I$6:$I$25,MATCH(A278,资产清单!$A$6:$A$25,0)))),"不适用")</f>
        <v>办公用房</v>
      </c>
      <c r="G278" s="17" t="str">
        <f>IF(TRUE,IF(COUNTIFS(市场案例库!$A$6:$A$35,C278)&lt;&gt;1,"",IF(INDEX(市场案例库!$O$6:$O$35,MATCH(C278,市场案例库!$A$6:$A$35,0))="","",INDEX(市场案例库!$O$6:$O$35,MATCH(C278,市场案例库!$A$6:$A$35,0)))),"不适用")</f>
        <v>办公用房</v>
      </c>
      <c r="H278" s="19">
        <f>测算参数!$B$6</f>
        <v>100</v>
      </c>
      <c r="I278" s="19">
        <f>IF(OR(COUNTIFS(市场案例库!$A$6:$A$35,C278)&lt;&gt;1),"",IF(COUNTIFS(市场案例库!$A$6:$A$35,C278)&lt;&gt;1,"",IF(COUNT(INDEX(市场案例库!$M$6:$M$35,MATCH(C278,市场案例库!$A$6:$A$35,0)))&lt;&gt;1,"",INDEX(市场案例库!$M$6:$M$35,MATCH(C278,市场案例库!$A$6:$A$35,0)))))</f>
        <v>102</v>
      </c>
      <c r="J278" s="20">
        <f>IF(OR(C278&lt;&gt;N278,COUNT(H278:I278)&lt;&gt;2,H278&lt;=0,I278&lt;=0),"",IF(TRUE,H278/I278,H278/H278))</f>
        <v>0.98039215686274506</v>
      </c>
      <c r="K278" s="16" t="s">
        <v>238</v>
      </c>
      <c r="L278" s="16" t="s">
        <v>211</v>
      </c>
      <c r="M278" s="16" t="str">
        <f t="shared" si="36"/>
        <v>模拟评分记录完整</v>
      </c>
      <c r="N278" s="8" t="s">
        <v>164</v>
      </c>
    </row>
    <row r="279" spans="1:14" ht="46.05" customHeight="1">
      <c r="A279" s="16" t="s">
        <v>78</v>
      </c>
      <c r="B279" s="16">
        <v>3</v>
      </c>
      <c r="C279" s="17" t="str">
        <f>三案例选用!D11</f>
        <v>SC-012</v>
      </c>
      <c r="D279" s="16" t="s">
        <v>212</v>
      </c>
      <c r="E279" s="16" t="str">
        <f>IF(TRUE,"适用","不适用采用100/100")</f>
        <v>适用</v>
      </c>
      <c r="F279" s="17" t="str">
        <f>IF(TRUE,IF(COUNTIFS(资产清单!$A$6:$A$25,A279)&lt;&gt;1,"",IF(INDEX(资产清单!$I$6:$I$25,MATCH(A279,资产清单!$A$6:$A$25,0))="","",INDEX(资产清单!$I$6:$I$25,MATCH(A279,资产清单!$A$6:$A$25,0)))),"不适用")</f>
        <v>办公用房</v>
      </c>
      <c r="G279" s="17" t="str">
        <f>IF(TRUE,IF(COUNTIFS(市场案例库!$A$6:$A$35,C279)&lt;&gt;1,"",IF(INDEX(市场案例库!$O$6:$O$35,MATCH(C279,市场案例库!$A$6:$A$35,0))="","",INDEX(市场案例库!$O$6:$O$35,MATCH(C279,市场案例库!$A$6:$A$35,0)))),"不适用")</f>
        <v>办公用房</v>
      </c>
      <c r="H279" s="19">
        <f>测算参数!$B$6</f>
        <v>100</v>
      </c>
      <c r="I279" s="19">
        <f>IF(OR(COUNTIFS(市场案例库!$A$6:$A$35,C279)&lt;&gt;1),"",IF(COUNTIFS(市场案例库!$A$6:$A$35,C279)&lt;&gt;1,"",IF(COUNT(INDEX(市场案例库!$N$6:$N$35,MATCH(C279,市场案例库!$A$6:$A$35,0)))&lt;&gt;1,"",INDEX(市场案例库!$N$6:$N$35,MATCH(C279,市场案例库!$A$6:$A$35,0)))))</f>
        <v>100</v>
      </c>
      <c r="J279" s="20">
        <f>IF(OR(C279&lt;&gt;N279,COUNT(H279:I279)&lt;&gt;2,H279&lt;=0,I279&lt;=0),"",IF(TRUE,H279/I279,H279/H279))</f>
        <v>1</v>
      </c>
      <c r="K279" s="16" t="s">
        <v>238</v>
      </c>
      <c r="L279" s="16" t="s">
        <v>213</v>
      </c>
      <c r="M279" s="16" t="str">
        <f t="shared" si="36"/>
        <v>模拟评分记录完整</v>
      </c>
      <c r="N279" s="8" t="s">
        <v>164</v>
      </c>
    </row>
    <row r="280" spans="1:14" ht="46.05" customHeight="1">
      <c r="A280" s="16" t="s">
        <v>78</v>
      </c>
      <c r="B280" s="16">
        <v>3</v>
      </c>
      <c r="C280" s="17" t="str">
        <f>三案例选用!D11</f>
        <v>SC-012</v>
      </c>
      <c r="D280" s="16" t="s">
        <v>214</v>
      </c>
      <c r="E280" s="16" t="str">
        <f>IF(TRUE,"适用","不适用采用100/100")</f>
        <v>适用</v>
      </c>
      <c r="F280" s="17" t="str">
        <f>IF(TRUE,IF(COUNTIFS(资产清单!$A$6:$A$25,A280)&lt;&gt;1,"",IF(INDEX(资产清单!$I$6:$I$25,MATCH(A280,资产清单!$A$6:$A$25,0))="","",INDEX(资产清单!$I$6:$I$25,MATCH(A280,资产清单!$A$6:$A$25,0)))),"不适用")</f>
        <v>办公用房</v>
      </c>
      <c r="G280" s="17" t="str">
        <f>IF(TRUE,IF(COUNTIFS(市场案例库!$A$6:$A$35,C280)&lt;&gt;1,"",IF(INDEX(市场案例库!$O$6:$O$35,MATCH(C280,市场案例库!$A$6:$A$35,0))="","",INDEX(市场案例库!$O$6:$O$35,MATCH(C280,市场案例库!$A$6:$A$35,0)))),"不适用")</f>
        <v>办公用房</v>
      </c>
      <c r="H280" s="19">
        <f>测算参数!$B$6</f>
        <v>100</v>
      </c>
      <c r="I280" s="10">
        <v>100</v>
      </c>
      <c r="J280" s="20">
        <f>IF(OR(C280&lt;&gt;N280,COUNT(H280:I280)&lt;&gt;2,H280&lt;=0,I280&lt;=0),"",IF(TRUE,H280/I280,H280/H280))</f>
        <v>1</v>
      </c>
      <c r="K280" s="16" t="s">
        <v>238</v>
      </c>
      <c r="L280" s="16" t="s">
        <v>215</v>
      </c>
      <c r="M280" s="16" t="str">
        <f t="shared" si="36"/>
        <v>模拟评分记录完整</v>
      </c>
      <c r="N280" s="8" t="s">
        <v>164</v>
      </c>
    </row>
    <row r="281" spans="1:14" ht="46.05" customHeight="1">
      <c r="A281" s="16" t="s">
        <v>78</v>
      </c>
      <c r="B281" s="16">
        <v>3</v>
      </c>
      <c r="C281" s="17" t="str">
        <f>三案例选用!D11</f>
        <v>SC-012</v>
      </c>
      <c r="D281" s="16" t="s">
        <v>216</v>
      </c>
      <c r="E281" s="16" t="str">
        <f>IF(TRUE,"适用","不适用采用100/100")</f>
        <v>适用</v>
      </c>
      <c r="F281" s="17" t="str">
        <f>IF(TRUE,IF(COUNTIFS(资产清单!$A$6:$A$25,A281)&lt;&gt;1,"",IF(INDEX(资产清单!$I$6:$I$25,MATCH(A281,资产清单!$A$6:$A$25,0))="","",INDEX(资产清单!$I$6:$I$25,MATCH(A281,资产清单!$A$6:$A$25,0)))),"不适用")</f>
        <v>办公用房</v>
      </c>
      <c r="G281" s="17" t="str">
        <f>IF(TRUE,IF(COUNTIFS(市场案例库!$A$6:$A$35,C281)&lt;&gt;1,"",IF(INDEX(市场案例库!$O$6:$O$35,MATCH(C281,市场案例库!$A$6:$A$35,0))="","",INDEX(市场案例库!$O$6:$O$35,MATCH(C281,市场案例库!$A$6:$A$35,0)))),"不适用")</f>
        <v>办公用房</v>
      </c>
      <c r="H281" s="19">
        <f>测算参数!$B$6</f>
        <v>100</v>
      </c>
      <c r="I281" s="10">
        <v>100</v>
      </c>
      <c r="J281" s="20">
        <f>IF(OR(C281&lt;&gt;N281,COUNT(H281:I281)&lt;&gt;2,H281&lt;=0,I281&lt;=0),"",IF(TRUE,H281/I281,H281/H281))</f>
        <v>1</v>
      </c>
      <c r="K281" s="16" t="s">
        <v>238</v>
      </c>
      <c r="L281" s="16" t="s">
        <v>215</v>
      </c>
      <c r="M281" s="16" t="str">
        <f t="shared" si="36"/>
        <v>模拟评分记录完整</v>
      </c>
      <c r="N281" s="8" t="s">
        <v>164</v>
      </c>
    </row>
    <row r="282" spans="1:14" ht="46.05" customHeight="1">
      <c r="A282" s="16" t="s">
        <v>78</v>
      </c>
      <c r="B282" s="16">
        <v>3</v>
      </c>
      <c r="C282" s="17" t="str">
        <f>三案例选用!D11</f>
        <v>SC-012</v>
      </c>
      <c r="D282" s="16" t="s">
        <v>217</v>
      </c>
      <c r="E282" s="17" t="str">
        <f>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"适用","不适用采用100/100")</f>
        <v>适用</v>
      </c>
      <c r="F282" s="17">
        <f>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IF(COUNTIFS(资产清单!$A$6:$A$25,A282)&lt;&gt;1,"",IF(COUNT(INDEX(资产清单!$M$6:$M$25,MATCH(A282,资产清单!$A$6:$A$25,0)))&lt;&gt;1,"",INDEX(资产清单!$M$6:$M$25,MATCH(A282,资产清单!$A$6:$A$25,0)))),"不适用")</f>
        <v>3</v>
      </c>
      <c r="G282" s="17">
        <f>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IF(COUNTIFS(市场案例库!$A$6:$A$35,C282)&lt;&gt;1,"",IF(COUNT(INDEX(市场案例库!$H$6:$H$35,MATCH(C282,市场案例库!$A$6:$A$35,0)))&lt;&gt;1,"",INDEX(市场案例库!$H$6:$H$35,MATCH(C282,市场案例库!$A$6:$A$35,0)))),"不适用")</f>
        <v>4</v>
      </c>
      <c r="H282" s="19">
        <f>测算参数!$B$6</f>
        <v>100</v>
      </c>
      <c r="I282" s="19">
        <f>IF(OR(COUNTIFS(市场案例库!$A$6:$A$35,C282)&lt;&gt;1,AND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COUNT(IF(COUNTIFS(资产清单!$A$6:$A$25,A282)&lt;&gt;1,"",IF(COUNT(INDEX(资产清单!$M$6:$M$25,MATCH(A282,资产清单!$A$6:$A$25,0)))&lt;&gt;1,"",INDEX(资产清单!$M$6:$M$25,MATCH(A282,资产清单!$A$6:$A$25,0)))),IF(COUNTIFS(市场案例库!$A$6:$A$35,C282)&lt;&gt;1,"",IF(COUNT(INDEX(市场案例库!$H$6:$H$35,MATCH(C282,市场案例库!$A$6:$A$35,0)))&lt;&gt;1,"",INDEX(市场案例库!$H$6:$H$35,MATCH(C282,市场案例库!$A$6:$A$35,0)))))&lt;&gt;2)),"",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INDEX(测算参数!$B$25:$B$31,MATCH(MAX(-测算参数!$B$11,MIN(测算参数!$B$11,IF(COUNTIFS(资产清单!$A$6:$A$25,A282)&lt;&gt;1,"",IF(COUNT(INDEX(资产清单!$M$6:$M$25,MATCH(A282,资产清单!$A$6:$A$25,0)))&lt;&gt;1,"",INDEX(资产清单!$M$6:$M$25,MATCH(A282,资产清单!$A$6:$A$25,0))))-IF(COUNTIFS(市场案例库!$A$6:$A$35,C282)&lt;&gt;1,"",IF(COUNT(INDEX(市场案例库!$H$6:$H$35,MATCH(C282,市场案例库!$A$6:$A$35,0)))&lt;&gt;1,"",INDEX(市场案例库!$H$6:$H$35,MATCH(C282,市场案例库!$A$6:$A$35,0)))))),测算参数!$A$25:$A$31,0)),测算参数!$B$6))</f>
        <v>99</v>
      </c>
      <c r="J282" s="21">
        <f>IF(OR(C282&lt;&gt;N282,COUNT(H282:I282)&lt;&gt;2,H282&lt;=0,I282&lt;=0),"",IF(OR(IF(COUNTIFS(资产清单!$A$6:$A$25,A282)&lt;&gt;1,"",IF(INDEX(资产清单!$H$6:$H$25,MATCH(A282,资产清单!$A$6:$A$25,0))="","",INDEX(资产清单!$H$6:$H$25,MATCH(A282,资产清单!$A$6:$A$25,0))))="商业",IF(COUNTIFS(资产清单!$A$6:$A$25,A282)&lt;&gt;1,"",IF(INDEX(资产清单!$H$6:$H$25,MATCH(A282,资产清单!$A$6:$A$25,0))="","",INDEX(资产清单!$H$6:$H$25,MATCH(A282,资产清单!$A$6:$A$25,0))))="办公",IF(COUNTIFS(资产清单!$A$6:$A$25,A282)&lt;&gt;1,"",IF(INDEX(资产清单!$H$6:$H$25,MATCH(A282,资产清单!$A$6:$A$25,0))="","",INDEX(资产清单!$H$6:$H$25,MATCH(A282,资产清单!$A$6:$A$25,0))))="住宅"),H282/I282,H282/H282))</f>
        <v>1.0101010101010102</v>
      </c>
      <c r="K282" s="16" t="s">
        <v>238</v>
      </c>
      <c r="L282" s="16" t="s">
        <v>218</v>
      </c>
      <c r="M282" s="16" t="str">
        <f t="shared" si="36"/>
        <v>模拟评分记录完整</v>
      </c>
      <c r="N282" s="8" t="s">
        <v>164</v>
      </c>
    </row>
    <row r="283" spans="1:14" ht="46.05" customHeight="1">
      <c r="A283" s="16" t="s">
        <v>78</v>
      </c>
      <c r="B283" s="16">
        <v>3</v>
      </c>
      <c r="C283" s="17" t="str">
        <f>三案例选用!D11</f>
        <v>SC-012</v>
      </c>
      <c r="D283" s="16" t="s">
        <v>219</v>
      </c>
      <c r="E283" s="17" t="str">
        <f>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"适用","不适用采用100/100")</f>
        <v>适用</v>
      </c>
      <c r="F283" s="17">
        <f>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IF(COUNTIFS(资产清单!$A$6:$A$25,A283)&lt;&gt;1,"",IF(COUNT(INDEX(资产清单!$L$6:$L$25,MATCH(A283,资产清单!$A$6:$A$25,0)))&lt;&gt;1,"",INDEX(资产清单!$L$6:$L$25,MATCH(A283,资产清单!$A$6:$A$25,0)))),"不适用")</f>
        <v>180</v>
      </c>
      <c r="G283" s="17">
        <f>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IF(COUNTIFS(市场案例库!$A$6:$A$35,C283)&lt;&gt;1,"",IF(COUNT(INDEX(市场案例库!$G$6:$G$35,MATCH(C283,市场案例库!$A$6:$A$35,0)))&lt;&gt;1,"",INDEX(市场案例库!$G$6:$G$35,MATCH(C283,市场案例库!$A$6:$A$35,0)))),"不适用")</f>
        <v>160</v>
      </c>
      <c r="H283" s="19">
        <f>测算参数!$B$6</f>
        <v>100</v>
      </c>
      <c r="I283" s="19">
        <f>IF(OR(COUNTIFS(市场案例库!$A$6:$A$35,C283)&lt;&gt;1,AND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OR(COUNT(IF(COUNTIFS(资产清单!$A$6:$A$25,A283)&lt;&gt;1,"",IF(COUNT(INDEX(资产清单!$L$6:$L$25,MATCH(A283,资产清单!$A$6:$A$25,0)))&lt;&gt;1,"",INDEX(资产清单!$L$6:$L$25,MATCH(A283,资产清单!$A$6:$A$25,0)))),IF(COUNTIFS(市场案例库!$A$6:$A$35,C283)&lt;&gt;1,"",IF(COUNT(INDEX(市场案例库!$G$6:$G$35,MATCH(C283,市场案例库!$A$6:$A$35,0)))&lt;&gt;1,"",INDEX(市场案例库!$G$6:$G$35,MATCH(C283,市场案例库!$A$6:$A$35,0)))))&lt;&gt;2,IF(COUNTIFS(资产清单!$A$6:$A$25,A283)&lt;&gt;1,"",IF(COUNT(INDEX(资产清单!$L$6:$L$25,MATCH(A283,资产清单!$A$6:$A$25,0)))&lt;&gt;1,"",INDEX(资产清单!$L$6:$L$25,MATCH(A283,资产清单!$A$6:$A$25,0))))&lt;=0,IF(COUNTIFS(市场案例库!$A$6:$A$35,C283)&lt;&gt;1,"",IF(COUNT(INDEX(市场案例库!$G$6:$G$35,MATCH(C283,市场案例库!$A$6:$A$35,0)))&lt;&gt;1,"",INDEX(市场案例库!$G$6:$G$35,MATCH(C283,市场案例库!$A$6:$A$35,0))))&lt;=0))),"",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LOOKUP(IF(COUNTIFS(市场案例库!$A$6:$A$35,C283)&lt;&gt;1,"",IF(COUNT(INDEX(市场案例库!$G$6:$G$35,MATCH(C283,市场案例库!$A$6:$A$35,0)))&lt;&gt;1,"",INDEX(市场案例库!$G$6:$G$35,MATCH(C283,市场案例库!$A$6:$A$35,0))))/IF(COUNTIFS(资产清单!$A$6:$A$25,A283)&lt;&gt;1,"",IF(COUNT(INDEX(资产清单!$L$6:$L$25,MATCH(A283,资产清单!$A$6:$A$25,0)))&lt;&gt;1,"",INDEX(资产清单!$L$6:$L$25,MATCH(A283,资产清单!$A$6:$A$25,0)))),测算参数!$A$15:$A$21,测算参数!$C$15:$C$21),测算参数!$B$6))</f>
        <v>100</v>
      </c>
      <c r="J283" s="21">
        <f>IF(OR(C283&lt;&gt;N283,COUNT(H283:I283)&lt;&gt;2,H283&lt;=0,I283&lt;=0),"",IF(AND(IF(COUNTIFS(资产清单!$A$6:$A$25,A283)&lt;&gt;1,"",IF(INDEX(资产清单!$J$6:$J$25,MATCH(A283,资产清单!$A$6:$A$25,0))="","",INDEX(资产清单!$J$6:$J$25,MATCH(A283,资产清单!$A$6:$A$25,0))))="元/㎡/月",IF(COUNTIFS(资产清单!$A$6:$A$25,A283)&lt;&gt;1,"",IF(INDEX(资产清单!$H$6:$H$25,MATCH(A283,资产清单!$A$6:$A$25,0))="","",INDEX(资产清单!$H$6:$H$25,MATCH(A283,资产清单!$A$6:$A$25,0))))&lt;&gt;"场地"),H283/I283,H283/H283))</f>
        <v>1</v>
      </c>
      <c r="K283" s="16" t="s">
        <v>238</v>
      </c>
      <c r="L283" s="16" t="s">
        <v>220</v>
      </c>
      <c r="M283" s="16" t="str">
        <f t="shared" si="36"/>
        <v>模拟评分记录完整</v>
      </c>
      <c r="N283" s="8" t="s">
        <v>164</v>
      </c>
    </row>
    <row r="284" spans="1:14" ht="46.05" customHeight="1">
      <c r="A284" s="16" t="s">
        <v>78</v>
      </c>
      <c r="B284" s="16">
        <v>3</v>
      </c>
      <c r="C284" s="17" t="str">
        <f>三案例选用!D11</f>
        <v>SC-012</v>
      </c>
      <c r="D284" s="16" t="s">
        <v>221</v>
      </c>
      <c r="E284" s="16" t="str">
        <f t="shared" ref="E284:E289" si="39">IF(TRUE,"适用","不适用采用100/100")</f>
        <v>适用</v>
      </c>
      <c r="F284" s="17" t="str">
        <f>IF(TRUE,IF(COUNTIFS(资产清单!$A$6:$A$25,A284)&lt;&gt;1,"",IF(INDEX(资产清单!$I$6:$I$25,MATCH(A284,资产清单!$A$6:$A$25,0))="","",INDEX(资产清单!$I$6:$I$25,MATCH(A284,资产清单!$A$6:$A$25,0)))),"不适用")</f>
        <v>办公用房</v>
      </c>
      <c r="G284" s="17" t="str">
        <f>IF(TRUE,IF(COUNTIFS(市场案例库!$A$6:$A$35,C284)&lt;&gt;1,"",IF(INDEX(市场案例库!$O$6:$O$35,MATCH(C284,市场案例库!$A$6:$A$35,0))="","",INDEX(市场案例库!$O$6:$O$35,MATCH(C284,市场案例库!$A$6:$A$35,0)))),"不适用")</f>
        <v>办公用房</v>
      </c>
      <c r="H284" s="19">
        <f>测算参数!$B$6</f>
        <v>100</v>
      </c>
      <c r="I284" s="10">
        <v>100</v>
      </c>
      <c r="J284" s="20">
        <f t="shared" ref="J284:J289" si="40">IF(OR(C284&lt;&gt;N284,COUNT(H284:I284)&lt;&gt;2,H284&lt;=0,I284&lt;=0),"",IF(TRUE,H284/I284,H284/H284))</f>
        <v>1</v>
      </c>
      <c r="K284" s="16" t="s">
        <v>238</v>
      </c>
      <c r="L284" s="16" t="s">
        <v>215</v>
      </c>
      <c r="M284" s="16" t="str">
        <f t="shared" si="36"/>
        <v>模拟评分记录完整</v>
      </c>
      <c r="N284" s="8" t="s">
        <v>164</v>
      </c>
    </row>
    <row r="285" spans="1:14" ht="46.05" customHeight="1">
      <c r="A285" s="16" t="s">
        <v>78</v>
      </c>
      <c r="B285" s="16">
        <v>3</v>
      </c>
      <c r="C285" s="17" t="str">
        <f>三案例选用!D11</f>
        <v>SC-012</v>
      </c>
      <c r="D285" s="16" t="s">
        <v>222</v>
      </c>
      <c r="E285" s="16" t="str">
        <f t="shared" si="39"/>
        <v>适用</v>
      </c>
      <c r="F285" s="17" t="str">
        <f>IF(TRUE,IF(COUNTIFS(资产清单!$A$6:$A$25,A285)&lt;&gt;1,"",IF(INDEX(资产清单!$I$6:$I$25,MATCH(A285,资产清单!$A$6:$A$25,0))="","",INDEX(资产清单!$I$6:$I$25,MATCH(A285,资产清单!$A$6:$A$25,0)))),"不适用")</f>
        <v>办公用房</v>
      </c>
      <c r="G285" s="17" t="str">
        <f>IF(TRUE,IF(COUNTIFS(市场案例库!$A$6:$A$35,C285)&lt;&gt;1,"",IF(INDEX(市场案例库!$O$6:$O$35,MATCH(C285,市场案例库!$A$6:$A$35,0))="","",INDEX(市场案例库!$O$6:$O$35,MATCH(C285,市场案例库!$A$6:$A$35,0)))),"不适用")</f>
        <v>办公用房</v>
      </c>
      <c r="H285" s="19">
        <f>测算参数!$B$6</f>
        <v>100</v>
      </c>
      <c r="I285" s="10">
        <v>100</v>
      </c>
      <c r="J285" s="20">
        <f t="shared" si="40"/>
        <v>1</v>
      </c>
      <c r="K285" s="16" t="s">
        <v>238</v>
      </c>
      <c r="L285" s="16" t="s">
        <v>215</v>
      </c>
      <c r="M285" s="16" t="str">
        <f t="shared" si="36"/>
        <v>模拟评分记录完整</v>
      </c>
      <c r="N285" s="8" t="s">
        <v>164</v>
      </c>
    </row>
    <row r="286" spans="1:14" ht="46.05" customHeight="1">
      <c r="A286" s="16" t="s">
        <v>78</v>
      </c>
      <c r="B286" s="16">
        <v>3</v>
      </c>
      <c r="C286" s="17" t="str">
        <f>三案例选用!D11</f>
        <v>SC-012</v>
      </c>
      <c r="D286" s="16" t="s">
        <v>224</v>
      </c>
      <c r="E286" s="16" t="str">
        <f t="shared" si="39"/>
        <v>适用</v>
      </c>
      <c r="F286" s="17" t="str">
        <f>IF(TRUE,IF(COUNTIFS(资产清单!$A$6:$A$25,A286)&lt;&gt;1,"",IF(INDEX(资产清单!$I$6:$I$25,MATCH(A286,资产清单!$A$6:$A$25,0))="","",INDEX(资产清单!$I$6:$I$25,MATCH(A286,资产清单!$A$6:$A$25,0)))),"不适用")</f>
        <v>办公用房</v>
      </c>
      <c r="G286" s="17" t="str">
        <f>IF(TRUE,IF(COUNTIFS(市场案例库!$A$6:$A$35,C286)&lt;&gt;1,"",IF(INDEX(市场案例库!$O$6:$O$35,MATCH(C286,市场案例库!$A$6:$A$35,0))="","",INDEX(市场案例库!$O$6:$O$35,MATCH(C286,市场案例库!$A$6:$A$35,0)))),"不适用")</f>
        <v>办公用房</v>
      </c>
      <c r="H286" s="19">
        <f>测算参数!$B$6</f>
        <v>100</v>
      </c>
      <c r="I286" s="10">
        <v>100</v>
      </c>
      <c r="J286" s="20">
        <f t="shared" si="40"/>
        <v>1</v>
      </c>
      <c r="K286" s="16" t="s">
        <v>238</v>
      </c>
      <c r="L286" s="16" t="s">
        <v>215</v>
      </c>
      <c r="M286" s="16" t="str">
        <f t="shared" si="36"/>
        <v>模拟评分记录完整</v>
      </c>
      <c r="N286" s="8" t="s">
        <v>164</v>
      </c>
    </row>
    <row r="287" spans="1:14" ht="46.05" customHeight="1">
      <c r="A287" s="16" t="s">
        <v>78</v>
      </c>
      <c r="B287" s="16">
        <v>3</v>
      </c>
      <c r="C287" s="17" t="str">
        <f>三案例选用!D11</f>
        <v>SC-012</v>
      </c>
      <c r="D287" s="16" t="s">
        <v>225</v>
      </c>
      <c r="E287" s="16" t="str">
        <f t="shared" si="39"/>
        <v>适用</v>
      </c>
      <c r="F287" s="17" t="str">
        <f>IF(TRUE,IF(COUNTIFS(资产清单!$A$6:$A$25,A287)&lt;&gt;1,"",IF(INDEX(资产清单!$I$6:$I$25,MATCH(A287,资产清单!$A$6:$A$25,0))="","",INDEX(资产清单!$I$6:$I$25,MATCH(A287,资产清单!$A$6:$A$25,0)))),"不适用")</f>
        <v>办公用房</v>
      </c>
      <c r="G287" s="17" t="str">
        <f>IF(TRUE,IF(COUNTIFS(市场案例库!$A$6:$A$35,C287)&lt;&gt;1,"",IF(INDEX(市场案例库!$O$6:$O$35,MATCH(C287,市场案例库!$A$6:$A$35,0))="","",INDEX(市场案例库!$O$6:$O$35,MATCH(C287,市场案例库!$A$6:$A$35,0)))),"不适用")</f>
        <v>办公用房</v>
      </c>
      <c r="H287" s="19">
        <f>测算参数!$B$6</f>
        <v>100</v>
      </c>
      <c r="I287" s="10">
        <v>100</v>
      </c>
      <c r="J287" s="20">
        <f t="shared" si="40"/>
        <v>1</v>
      </c>
      <c r="K287" s="16" t="s">
        <v>238</v>
      </c>
      <c r="L287" s="16" t="s">
        <v>215</v>
      </c>
      <c r="M287" s="16" t="str">
        <f t="shared" si="36"/>
        <v>模拟评分记录完整</v>
      </c>
      <c r="N287" s="8" t="s">
        <v>164</v>
      </c>
    </row>
    <row r="288" spans="1:14" ht="46.05" customHeight="1">
      <c r="A288" s="16" t="s">
        <v>78</v>
      </c>
      <c r="B288" s="16">
        <v>3</v>
      </c>
      <c r="C288" s="17" t="str">
        <f>三案例选用!D11</f>
        <v>SC-012</v>
      </c>
      <c r="D288" s="16" t="s">
        <v>226</v>
      </c>
      <c r="E288" s="16" t="str">
        <f t="shared" si="39"/>
        <v>适用</v>
      </c>
      <c r="F288" s="17" t="str">
        <f>IF(TRUE,IF(COUNTIFS(资产清单!$A$6:$A$25,A288)&lt;&gt;1,"",IF(INDEX(资产清单!$I$6:$I$25,MATCH(A288,资产清单!$A$6:$A$25,0))="","",INDEX(资产清单!$I$6:$I$25,MATCH(A288,资产清单!$A$6:$A$25,0)))),"不适用")</f>
        <v>办公用房</v>
      </c>
      <c r="G288" s="17" t="str">
        <f>IF(TRUE,IF(COUNTIFS(市场案例库!$A$6:$A$35,C288)&lt;&gt;1,"",IF(INDEX(市场案例库!$O$6:$O$35,MATCH(C288,市场案例库!$A$6:$A$35,0))="","",INDEX(市场案例库!$O$6:$O$35,MATCH(C288,市场案例库!$A$6:$A$35,0)))),"不适用")</f>
        <v>办公用房</v>
      </c>
      <c r="H288" s="19">
        <f>测算参数!$B$6</f>
        <v>100</v>
      </c>
      <c r="I288" s="10">
        <v>100</v>
      </c>
      <c r="J288" s="20">
        <f t="shared" si="40"/>
        <v>1</v>
      </c>
      <c r="K288" s="16" t="s">
        <v>238</v>
      </c>
      <c r="L288" s="16" t="s">
        <v>215</v>
      </c>
      <c r="M288" s="16" t="str">
        <f t="shared" si="36"/>
        <v>模拟评分记录完整</v>
      </c>
      <c r="N288" s="8" t="s">
        <v>164</v>
      </c>
    </row>
    <row r="289" spans="1:14" ht="46.05" customHeight="1">
      <c r="A289" s="16" t="s">
        <v>78</v>
      </c>
      <c r="B289" s="16">
        <v>3</v>
      </c>
      <c r="C289" s="17" t="str">
        <f>三案例选用!D11</f>
        <v>SC-012</v>
      </c>
      <c r="D289" s="16" t="s">
        <v>227</v>
      </c>
      <c r="E289" s="16" t="str">
        <f t="shared" si="39"/>
        <v>适用</v>
      </c>
      <c r="F289" s="17" t="str">
        <f>IF(TRUE,IF(COUNTIFS(资产清单!$A$6:$A$25,A289)&lt;&gt;1,"",IF(INDEX(资产清单!$I$6:$I$25,MATCH(A289,资产清单!$A$6:$A$25,0))="","",INDEX(资产清单!$I$6:$I$25,MATCH(A289,资产清单!$A$6:$A$25,0)))),"不适用")</f>
        <v>办公用房</v>
      </c>
      <c r="G289" s="17" t="str">
        <f>IF(TRUE,IF(COUNTIFS(市场案例库!$A$6:$A$35,C289)&lt;&gt;1,"",IF(INDEX(市场案例库!$O$6:$O$35,MATCH(C289,市场案例库!$A$6:$A$35,0))="","",INDEX(市场案例库!$O$6:$O$35,MATCH(C289,市场案例库!$A$6:$A$35,0)))),"不适用")</f>
        <v>办公用房</v>
      </c>
      <c r="H289" s="19">
        <f>测算参数!$B$6</f>
        <v>100</v>
      </c>
      <c r="I289" s="10">
        <v>100</v>
      </c>
      <c r="J289" s="20">
        <f t="shared" si="40"/>
        <v>1</v>
      </c>
      <c r="K289" s="16" t="s">
        <v>238</v>
      </c>
      <c r="L289" s="16" t="s">
        <v>215</v>
      </c>
      <c r="M289" s="16" t="str">
        <f t="shared" si="36"/>
        <v>模拟评分记录完整</v>
      </c>
      <c r="N289" s="8" t="s">
        <v>164</v>
      </c>
    </row>
    <row r="290" spans="1:14" ht="46.05" customHeight="1">
      <c r="A290" s="16" t="s">
        <v>78</v>
      </c>
      <c r="B290" s="16">
        <v>3</v>
      </c>
      <c r="C290" s="17" t="str">
        <f>三案例选用!D11</f>
        <v>SC-012</v>
      </c>
      <c r="D290" s="16" t="s">
        <v>228</v>
      </c>
      <c r="E290" s="17" t="str">
        <f>IF(AND(IF(COUNTIFS(资产清单!$A$6:$A$25,A290)&lt;&gt;1,"",IF(INDEX(资产清单!$H$6:$H$25,MATCH(A290,资产清单!$A$6:$A$25,0))="","",INDEX(资产清单!$H$6:$H$25,MATCH(A290,资产清单!$A$6:$A$25,0))))&lt;&gt;"场地",IF(COUNTIFS(资产清单!$A$6:$A$25,A290)&lt;&gt;1,"",IF(INDEX(资产清单!$H$6:$H$25,MATCH(A290,资产清单!$A$6:$A$25,0))="","",INDEX(资产清单!$H$6:$H$25,MATCH(A290,资产清单!$A$6:$A$25,0))))&lt;&gt;"车位",IF(COUNTIFS(资产清单!$A$6:$A$25,A290)&lt;&gt;1,"",IF(INDEX(资产清单!$H$6:$H$25,MATCH(A290,资产清单!$A$6:$A$25,0))="","",INDEX(资产清单!$H$6:$H$25,MATCH(A290,资产清单!$A$6:$A$25,0))))&lt;&gt;"通信基站"),"适用","不适用采用100/100")</f>
        <v>适用</v>
      </c>
      <c r="F290" s="17" t="str">
        <f>IF(AND(IF(COUNTIFS(资产清单!$A$6:$A$25,A290)&lt;&gt;1,"",IF(INDEX(资产清单!$H$6:$H$25,MATCH(A290,资产清单!$A$6:$A$25,0))="","",INDEX(资产清单!$H$6:$H$25,MATCH(A290,资产清单!$A$6:$A$25,0))))&lt;&gt;"场地",IF(COUNTIFS(资产清单!$A$6:$A$25,A290)&lt;&gt;1,"",IF(INDEX(资产清单!$H$6:$H$25,MATCH(A290,资产清单!$A$6:$A$25,0))="","",INDEX(资产清单!$H$6:$H$25,MATCH(A290,资产清单!$A$6:$A$25,0))))&lt;&gt;"车位",IF(COUNTIFS(资产清单!$A$6:$A$25,A290)&lt;&gt;1,"",IF(INDEX(资产清单!$H$6:$H$25,MATCH(A290,资产清单!$A$6:$A$25,0))="","",INDEX(资产清单!$H$6:$H$25,MATCH(A290,资产清单!$A$6:$A$25,0))))&lt;&gt;"通信基站"),IF(COUNTIFS(资产清单!$A$6:$A$25,A290)&lt;&gt;1,"",IF(INDEX(资产清单!$I$6:$I$25,MATCH(A290,资产清单!$A$6:$A$25,0))="","",INDEX(资产清单!$I$6:$I$25,MATCH(A290,资产清单!$A$6:$A$25,0)))),"不适用")</f>
        <v>办公用房</v>
      </c>
      <c r="G290" s="17" t="str">
        <f>IF(AND(IF(COUNTIFS(资产清单!$A$6:$A$25,A290)&lt;&gt;1,"",IF(INDEX(资产清单!$H$6:$H$25,MATCH(A290,资产清单!$A$6:$A$25,0))="","",INDEX(资产清单!$H$6:$H$25,MATCH(A290,资产清单!$A$6:$A$25,0))))&lt;&gt;"场地",IF(COUNTIFS(资产清单!$A$6:$A$25,A290)&lt;&gt;1,"",IF(INDEX(资产清单!$H$6:$H$25,MATCH(A290,资产清单!$A$6:$A$25,0))="","",INDEX(资产清单!$H$6:$H$25,MATCH(A290,资产清单!$A$6:$A$25,0))))&lt;&gt;"车位",IF(COUNTIFS(资产清单!$A$6:$A$25,A290)&lt;&gt;1,"",IF(INDEX(资产清单!$H$6:$H$25,MATCH(A290,资产清单!$A$6:$A$25,0))="","",INDEX(资产清单!$H$6:$H$25,MATCH(A290,资产清单!$A$6:$A$25,0))))&lt;&gt;"通信基站"),IF(COUNTIFS(市场案例库!$A$6:$A$35,C290)&lt;&gt;1,"",IF(INDEX(市场案例库!$O$6:$O$35,MATCH(C290,市场案例库!$A$6:$A$35,0))="","",INDEX(市场案例库!$O$6:$O$35,MATCH(C290,市场案例库!$A$6:$A$35,0)))),"不适用")</f>
        <v>办公用房</v>
      </c>
      <c r="H290" s="19">
        <f>测算参数!$B$6</f>
        <v>100</v>
      </c>
      <c r="I290" s="10">
        <v>100</v>
      </c>
      <c r="J290" s="21">
        <f>IF(OR(C290&lt;&gt;N290,COUNT(H290:I290)&lt;&gt;2,H290&lt;=0,I290&lt;=0),"",IF(AND(IF(COUNTIFS(资产清单!$A$6:$A$25,A290)&lt;&gt;1,"",IF(INDEX(资产清单!$H$6:$H$25,MATCH(A290,资产清单!$A$6:$A$25,0))="","",INDEX(资产清单!$H$6:$H$25,MATCH(A290,资产清单!$A$6:$A$25,0))))&lt;&gt;"场地",IF(COUNTIFS(资产清单!$A$6:$A$25,A290)&lt;&gt;1,"",IF(INDEX(资产清单!$H$6:$H$25,MATCH(A290,资产清单!$A$6:$A$25,0))="","",INDEX(资产清单!$H$6:$H$25,MATCH(A290,资产清单!$A$6:$A$25,0))))&lt;&gt;"车位",IF(COUNTIFS(资产清单!$A$6:$A$25,A290)&lt;&gt;1,"",IF(INDEX(资产清单!$H$6:$H$25,MATCH(A290,资产清单!$A$6:$A$25,0))="","",INDEX(资产清单!$H$6:$H$25,MATCH(A290,资产清单!$A$6:$A$25,0))))&lt;&gt;"通信基站"),H290/I290,H290/H290))</f>
        <v>1</v>
      </c>
      <c r="K290" s="16" t="s">
        <v>238</v>
      </c>
      <c r="L290" s="16" t="s">
        <v>215</v>
      </c>
      <c r="M290" s="16" t="str">
        <f t="shared" si="36"/>
        <v>模拟评分记录完整</v>
      </c>
      <c r="N290" s="8" t="s">
        <v>164</v>
      </c>
    </row>
    <row r="291" spans="1:14" ht="46.05" customHeight="1">
      <c r="A291" s="16" t="s">
        <v>78</v>
      </c>
      <c r="B291" s="16">
        <v>3</v>
      </c>
      <c r="C291" s="17" t="str">
        <f>三案例选用!D11</f>
        <v>SC-012</v>
      </c>
      <c r="D291" s="16" t="s">
        <v>229</v>
      </c>
      <c r="E291" s="17" t="str">
        <f>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"适用","不适用采用100/100")</f>
        <v>适用</v>
      </c>
      <c r="F291" s="17">
        <f>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IF(COUNTIFS(资产清单!$A$6:$A$25,A291)&lt;&gt;1,"",IF(COUNT(INDEX(资产清单!$N$6:$N$25,MATCH(A291,资产清单!$A$6:$A$25,0)))&lt;&gt;1,"",INDEX(资产清单!$N$6:$N$25,MATCH(A291,资产清单!$A$6:$A$25,0)))),"不适用")</f>
        <v>2</v>
      </c>
      <c r="G291" s="17">
        <f>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IF(COUNTIFS(市场案例库!$A$6:$A$35,C291)&lt;&gt;1,"",IF(COUNT(INDEX(市场案例库!$I$6:$I$35,MATCH(C291,市场案例库!$A$6:$A$35,0)))&lt;&gt;1,"",INDEX(市场案例库!$I$6:$I$35,MATCH(C291,市场案例库!$A$6:$A$35,0)))),"不适用")</f>
        <v>2</v>
      </c>
      <c r="H291" s="19">
        <f>测算参数!$B$6</f>
        <v>100</v>
      </c>
      <c r="I291" s="19">
        <f>IF(OR(COUNTIFS(市场案例库!$A$6:$A$35,C291)&lt;&gt;1,AND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OR(COUNT(IF(COUNTIFS(资产清单!$A$6:$A$25,A291)&lt;&gt;1,"",IF(COUNT(INDEX(资产清单!$N$6:$N$25,MATCH(A291,资产清单!$A$6:$A$25,0)))&lt;&gt;1,"",INDEX(资产清单!$N$6:$N$25,MATCH(A291,资产清单!$A$6:$A$25,0)))),IF(COUNTIFS(市场案例库!$A$6:$A$35,C291)&lt;&gt;1,"",IF(COUNT(INDEX(市场案例库!$I$6:$I$35,MATCH(C291,市场案例库!$A$6:$A$35,0)))&lt;&gt;1,"",INDEX(市场案例库!$I$6:$I$35,MATCH(C291,市场案例库!$A$6:$A$35,0)))))&lt;&gt;2,IF(COUNTIFS(资产清单!$A$6:$A$25,A291)&lt;&gt;1,"",IF(COUNT(INDEX(资产清单!$N$6:$N$25,MATCH(A291,资产清单!$A$6:$A$25,0)))&lt;&gt;1,"",INDEX(资产清单!$N$6:$N$25,MATCH(A291,资产清单!$A$6:$A$25,0))))&lt;1,IF(COUNTIFS(资产清单!$A$6:$A$25,A291)&lt;&gt;1,"",IF(COUNT(INDEX(资产清单!$N$6:$N$25,MATCH(A291,资产清单!$A$6:$A$25,0)))&lt;&gt;1,"",INDEX(资产清单!$N$6:$N$25,MATCH(A291,资产清单!$A$6:$A$25,0))))&gt;4,IF(COUNTIFS(市场案例库!$A$6:$A$35,C291)&lt;&gt;1,"",IF(COUNT(INDEX(市场案例库!$I$6:$I$35,MATCH(C291,市场案例库!$A$6:$A$35,0)))&lt;&gt;1,"",INDEX(市场案例库!$I$6:$I$35,MATCH(C291,市场案例库!$A$6:$A$35,0))))&lt;1,IF(COUNTIFS(市场案例库!$A$6:$A$35,C291)&lt;&gt;1,"",IF(COUNT(INDEX(市场案例库!$I$6:$I$35,MATCH(C291,市场案例库!$A$6:$A$35,0)))&lt;&gt;1,"",INDEX(市场案例库!$I$6:$I$35,MATCH(C291,市场案例库!$A$6:$A$35,0))))&gt;4))),"",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INDEX(测算参数!$B$35:$B$41,MATCH(IF(COUNTIFS(市场案例库!$A$6:$A$35,C291)&lt;&gt;1,"",IF(COUNT(INDEX(市场案例库!$I$6:$I$35,MATCH(C291,市场案例库!$A$6:$A$35,0)))&lt;&gt;1,"",INDEX(市场案例库!$I$6:$I$35,MATCH(C291,市场案例库!$A$6:$A$35,0))))-IF(COUNTIFS(资产清单!$A$6:$A$25,A291)&lt;&gt;1,"",IF(COUNT(INDEX(资产清单!$N$6:$N$25,MATCH(A291,资产清单!$A$6:$A$25,0)))&lt;&gt;1,"",INDEX(资产清单!$N$6:$N$25,MATCH(A291,资产清单!$A$6:$A$25,0)))),测算参数!$A$35:$A$41,0)),测算参数!$B$6))</f>
        <v>100</v>
      </c>
      <c r="J291" s="21">
        <f>IF(OR(C291&lt;&gt;N291,COUNT(H291:I291)&lt;&gt;2,H291&lt;=0,I291&lt;=0),"",IF(AND(IF(COUNTIFS(资产清单!$A$6:$A$25,A291)&lt;&gt;1,"",IF(INDEX(资产清单!$H$6:$H$25,MATCH(A291,资产清单!$A$6:$A$25,0))="","",INDEX(资产清单!$H$6:$H$25,MATCH(A291,资产清单!$A$6:$A$25,0))))&lt;&gt;"场地",IF(COUNTIFS(资产清单!$A$6:$A$25,A291)&lt;&gt;1,"",IF(INDEX(资产清单!$H$6:$H$25,MATCH(A291,资产清单!$A$6:$A$25,0))="","",INDEX(资产清单!$H$6:$H$25,MATCH(A291,资产清单!$A$6:$A$25,0))))&lt;&gt;"车位",IF(COUNTIFS(资产清单!$A$6:$A$25,A291)&lt;&gt;1,"",IF(INDEX(资产清单!$H$6:$H$25,MATCH(A291,资产清单!$A$6:$A$25,0))="","",INDEX(资产清单!$H$6:$H$25,MATCH(A291,资产清单!$A$6:$A$25,0))))&lt;&gt;"通信基站"),H291/I291,H291/H291))</f>
        <v>1</v>
      </c>
      <c r="K291" s="16" t="s">
        <v>238</v>
      </c>
      <c r="L291" s="16" t="s">
        <v>230</v>
      </c>
      <c r="M291" s="16" t="str">
        <f t="shared" si="36"/>
        <v>模拟评分记录完整</v>
      </c>
      <c r="N291" s="8" t="s">
        <v>164</v>
      </c>
    </row>
    <row r="292" spans="1:14" ht="46.05" customHeight="1">
      <c r="A292" s="16" t="s">
        <v>78</v>
      </c>
      <c r="B292" s="16">
        <v>3</v>
      </c>
      <c r="C292" s="17" t="str">
        <f>三案例选用!D11</f>
        <v>SC-012</v>
      </c>
      <c r="D292" s="16" t="s">
        <v>231</v>
      </c>
      <c r="E292" s="17" t="str">
        <f>IF(AND(IF(COUNTIFS(资产清单!$A$6:$A$25,A292)&lt;&gt;1,"",IF(INDEX(资产清单!$H$6:$H$25,MATCH(A292,资产清单!$A$6:$A$25,0))="","",INDEX(资产清单!$H$6:$H$25,MATCH(A292,资产清单!$A$6:$A$25,0))))&lt;&gt;"场地",IF(COUNTIFS(资产清单!$A$6:$A$25,A292)&lt;&gt;1,"",IF(INDEX(资产清单!$H$6:$H$25,MATCH(A292,资产清单!$A$6:$A$25,0))="","",INDEX(资产清单!$H$6:$H$25,MATCH(A292,资产清单!$A$6:$A$25,0))))&lt;&gt;"车位",IF(COUNTIFS(资产清单!$A$6:$A$25,A292)&lt;&gt;1,"",IF(INDEX(资产清单!$H$6:$H$25,MATCH(A292,资产清单!$A$6:$A$25,0))="","",INDEX(资产清单!$H$6:$H$25,MATCH(A292,资产清单!$A$6:$A$25,0))))&lt;&gt;"通信基站"),"适用","不适用采用100/100")</f>
        <v>适用</v>
      </c>
      <c r="F292" s="17" t="str">
        <f>IF(AND(IF(COUNTIFS(资产清单!$A$6:$A$25,A292)&lt;&gt;1,"",IF(INDEX(资产清单!$H$6:$H$25,MATCH(A292,资产清单!$A$6:$A$25,0))="","",INDEX(资产清单!$H$6:$H$25,MATCH(A292,资产清单!$A$6:$A$25,0))))&lt;&gt;"场地",IF(COUNTIFS(资产清单!$A$6:$A$25,A292)&lt;&gt;1,"",IF(INDEX(资产清单!$H$6:$H$25,MATCH(A292,资产清单!$A$6:$A$25,0))="","",INDEX(资产清单!$H$6:$H$25,MATCH(A292,资产清单!$A$6:$A$25,0))))&lt;&gt;"车位",IF(COUNTIFS(资产清单!$A$6:$A$25,A292)&lt;&gt;1,"",IF(INDEX(资产清单!$H$6:$H$25,MATCH(A292,资产清单!$A$6:$A$25,0))="","",INDEX(资产清单!$H$6:$H$25,MATCH(A292,资产清单!$A$6:$A$25,0))))&lt;&gt;"通信基站"),IF(COUNTIFS(资产清单!$A$6:$A$25,A292)&lt;&gt;1,"",IF(INDEX(资产清单!$I$6:$I$25,MATCH(A292,资产清单!$A$6:$A$25,0))="","",INDEX(资产清单!$I$6:$I$25,MATCH(A292,资产清单!$A$6:$A$25,0)))),"不适用")</f>
        <v>办公用房</v>
      </c>
      <c r="G292" s="17" t="str">
        <f>IF(AND(IF(COUNTIFS(资产清单!$A$6:$A$25,A292)&lt;&gt;1,"",IF(INDEX(资产清单!$H$6:$H$25,MATCH(A292,资产清单!$A$6:$A$25,0))="","",INDEX(资产清单!$H$6:$H$25,MATCH(A292,资产清单!$A$6:$A$25,0))))&lt;&gt;"场地",IF(COUNTIFS(资产清单!$A$6:$A$25,A292)&lt;&gt;1,"",IF(INDEX(资产清单!$H$6:$H$25,MATCH(A292,资产清单!$A$6:$A$25,0))="","",INDEX(资产清单!$H$6:$H$25,MATCH(A292,资产清单!$A$6:$A$25,0))))&lt;&gt;"车位",IF(COUNTIFS(资产清单!$A$6:$A$25,A292)&lt;&gt;1,"",IF(INDEX(资产清单!$H$6:$H$25,MATCH(A292,资产清单!$A$6:$A$25,0))="","",INDEX(资产清单!$H$6:$H$25,MATCH(A292,资产清单!$A$6:$A$25,0))))&lt;&gt;"通信基站"),IF(COUNTIFS(市场案例库!$A$6:$A$35,C292)&lt;&gt;1,"",IF(INDEX(市场案例库!$O$6:$O$35,MATCH(C292,市场案例库!$A$6:$A$35,0))="","",INDEX(市场案例库!$O$6:$O$35,MATCH(C292,市场案例库!$A$6:$A$35,0)))),"不适用")</f>
        <v>办公用房</v>
      </c>
      <c r="H292" s="19">
        <f>测算参数!$B$6</f>
        <v>100</v>
      </c>
      <c r="I292" s="10">
        <v>100</v>
      </c>
      <c r="J292" s="21">
        <f>IF(OR(C292&lt;&gt;N292,COUNT(H292:I292)&lt;&gt;2,H292&lt;=0,I292&lt;=0),"",IF(AND(IF(COUNTIFS(资产清单!$A$6:$A$25,A292)&lt;&gt;1,"",IF(INDEX(资产清单!$H$6:$H$25,MATCH(A292,资产清单!$A$6:$A$25,0))="","",INDEX(资产清单!$H$6:$H$25,MATCH(A292,资产清单!$A$6:$A$25,0))))&lt;&gt;"场地",IF(COUNTIFS(资产清单!$A$6:$A$25,A292)&lt;&gt;1,"",IF(INDEX(资产清单!$H$6:$H$25,MATCH(A292,资产清单!$A$6:$A$25,0))="","",INDEX(资产清单!$H$6:$H$25,MATCH(A292,资产清单!$A$6:$A$25,0))))&lt;&gt;"车位",IF(COUNTIFS(资产清单!$A$6:$A$25,A292)&lt;&gt;1,"",IF(INDEX(资产清单!$H$6:$H$25,MATCH(A292,资产清单!$A$6:$A$25,0))="","",INDEX(资产清单!$H$6:$H$25,MATCH(A292,资产清单!$A$6:$A$25,0))))&lt;&gt;"通信基站"),H292/I292,H292/H292))</f>
        <v>1</v>
      </c>
      <c r="K292" s="16" t="s">
        <v>238</v>
      </c>
      <c r="L292" s="16" t="s">
        <v>215</v>
      </c>
      <c r="M292" s="16" t="str">
        <f t="shared" si="36"/>
        <v>模拟评分记录完整</v>
      </c>
      <c r="N292" s="8" t="s">
        <v>164</v>
      </c>
    </row>
    <row r="293" spans="1:14" ht="46.05" customHeight="1">
      <c r="A293" s="16" t="s">
        <v>78</v>
      </c>
      <c r="B293" s="16">
        <v>3</v>
      </c>
      <c r="C293" s="17" t="str">
        <f>三案例选用!D11</f>
        <v>SC-012</v>
      </c>
      <c r="D293" s="16" t="s">
        <v>232</v>
      </c>
      <c r="E293" s="16" t="str">
        <f>IF(TRUE,"适用","不适用采用100/100")</f>
        <v>适用</v>
      </c>
      <c r="F293" s="17" t="str">
        <f>IF(TRUE,IF(COUNTIFS(资产清单!$A$6:$A$25,A293)&lt;&gt;1,"",IF(INDEX(资产清单!$I$6:$I$25,MATCH(A293,资产清单!$A$6:$A$25,0))="","",INDEX(资产清单!$I$6:$I$25,MATCH(A293,资产清单!$A$6:$A$25,0)))),"不适用")</f>
        <v>办公用房</v>
      </c>
      <c r="G293" s="17" t="str">
        <f>IF(TRUE,IF(COUNTIFS(市场案例库!$A$6:$A$35,C293)&lt;&gt;1,"",IF(INDEX(市场案例库!$O$6:$O$35,MATCH(C293,市场案例库!$A$6:$A$35,0))="","",INDEX(市场案例库!$O$6:$O$35,MATCH(C293,市场案例库!$A$6:$A$35,0)))),"不适用")</f>
        <v>办公用房</v>
      </c>
      <c r="H293" s="19">
        <f>测算参数!$B$6</f>
        <v>100</v>
      </c>
      <c r="I293" s="10">
        <v>100</v>
      </c>
      <c r="J293" s="20">
        <f>IF(OR(C293&lt;&gt;N293,COUNT(H293:I293)&lt;&gt;2,H293&lt;=0,I293&lt;=0),"",IF(TRUE,H293/I293,H293/H293))</f>
        <v>1</v>
      </c>
      <c r="K293" s="16" t="s">
        <v>238</v>
      </c>
      <c r="L293" s="16" t="s">
        <v>215</v>
      </c>
      <c r="M293" s="16" t="str">
        <f t="shared" si="36"/>
        <v>模拟评分记录完整</v>
      </c>
      <c r="N293" s="8" t="s">
        <v>164</v>
      </c>
    </row>
    <row r="294" spans="1:14" ht="46.05" customHeight="1">
      <c r="A294" s="16" t="s">
        <v>79</v>
      </c>
      <c r="B294" s="16">
        <v>1</v>
      </c>
      <c r="C294" s="17" t="str">
        <f>三案例选用!B12</f>
        <v>SC-013</v>
      </c>
      <c r="D294" s="16" t="s">
        <v>209</v>
      </c>
      <c r="E294" s="16" t="str">
        <f>IF(TRUE,"适用","不适用采用100/100")</f>
        <v>适用</v>
      </c>
      <c r="F294" s="17" t="str">
        <f>IF(TRUE,IF(COUNTIFS(资产清单!$A$6:$A$25,A294)&lt;&gt;1,"",IF(INDEX(资产清单!$I$6:$I$25,MATCH(A294,资产清单!$A$6:$A$25,0))="","",INDEX(资产清单!$I$6:$I$25,MATCH(A294,资产清单!$A$6:$A$25,0)))),"不适用")</f>
        <v>仓储用房</v>
      </c>
      <c r="G294" s="17" t="str">
        <f>IF(TRUE,IF(COUNTIFS(市场案例库!$A$6:$A$35,C294)&lt;&gt;1,"",IF(INDEX(市场案例库!$O$6:$O$35,MATCH(C294,市场案例库!$A$6:$A$35,0))="","",INDEX(市场案例库!$O$6:$O$35,MATCH(C294,市场案例库!$A$6:$A$35,0)))),"不适用")</f>
        <v>仓储用房</v>
      </c>
      <c r="H294" s="19">
        <f>测算参数!$B$6</f>
        <v>100</v>
      </c>
      <c r="I294" s="19">
        <f>IF(OR(COUNTIFS(市场案例库!$A$6:$A$35,C294)&lt;&gt;1),"",IF(COUNTIFS(市场案例库!$A$6:$A$35,C294)&lt;&gt;1,"",IF(COUNT(INDEX(市场案例库!$M$6:$M$35,MATCH(C294,市场案例库!$A$6:$A$35,0)))&lt;&gt;1,"",INDEX(市场案例库!$M$6:$M$35,MATCH(C294,市场案例库!$A$6:$A$35,0)))))</f>
        <v>102</v>
      </c>
      <c r="J294" s="20">
        <f>IF(OR(C294&lt;&gt;N294,COUNT(H294:I294)&lt;&gt;2,H294&lt;=0,I294&lt;=0),"",IF(TRUE,H294/I294,H294/H294))</f>
        <v>0.98039215686274506</v>
      </c>
      <c r="K294" s="16" t="s">
        <v>239</v>
      </c>
      <c r="L294" s="16" t="s">
        <v>211</v>
      </c>
      <c r="M294" s="16" t="str">
        <f t="shared" si="36"/>
        <v>模拟评分记录完整</v>
      </c>
      <c r="N294" s="8" t="s">
        <v>165</v>
      </c>
    </row>
    <row r="295" spans="1:14" ht="46.05" customHeight="1">
      <c r="A295" s="16" t="s">
        <v>79</v>
      </c>
      <c r="B295" s="16">
        <v>1</v>
      </c>
      <c r="C295" s="17" t="str">
        <f>三案例选用!B12</f>
        <v>SC-013</v>
      </c>
      <c r="D295" s="16" t="s">
        <v>212</v>
      </c>
      <c r="E295" s="16" t="str">
        <f>IF(TRUE,"适用","不适用采用100/100")</f>
        <v>适用</v>
      </c>
      <c r="F295" s="17" t="str">
        <f>IF(TRUE,IF(COUNTIFS(资产清单!$A$6:$A$25,A295)&lt;&gt;1,"",IF(INDEX(资产清单!$I$6:$I$25,MATCH(A295,资产清单!$A$6:$A$25,0))="","",INDEX(资产清单!$I$6:$I$25,MATCH(A295,资产清单!$A$6:$A$25,0)))),"不适用")</f>
        <v>仓储用房</v>
      </c>
      <c r="G295" s="17" t="str">
        <f>IF(TRUE,IF(COUNTIFS(市场案例库!$A$6:$A$35,C295)&lt;&gt;1,"",IF(INDEX(市场案例库!$O$6:$O$35,MATCH(C295,市场案例库!$A$6:$A$35,0))="","",INDEX(市场案例库!$O$6:$O$35,MATCH(C295,市场案例库!$A$6:$A$35,0)))),"不适用")</f>
        <v>仓储用房</v>
      </c>
      <c r="H295" s="19">
        <f>测算参数!$B$6</f>
        <v>100</v>
      </c>
      <c r="I295" s="19">
        <f>IF(OR(COUNTIFS(市场案例库!$A$6:$A$35,C295)&lt;&gt;1),"",IF(COUNTIFS(市场案例库!$A$6:$A$35,C295)&lt;&gt;1,"",IF(COUNT(INDEX(市场案例库!$N$6:$N$35,MATCH(C295,市场案例库!$A$6:$A$35,0)))&lt;&gt;1,"",INDEX(市场案例库!$N$6:$N$35,MATCH(C295,市场案例库!$A$6:$A$35,0)))))</f>
        <v>100</v>
      </c>
      <c r="J295" s="20">
        <f>IF(OR(C295&lt;&gt;N295,COUNT(H295:I295)&lt;&gt;2,H295&lt;=0,I295&lt;=0),"",IF(TRUE,H295/I295,H295/H295))</f>
        <v>1</v>
      </c>
      <c r="K295" s="16" t="s">
        <v>239</v>
      </c>
      <c r="L295" s="16" t="s">
        <v>213</v>
      </c>
      <c r="M295" s="16" t="str">
        <f t="shared" si="36"/>
        <v>模拟评分记录完整</v>
      </c>
      <c r="N295" s="8" t="s">
        <v>165</v>
      </c>
    </row>
    <row r="296" spans="1:14" ht="46.05" customHeight="1">
      <c r="A296" s="16" t="s">
        <v>79</v>
      </c>
      <c r="B296" s="16">
        <v>1</v>
      </c>
      <c r="C296" s="17" t="str">
        <f>三案例选用!B12</f>
        <v>SC-013</v>
      </c>
      <c r="D296" s="16" t="s">
        <v>214</v>
      </c>
      <c r="E296" s="16" t="str">
        <f>IF(TRUE,"适用","不适用采用100/100")</f>
        <v>适用</v>
      </c>
      <c r="F296" s="17" t="str">
        <f>IF(TRUE,IF(COUNTIFS(资产清单!$A$6:$A$25,A296)&lt;&gt;1,"",IF(INDEX(资产清单!$I$6:$I$25,MATCH(A296,资产清单!$A$6:$A$25,0))="","",INDEX(资产清单!$I$6:$I$25,MATCH(A296,资产清单!$A$6:$A$25,0)))),"不适用")</f>
        <v>仓储用房</v>
      </c>
      <c r="G296" s="17" t="str">
        <f>IF(TRUE,IF(COUNTIFS(市场案例库!$A$6:$A$35,C296)&lt;&gt;1,"",IF(INDEX(市场案例库!$O$6:$O$35,MATCH(C296,市场案例库!$A$6:$A$35,0))="","",INDEX(市场案例库!$O$6:$O$35,MATCH(C296,市场案例库!$A$6:$A$35,0)))),"不适用")</f>
        <v>仓储用房</v>
      </c>
      <c r="H296" s="19">
        <f>测算参数!$B$6</f>
        <v>100</v>
      </c>
      <c r="I296" s="10">
        <v>100</v>
      </c>
      <c r="J296" s="20">
        <f>IF(OR(C296&lt;&gt;N296,COUNT(H296:I296)&lt;&gt;2,H296&lt;=0,I296&lt;=0),"",IF(TRUE,H296/I296,H296/H296))</f>
        <v>1</v>
      </c>
      <c r="K296" s="16" t="s">
        <v>239</v>
      </c>
      <c r="L296" s="16" t="s">
        <v>215</v>
      </c>
      <c r="M296" s="16" t="str">
        <f t="shared" si="36"/>
        <v>模拟评分记录完整</v>
      </c>
      <c r="N296" s="8" t="s">
        <v>165</v>
      </c>
    </row>
    <row r="297" spans="1:14" ht="46.05" customHeight="1">
      <c r="A297" s="16" t="s">
        <v>79</v>
      </c>
      <c r="B297" s="16">
        <v>1</v>
      </c>
      <c r="C297" s="17" t="str">
        <f>三案例选用!B12</f>
        <v>SC-013</v>
      </c>
      <c r="D297" s="16" t="s">
        <v>216</v>
      </c>
      <c r="E297" s="16" t="str">
        <f>IF(TRUE,"适用","不适用采用100/100")</f>
        <v>适用</v>
      </c>
      <c r="F297" s="17" t="str">
        <f>IF(TRUE,IF(COUNTIFS(资产清单!$A$6:$A$25,A297)&lt;&gt;1,"",IF(INDEX(资产清单!$I$6:$I$25,MATCH(A297,资产清单!$A$6:$A$25,0))="","",INDEX(资产清单!$I$6:$I$25,MATCH(A297,资产清单!$A$6:$A$25,0)))),"不适用")</f>
        <v>仓储用房</v>
      </c>
      <c r="G297" s="17" t="str">
        <f>IF(TRUE,IF(COUNTIFS(市场案例库!$A$6:$A$35,C297)&lt;&gt;1,"",IF(INDEX(市场案例库!$O$6:$O$35,MATCH(C297,市场案例库!$A$6:$A$35,0))="","",INDEX(市场案例库!$O$6:$O$35,MATCH(C297,市场案例库!$A$6:$A$35,0)))),"不适用")</f>
        <v>仓储用房</v>
      </c>
      <c r="H297" s="19">
        <f>测算参数!$B$6</f>
        <v>100</v>
      </c>
      <c r="I297" s="10">
        <v>100</v>
      </c>
      <c r="J297" s="20">
        <f>IF(OR(C297&lt;&gt;N297,COUNT(H297:I297)&lt;&gt;2,H297&lt;=0,I297&lt;=0),"",IF(TRUE,H297/I297,H297/H297))</f>
        <v>1</v>
      </c>
      <c r="K297" s="16" t="s">
        <v>239</v>
      </c>
      <c r="L297" s="16" t="s">
        <v>215</v>
      </c>
      <c r="M297" s="16" t="str">
        <f t="shared" si="36"/>
        <v>模拟评分记录完整</v>
      </c>
      <c r="N297" s="8" t="s">
        <v>165</v>
      </c>
    </row>
    <row r="298" spans="1:14" ht="46.05" customHeight="1">
      <c r="A298" s="16" t="s">
        <v>79</v>
      </c>
      <c r="B298" s="16">
        <v>1</v>
      </c>
      <c r="C298" s="17" t="str">
        <f>三案例选用!B12</f>
        <v>SC-013</v>
      </c>
      <c r="D298" s="16" t="s">
        <v>217</v>
      </c>
      <c r="E298" s="17" t="str">
        <f>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"适用","不适用采用100/100")</f>
        <v>不适用采用100/100</v>
      </c>
      <c r="F298" s="17" t="str">
        <f>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IF(COUNTIFS(资产清单!$A$6:$A$25,A298)&lt;&gt;1,"",IF(COUNT(INDEX(资产清单!$M$6:$M$25,MATCH(A298,资产清单!$A$6:$A$25,0)))&lt;&gt;1,"",INDEX(资产清单!$M$6:$M$25,MATCH(A298,资产清单!$A$6:$A$25,0)))),"不适用")</f>
        <v>不适用</v>
      </c>
      <c r="G298" s="17" t="str">
        <f>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IF(COUNTIFS(市场案例库!$A$6:$A$35,C298)&lt;&gt;1,"",IF(COUNT(INDEX(市场案例库!$H$6:$H$35,MATCH(C298,市场案例库!$A$6:$A$35,0)))&lt;&gt;1,"",INDEX(市场案例库!$H$6:$H$35,MATCH(C298,市场案例库!$A$6:$A$35,0)))),"不适用")</f>
        <v>不适用</v>
      </c>
      <c r="H298" s="19">
        <f>测算参数!$B$6</f>
        <v>100</v>
      </c>
      <c r="I298" s="19">
        <f>IF(OR(COUNTIFS(市场案例库!$A$6:$A$35,C298)&lt;&gt;1,AND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COUNT(IF(COUNTIFS(资产清单!$A$6:$A$25,A298)&lt;&gt;1,"",IF(COUNT(INDEX(资产清单!$M$6:$M$25,MATCH(A298,资产清单!$A$6:$A$25,0)))&lt;&gt;1,"",INDEX(资产清单!$M$6:$M$25,MATCH(A298,资产清单!$A$6:$A$25,0)))),IF(COUNTIFS(市场案例库!$A$6:$A$35,C298)&lt;&gt;1,"",IF(COUNT(INDEX(市场案例库!$H$6:$H$35,MATCH(C298,市场案例库!$A$6:$A$35,0)))&lt;&gt;1,"",INDEX(市场案例库!$H$6:$H$35,MATCH(C298,市场案例库!$A$6:$A$35,0)))))&lt;&gt;2)),"",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INDEX(测算参数!$B$25:$B$31,MATCH(MAX(-测算参数!$B$11,MIN(测算参数!$B$11,IF(COUNTIFS(资产清单!$A$6:$A$25,A298)&lt;&gt;1,"",IF(COUNT(INDEX(资产清单!$M$6:$M$25,MATCH(A298,资产清单!$A$6:$A$25,0)))&lt;&gt;1,"",INDEX(资产清单!$M$6:$M$25,MATCH(A298,资产清单!$A$6:$A$25,0))))-IF(COUNTIFS(市场案例库!$A$6:$A$35,C298)&lt;&gt;1,"",IF(COUNT(INDEX(市场案例库!$H$6:$H$35,MATCH(C298,市场案例库!$A$6:$A$35,0)))&lt;&gt;1,"",INDEX(市场案例库!$H$6:$H$35,MATCH(C298,市场案例库!$A$6:$A$35,0)))))),测算参数!$A$25:$A$31,0)),测算参数!$B$6))</f>
        <v>100</v>
      </c>
      <c r="J298" s="21">
        <f>IF(OR(C298&lt;&gt;N298,COUNT(H298:I298)&lt;&gt;2,H298&lt;=0,I298&lt;=0),"",IF(OR(IF(COUNTIFS(资产清单!$A$6:$A$25,A298)&lt;&gt;1,"",IF(INDEX(资产清单!$H$6:$H$25,MATCH(A298,资产清单!$A$6:$A$25,0))="","",INDEX(资产清单!$H$6:$H$25,MATCH(A298,资产清单!$A$6:$A$25,0))))="商业",IF(COUNTIFS(资产清单!$A$6:$A$25,A298)&lt;&gt;1,"",IF(INDEX(资产清单!$H$6:$H$25,MATCH(A298,资产清单!$A$6:$A$25,0))="","",INDEX(资产清单!$H$6:$H$25,MATCH(A298,资产清单!$A$6:$A$25,0))))="办公",IF(COUNTIFS(资产清单!$A$6:$A$25,A298)&lt;&gt;1,"",IF(INDEX(资产清单!$H$6:$H$25,MATCH(A298,资产清单!$A$6:$A$25,0))="","",INDEX(资产清单!$H$6:$H$25,MATCH(A298,资产清单!$A$6:$A$25,0))))="住宅"),H298/I298,H298/H298))</f>
        <v>1</v>
      </c>
      <c r="K298" s="16" t="s">
        <v>239</v>
      </c>
      <c r="L298" s="16" t="s">
        <v>218</v>
      </c>
      <c r="M298" s="16" t="str">
        <f t="shared" si="36"/>
        <v>模拟评分记录完整</v>
      </c>
      <c r="N298" s="8" t="s">
        <v>165</v>
      </c>
    </row>
    <row r="299" spans="1:14" ht="46.05" customHeight="1">
      <c r="A299" s="16" t="s">
        <v>79</v>
      </c>
      <c r="B299" s="16">
        <v>1</v>
      </c>
      <c r="C299" s="17" t="str">
        <f>三案例选用!B12</f>
        <v>SC-013</v>
      </c>
      <c r="D299" s="16" t="s">
        <v>219</v>
      </c>
      <c r="E299" s="17" t="str">
        <f>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"适用","不适用采用100/100")</f>
        <v>适用</v>
      </c>
      <c r="F299" s="17">
        <f>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IF(COUNTIFS(资产清单!$A$6:$A$25,A299)&lt;&gt;1,"",IF(COUNT(INDEX(资产清单!$L$6:$L$25,MATCH(A299,资产清单!$A$6:$A$25,0)))&lt;&gt;1,"",INDEX(资产清单!$L$6:$L$25,MATCH(A299,资产清单!$A$6:$A$25,0)))),"不适用")</f>
        <v>500</v>
      </c>
      <c r="G299" s="17">
        <f>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IF(COUNTIFS(市场案例库!$A$6:$A$35,C299)&lt;&gt;1,"",IF(COUNT(INDEX(市场案例库!$G$6:$G$35,MATCH(C299,市场案例库!$A$6:$A$35,0)))&lt;&gt;1,"",INDEX(市场案例库!$G$6:$G$35,MATCH(C299,市场案例库!$A$6:$A$35,0)))),"不适用")</f>
        <v>240</v>
      </c>
      <c r="H299" s="19">
        <f>测算参数!$B$6</f>
        <v>100</v>
      </c>
      <c r="I299" s="19">
        <f>IF(OR(COUNTIFS(市场案例库!$A$6:$A$35,C299)&lt;&gt;1,AND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OR(COUNT(IF(COUNTIFS(资产清单!$A$6:$A$25,A299)&lt;&gt;1,"",IF(COUNT(INDEX(资产清单!$L$6:$L$25,MATCH(A299,资产清单!$A$6:$A$25,0)))&lt;&gt;1,"",INDEX(资产清单!$L$6:$L$25,MATCH(A299,资产清单!$A$6:$A$25,0)))),IF(COUNTIFS(市场案例库!$A$6:$A$35,C299)&lt;&gt;1,"",IF(COUNT(INDEX(市场案例库!$G$6:$G$35,MATCH(C299,市场案例库!$A$6:$A$35,0)))&lt;&gt;1,"",INDEX(市场案例库!$G$6:$G$35,MATCH(C299,市场案例库!$A$6:$A$35,0)))))&lt;&gt;2,IF(COUNTIFS(资产清单!$A$6:$A$25,A299)&lt;&gt;1,"",IF(COUNT(INDEX(资产清单!$L$6:$L$25,MATCH(A299,资产清单!$A$6:$A$25,0)))&lt;&gt;1,"",INDEX(资产清单!$L$6:$L$25,MATCH(A299,资产清单!$A$6:$A$25,0))))&lt;=0,IF(COUNTIFS(市场案例库!$A$6:$A$35,C299)&lt;&gt;1,"",IF(COUNT(INDEX(市场案例库!$G$6:$G$35,MATCH(C299,市场案例库!$A$6:$A$35,0)))&lt;&gt;1,"",INDEX(市场案例库!$G$6:$G$35,MATCH(C299,市场案例库!$A$6:$A$35,0))))&lt;=0))),"",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LOOKUP(IF(COUNTIFS(市场案例库!$A$6:$A$35,C299)&lt;&gt;1,"",IF(COUNT(INDEX(市场案例库!$G$6:$G$35,MATCH(C299,市场案例库!$A$6:$A$35,0)))&lt;&gt;1,"",INDEX(市场案例库!$G$6:$G$35,MATCH(C299,市场案例库!$A$6:$A$35,0))))/IF(COUNTIFS(资产清单!$A$6:$A$25,A299)&lt;&gt;1,"",IF(COUNT(INDEX(资产清单!$L$6:$L$25,MATCH(A299,资产清单!$A$6:$A$25,0)))&lt;&gt;1,"",INDEX(资产清单!$L$6:$L$25,MATCH(A299,资产清单!$A$6:$A$25,0)))),测算参数!$A$15:$A$21,测算参数!$C$15:$C$21),测算参数!$B$6))</f>
        <v>105</v>
      </c>
      <c r="J299" s="21">
        <f>IF(OR(C299&lt;&gt;N299,COUNT(H299:I299)&lt;&gt;2,H299&lt;=0,I299&lt;=0),"",IF(AND(IF(COUNTIFS(资产清单!$A$6:$A$25,A299)&lt;&gt;1,"",IF(INDEX(资产清单!$J$6:$J$25,MATCH(A299,资产清单!$A$6:$A$25,0))="","",INDEX(资产清单!$J$6:$J$25,MATCH(A299,资产清单!$A$6:$A$25,0))))="元/㎡/月",IF(COUNTIFS(资产清单!$A$6:$A$25,A299)&lt;&gt;1,"",IF(INDEX(资产清单!$H$6:$H$25,MATCH(A299,资产清单!$A$6:$A$25,0))="","",INDEX(资产清单!$H$6:$H$25,MATCH(A299,资产清单!$A$6:$A$25,0))))&lt;&gt;"场地"),H299/I299,H299/H299))</f>
        <v>0.95238095238095233</v>
      </c>
      <c r="K299" s="16" t="s">
        <v>239</v>
      </c>
      <c r="L299" s="16" t="s">
        <v>220</v>
      </c>
      <c r="M299" s="16" t="str">
        <f t="shared" si="36"/>
        <v>模拟评分记录完整</v>
      </c>
      <c r="N299" s="8" t="s">
        <v>165</v>
      </c>
    </row>
    <row r="300" spans="1:14" ht="46.05" customHeight="1">
      <c r="A300" s="16" t="s">
        <v>79</v>
      </c>
      <c r="B300" s="16">
        <v>1</v>
      </c>
      <c r="C300" s="17" t="str">
        <f>三案例选用!B12</f>
        <v>SC-013</v>
      </c>
      <c r="D300" s="16" t="s">
        <v>221</v>
      </c>
      <c r="E300" s="16" t="str">
        <f t="shared" ref="E300:E305" si="41">IF(TRUE,"适用","不适用采用100/100")</f>
        <v>适用</v>
      </c>
      <c r="F300" s="17" t="str">
        <f>IF(TRUE,IF(COUNTIFS(资产清单!$A$6:$A$25,A300)&lt;&gt;1,"",IF(INDEX(资产清单!$I$6:$I$25,MATCH(A300,资产清单!$A$6:$A$25,0))="","",INDEX(资产清单!$I$6:$I$25,MATCH(A300,资产清单!$A$6:$A$25,0)))),"不适用")</f>
        <v>仓储用房</v>
      </c>
      <c r="G300" s="17" t="str">
        <f>IF(TRUE,IF(COUNTIFS(市场案例库!$A$6:$A$35,C300)&lt;&gt;1,"",IF(INDEX(市场案例库!$O$6:$O$35,MATCH(C300,市场案例库!$A$6:$A$35,0))="","",INDEX(市场案例库!$O$6:$O$35,MATCH(C300,市场案例库!$A$6:$A$35,0)))),"不适用")</f>
        <v>仓储用房</v>
      </c>
      <c r="H300" s="19">
        <f>测算参数!$B$6</f>
        <v>100</v>
      </c>
      <c r="I300" s="10">
        <v>100</v>
      </c>
      <c r="J300" s="20">
        <f t="shared" ref="J300:J305" si="42">IF(OR(C300&lt;&gt;N300,COUNT(H300:I300)&lt;&gt;2,H300&lt;=0,I300&lt;=0),"",IF(TRUE,H300/I300,H300/H300))</f>
        <v>1</v>
      </c>
      <c r="K300" s="16" t="s">
        <v>239</v>
      </c>
      <c r="L300" s="16" t="s">
        <v>215</v>
      </c>
      <c r="M300" s="16" t="str">
        <f t="shared" si="36"/>
        <v>模拟评分记录完整</v>
      </c>
      <c r="N300" s="8" t="s">
        <v>165</v>
      </c>
    </row>
    <row r="301" spans="1:14" ht="46.05" customHeight="1">
      <c r="A301" s="16" t="s">
        <v>79</v>
      </c>
      <c r="B301" s="16">
        <v>1</v>
      </c>
      <c r="C301" s="17" t="str">
        <f>三案例选用!B12</f>
        <v>SC-013</v>
      </c>
      <c r="D301" s="16" t="s">
        <v>222</v>
      </c>
      <c r="E301" s="16" t="str">
        <f t="shared" si="41"/>
        <v>适用</v>
      </c>
      <c r="F301" s="17" t="str">
        <f>IF(TRUE,IF(COUNTIFS(资产清单!$A$6:$A$25,A301)&lt;&gt;1,"",IF(INDEX(资产清单!$I$6:$I$25,MATCH(A301,资产清单!$A$6:$A$25,0))="","",INDEX(资产清单!$I$6:$I$25,MATCH(A301,资产清单!$A$6:$A$25,0)))),"不适用")</f>
        <v>仓储用房</v>
      </c>
      <c r="G301" s="17" t="str">
        <f>IF(TRUE,IF(COUNTIFS(市场案例库!$A$6:$A$35,C301)&lt;&gt;1,"",IF(INDEX(市场案例库!$O$6:$O$35,MATCH(C301,市场案例库!$A$6:$A$35,0))="","",INDEX(市场案例库!$O$6:$O$35,MATCH(C301,市场案例库!$A$6:$A$35,0)))),"不适用")</f>
        <v>仓储用房</v>
      </c>
      <c r="H301" s="19">
        <f>测算参数!$B$6</f>
        <v>100</v>
      </c>
      <c r="I301" s="10">
        <v>100</v>
      </c>
      <c r="J301" s="20">
        <f t="shared" si="42"/>
        <v>1</v>
      </c>
      <c r="K301" s="16" t="s">
        <v>239</v>
      </c>
      <c r="L301" s="16" t="s">
        <v>215</v>
      </c>
      <c r="M301" s="16" t="str">
        <f t="shared" si="36"/>
        <v>模拟评分记录完整</v>
      </c>
      <c r="N301" s="8" t="s">
        <v>165</v>
      </c>
    </row>
    <row r="302" spans="1:14" ht="46.05" customHeight="1">
      <c r="A302" s="16" t="s">
        <v>79</v>
      </c>
      <c r="B302" s="16">
        <v>1</v>
      </c>
      <c r="C302" s="17" t="str">
        <f>三案例选用!B12</f>
        <v>SC-013</v>
      </c>
      <c r="D302" s="16" t="s">
        <v>224</v>
      </c>
      <c r="E302" s="16" t="str">
        <f t="shared" si="41"/>
        <v>适用</v>
      </c>
      <c r="F302" s="17" t="str">
        <f>IF(TRUE,IF(COUNTIFS(资产清单!$A$6:$A$25,A302)&lt;&gt;1,"",IF(INDEX(资产清单!$I$6:$I$25,MATCH(A302,资产清单!$A$6:$A$25,0))="","",INDEX(资产清单!$I$6:$I$25,MATCH(A302,资产清单!$A$6:$A$25,0)))),"不适用")</f>
        <v>仓储用房</v>
      </c>
      <c r="G302" s="17" t="str">
        <f>IF(TRUE,IF(COUNTIFS(市场案例库!$A$6:$A$35,C302)&lt;&gt;1,"",IF(INDEX(市场案例库!$O$6:$O$35,MATCH(C302,市场案例库!$A$6:$A$35,0))="","",INDEX(市场案例库!$O$6:$O$35,MATCH(C302,市场案例库!$A$6:$A$35,0)))),"不适用")</f>
        <v>仓储用房</v>
      </c>
      <c r="H302" s="19">
        <f>测算参数!$B$6</f>
        <v>100</v>
      </c>
      <c r="I302" s="10">
        <v>100</v>
      </c>
      <c r="J302" s="20">
        <f t="shared" si="42"/>
        <v>1</v>
      </c>
      <c r="K302" s="16" t="s">
        <v>239</v>
      </c>
      <c r="L302" s="16" t="s">
        <v>215</v>
      </c>
      <c r="M302" s="16" t="str">
        <f t="shared" si="36"/>
        <v>模拟评分记录完整</v>
      </c>
      <c r="N302" s="8" t="s">
        <v>165</v>
      </c>
    </row>
    <row r="303" spans="1:14" ht="46.05" customHeight="1">
      <c r="A303" s="16" t="s">
        <v>79</v>
      </c>
      <c r="B303" s="16">
        <v>1</v>
      </c>
      <c r="C303" s="17" t="str">
        <f>三案例选用!B12</f>
        <v>SC-013</v>
      </c>
      <c r="D303" s="16" t="s">
        <v>225</v>
      </c>
      <c r="E303" s="16" t="str">
        <f t="shared" si="41"/>
        <v>适用</v>
      </c>
      <c r="F303" s="17" t="str">
        <f>IF(TRUE,IF(COUNTIFS(资产清单!$A$6:$A$25,A303)&lt;&gt;1,"",IF(INDEX(资产清单!$I$6:$I$25,MATCH(A303,资产清单!$A$6:$A$25,0))="","",INDEX(资产清单!$I$6:$I$25,MATCH(A303,资产清单!$A$6:$A$25,0)))),"不适用")</f>
        <v>仓储用房</v>
      </c>
      <c r="G303" s="17" t="str">
        <f>IF(TRUE,IF(COUNTIFS(市场案例库!$A$6:$A$35,C303)&lt;&gt;1,"",IF(INDEX(市场案例库!$O$6:$O$35,MATCH(C303,市场案例库!$A$6:$A$35,0))="","",INDEX(市场案例库!$O$6:$O$35,MATCH(C303,市场案例库!$A$6:$A$35,0)))),"不适用")</f>
        <v>仓储用房</v>
      </c>
      <c r="H303" s="19">
        <f>测算参数!$B$6</f>
        <v>100</v>
      </c>
      <c r="I303" s="10">
        <v>100</v>
      </c>
      <c r="J303" s="20">
        <f t="shared" si="42"/>
        <v>1</v>
      </c>
      <c r="K303" s="16" t="s">
        <v>239</v>
      </c>
      <c r="L303" s="16" t="s">
        <v>215</v>
      </c>
      <c r="M303" s="16" t="str">
        <f t="shared" si="36"/>
        <v>模拟评分记录完整</v>
      </c>
      <c r="N303" s="8" t="s">
        <v>165</v>
      </c>
    </row>
    <row r="304" spans="1:14" ht="46.05" customHeight="1">
      <c r="A304" s="16" t="s">
        <v>79</v>
      </c>
      <c r="B304" s="16">
        <v>1</v>
      </c>
      <c r="C304" s="17" t="str">
        <f>三案例选用!B12</f>
        <v>SC-013</v>
      </c>
      <c r="D304" s="16" t="s">
        <v>226</v>
      </c>
      <c r="E304" s="16" t="str">
        <f t="shared" si="41"/>
        <v>适用</v>
      </c>
      <c r="F304" s="17" t="str">
        <f>IF(TRUE,IF(COUNTIFS(资产清单!$A$6:$A$25,A304)&lt;&gt;1,"",IF(INDEX(资产清单!$I$6:$I$25,MATCH(A304,资产清单!$A$6:$A$25,0))="","",INDEX(资产清单!$I$6:$I$25,MATCH(A304,资产清单!$A$6:$A$25,0)))),"不适用")</f>
        <v>仓储用房</v>
      </c>
      <c r="G304" s="17" t="str">
        <f>IF(TRUE,IF(COUNTIFS(市场案例库!$A$6:$A$35,C304)&lt;&gt;1,"",IF(INDEX(市场案例库!$O$6:$O$35,MATCH(C304,市场案例库!$A$6:$A$35,0))="","",INDEX(市场案例库!$O$6:$O$35,MATCH(C304,市场案例库!$A$6:$A$35,0)))),"不适用")</f>
        <v>仓储用房</v>
      </c>
      <c r="H304" s="19">
        <f>测算参数!$B$6</f>
        <v>100</v>
      </c>
      <c r="I304" s="10">
        <v>100</v>
      </c>
      <c r="J304" s="20">
        <f t="shared" si="42"/>
        <v>1</v>
      </c>
      <c r="K304" s="16" t="s">
        <v>239</v>
      </c>
      <c r="L304" s="16" t="s">
        <v>215</v>
      </c>
      <c r="M304" s="16" t="str">
        <f t="shared" si="36"/>
        <v>模拟评分记录完整</v>
      </c>
      <c r="N304" s="8" t="s">
        <v>165</v>
      </c>
    </row>
    <row r="305" spans="1:14" ht="46.05" customHeight="1">
      <c r="A305" s="16" t="s">
        <v>79</v>
      </c>
      <c r="B305" s="16">
        <v>1</v>
      </c>
      <c r="C305" s="17" t="str">
        <f>三案例选用!B12</f>
        <v>SC-013</v>
      </c>
      <c r="D305" s="16" t="s">
        <v>227</v>
      </c>
      <c r="E305" s="16" t="str">
        <f t="shared" si="41"/>
        <v>适用</v>
      </c>
      <c r="F305" s="17" t="str">
        <f>IF(TRUE,IF(COUNTIFS(资产清单!$A$6:$A$25,A305)&lt;&gt;1,"",IF(INDEX(资产清单!$I$6:$I$25,MATCH(A305,资产清单!$A$6:$A$25,0))="","",INDEX(资产清单!$I$6:$I$25,MATCH(A305,资产清单!$A$6:$A$25,0)))),"不适用")</f>
        <v>仓储用房</v>
      </c>
      <c r="G305" s="17" t="str">
        <f>IF(TRUE,IF(COUNTIFS(市场案例库!$A$6:$A$35,C305)&lt;&gt;1,"",IF(INDEX(市场案例库!$O$6:$O$35,MATCH(C305,市场案例库!$A$6:$A$35,0))="","",INDEX(市场案例库!$O$6:$O$35,MATCH(C305,市场案例库!$A$6:$A$35,0)))),"不适用")</f>
        <v>仓储用房</v>
      </c>
      <c r="H305" s="19">
        <f>测算参数!$B$6</f>
        <v>100</v>
      </c>
      <c r="I305" s="10">
        <v>100</v>
      </c>
      <c r="J305" s="20">
        <f t="shared" si="42"/>
        <v>1</v>
      </c>
      <c r="K305" s="16" t="s">
        <v>239</v>
      </c>
      <c r="L305" s="16" t="s">
        <v>215</v>
      </c>
      <c r="M305" s="16" t="str">
        <f t="shared" si="36"/>
        <v>模拟评分记录完整</v>
      </c>
      <c r="N305" s="8" t="s">
        <v>165</v>
      </c>
    </row>
    <row r="306" spans="1:14" ht="46.05" customHeight="1">
      <c r="A306" s="16" t="s">
        <v>79</v>
      </c>
      <c r="B306" s="16">
        <v>1</v>
      </c>
      <c r="C306" s="17" t="str">
        <f>三案例选用!B12</f>
        <v>SC-013</v>
      </c>
      <c r="D306" s="16" t="s">
        <v>228</v>
      </c>
      <c r="E306" s="17" t="str">
        <f>IF(AND(IF(COUNTIFS(资产清单!$A$6:$A$25,A306)&lt;&gt;1,"",IF(INDEX(资产清单!$H$6:$H$25,MATCH(A306,资产清单!$A$6:$A$25,0))="","",INDEX(资产清单!$H$6:$H$25,MATCH(A306,资产清单!$A$6:$A$25,0))))&lt;&gt;"场地",IF(COUNTIFS(资产清单!$A$6:$A$25,A306)&lt;&gt;1,"",IF(INDEX(资产清单!$H$6:$H$25,MATCH(A306,资产清单!$A$6:$A$25,0))="","",INDEX(资产清单!$H$6:$H$25,MATCH(A306,资产清单!$A$6:$A$25,0))))&lt;&gt;"车位",IF(COUNTIFS(资产清单!$A$6:$A$25,A306)&lt;&gt;1,"",IF(INDEX(资产清单!$H$6:$H$25,MATCH(A306,资产清单!$A$6:$A$25,0))="","",INDEX(资产清单!$H$6:$H$25,MATCH(A306,资产清单!$A$6:$A$25,0))))&lt;&gt;"通信基站"),"适用","不适用采用100/100")</f>
        <v>适用</v>
      </c>
      <c r="F306" s="17" t="str">
        <f>IF(AND(IF(COUNTIFS(资产清单!$A$6:$A$25,A306)&lt;&gt;1,"",IF(INDEX(资产清单!$H$6:$H$25,MATCH(A306,资产清单!$A$6:$A$25,0))="","",INDEX(资产清单!$H$6:$H$25,MATCH(A306,资产清单!$A$6:$A$25,0))))&lt;&gt;"场地",IF(COUNTIFS(资产清单!$A$6:$A$25,A306)&lt;&gt;1,"",IF(INDEX(资产清单!$H$6:$H$25,MATCH(A306,资产清单!$A$6:$A$25,0))="","",INDEX(资产清单!$H$6:$H$25,MATCH(A306,资产清单!$A$6:$A$25,0))))&lt;&gt;"车位",IF(COUNTIFS(资产清单!$A$6:$A$25,A306)&lt;&gt;1,"",IF(INDEX(资产清单!$H$6:$H$25,MATCH(A306,资产清单!$A$6:$A$25,0))="","",INDEX(资产清单!$H$6:$H$25,MATCH(A306,资产清单!$A$6:$A$25,0))))&lt;&gt;"通信基站"),IF(COUNTIFS(资产清单!$A$6:$A$25,A306)&lt;&gt;1,"",IF(INDEX(资产清单!$I$6:$I$25,MATCH(A306,资产清单!$A$6:$A$25,0))="","",INDEX(资产清单!$I$6:$I$25,MATCH(A306,资产清单!$A$6:$A$25,0)))),"不适用")</f>
        <v>仓储用房</v>
      </c>
      <c r="G306" s="17" t="str">
        <f>IF(AND(IF(COUNTIFS(资产清单!$A$6:$A$25,A306)&lt;&gt;1,"",IF(INDEX(资产清单!$H$6:$H$25,MATCH(A306,资产清单!$A$6:$A$25,0))="","",INDEX(资产清单!$H$6:$H$25,MATCH(A306,资产清单!$A$6:$A$25,0))))&lt;&gt;"场地",IF(COUNTIFS(资产清单!$A$6:$A$25,A306)&lt;&gt;1,"",IF(INDEX(资产清单!$H$6:$H$25,MATCH(A306,资产清单!$A$6:$A$25,0))="","",INDEX(资产清单!$H$6:$H$25,MATCH(A306,资产清单!$A$6:$A$25,0))))&lt;&gt;"车位",IF(COUNTIFS(资产清单!$A$6:$A$25,A306)&lt;&gt;1,"",IF(INDEX(资产清单!$H$6:$H$25,MATCH(A306,资产清单!$A$6:$A$25,0))="","",INDEX(资产清单!$H$6:$H$25,MATCH(A306,资产清单!$A$6:$A$25,0))))&lt;&gt;"通信基站"),IF(COUNTIFS(市场案例库!$A$6:$A$35,C306)&lt;&gt;1,"",IF(INDEX(市场案例库!$O$6:$O$35,MATCH(C306,市场案例库!$A$6:$A$35,0))="","",INDEX(市场案例库!$O$6:$O$35,MATCH(C306,市场案例库!$A$6:$A$35,0)))),"不适用")</f>
        <v>仓储用房</v>
      </c>
      <c r="H306" s="19">
        <f>测算参数!$B$6</f>
        <v>100</v>
      </c>
      <c r="I306" s="10">
        <v>100</v>
      </c>
      <c r="J306" s="21">
        <f>IF(OR(C306&lt;&gt;N306,COUNT(H306:I306)&lt;&gt;2,H306&lt;=0,I306&lt;=0),"",IF(AND(IF(COUNTIFS(资产清单!$A$6:$A$25,A306)&lt;&gt;1,"",IF(INDEX(资产清单!$H$6:$H$25,MATCH(A306,资产清单!$A$6:$A$25,0))="","",INDEX(资产清单!$H$6:$H$25,MATCH(A306,资产清单!$A$6:$A$25,0))))&lt;&gt;"场地",IF(COUNTIFS(资产清单!$A$6:$A$25,A306)&lt;&gt;1,"",IF(INDEX(资产清单!$H$6:$H$25,MATCH(A306,资产清单!$A$6:$A$25,0))="","",INDEX(资产清单!$H$6:$H$25,MATCH(A306,资产清单!$A$6:$A$25,0))))&lt;&gt;"车位",IF(COUNTIFS(资产清单!$A$6:$A$25,A306)&lt;&gt;1,"",IF(INDEX(资产清单!$H$6:$H$25,MATCH(A306,资产清单!$A$6:$A$25,0))="","",INDEX(资产清单!$H$6:$H$25,MATCH(A306,资产清单!$A$6:$A$25,0))))&lt;&gt;"通信基站"),H306/I306,H306/H306))</f>
        <v>1</v>
      </c>
      <c r="K306" s="16" t="s">
        <v>239</v>
      </c>
      <c r="L306" s="16" t="s">
        <v>215</v>
      </c>
      <c r="M306" s="16" t="str">
        <f t="shared" si="36"/>
        <v>模拟评分记录完整</v>
      </c>
      <c r="N306" s="8" t="s">
        <v>165</v>
      </c>
    </row>
    <row r="307" spans="1:14" ht="46.05" customHeight="1">
      <c r="A307" s="16" t="s">
        <v>79</v>
      </c>
      <c r="B307" s="16">
        <v>1</v>
      </c>
      <c r="C307" s="17" t="str">
        <f>三案例选用!B12</f>
        <v>SC-013</v>
      </c>
      <c r="D307" s="16" t="s">
        <v>229</v>
      </c>
      <c r="E307" s="17" t="str">
        <f>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"适用","不适用采用100/100")</f>
        <v>适用</v>
      </c>
      <c r="F307" s="17">
        <f>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IF(COUNTIFS(资产清单!$A$6:$A$25,A307)&lt;&gt;1,"",IF(COUNT(INDEX(资产清单!$N$6:$N$25,MATCH(A307,资产清单!$A$6:$A$25,0)))&lt;&gt;1,"",INDEX(资产清单!$N$6:$N$25,MATCH(A307,资产清单!$A$6:$A$25,0)))),"不适用")</f>
        <v>1</v>
      </c>
      <c r="G307" s="17">
        <f>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IF(COUNTIFS(市场案例库!$A$6:$A$35,C307)&lt;&gt;1,"",IF(COUNT(INDEX(市场案例库!$I$6:$I$35,MATCH(C307,市场案例库!$A$6:$A$35,0)))&lt;&gt;1,"",INDEX(市场案例库!$I$6:$I$35,MATCH(C307,市场案例库!$A$6:$A$35,0)))),"不适用")</f>
        <v>1</v>
      </c>
      <c r="H307" s="19">
        <f>测算参数!$B$6</f>
        <v>100</v>
      </c>
      <c r="I307" s="19">
        <f>IF(OR(COUNTIFS(市场案例库!$A$6:$A$35,C307)&lt;&gt;1,AND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OR(COUNT(IF(COUNTIFS(资产清单!$A$6:$A$25,A307)&lt;&gt;1,"",IF(COUNT(INDEX(资产清单!$N$6:$N$25,MATCH(A307,资产清单!$A$6:$A$25,0)))&lt;&gt;1,"",INDEX(资产清单!$N$6:$N$25,MATCH(A307,资产清单!$A$6:$A$25,0)))),IF(COUNTIFS(市场案例库!$A$6:$A$35,C307)&lt;&gt;1,"",IF(COUNT(INDEX(市场案例库!$I$6:$I$35,MATCH(C307,市场案例库!$A$6:$A$35,0)))&lt;&gt;1,"",INDEX(市场案例库!$I$6:$I$35,MATCH(C307,市场案例库!$A$6:$A$35,0)))))&lt;&gt;2,IF(COUNTIFS(资产清单!$A$6:$A$25,A307)&lt;&gt;1,"",IF(COUNT(INDEX(资产清单!$N$6:$N$25,MATCH(A307,资产清单!$A$6:$A$25,0)))&lt;&gt;1,"",INDEX(资产清单!$N$6:$N$25,MATCH(A307,资产清单!$A$6:$A$25,0))))&lt;1,IF(COUNTIFS(资产清单!$A$6:$A$25,A307)&lt;&gt;1,"",IF(COUNT(INDEX(资产清单!$N$6:$N$25,MATCH(A307,资产清单!$A$6:$A$25,0)))&lt;&gt;1,"",INDEX(资产清单!$N$6:$N$25,MATCH(A307,资产清单!$A$6:$A$25,0))))&gt;4,IF(COUNTIFS(市场案例库!$A$6:$A$35,C307)&lt;&gt;1,"",IF(COUNT(INDEX(市场案例库!$I$6:$I$35,MATCH(C307,市场案例库!$A$6:$A$35,0)))&lt;&gt;1,"",INDEX(市场案例库!$I$6:$I$35,MATCH(C307,市场案例库!$A$6:$A$35,0))))&lt;1,IF(COUNTIFS(市场案例库!$A$6:$A$35,C307)&lt;&gt;1,"",IF(COUNT(INDEX(市场案例库!$I$6:$I$35,MATCH(C307,市场案例库!$A$6:$A$35,0)))&lt;&gt;1,"",INDEX(市场案例库!$I$6:$I$35,MATCH(C307,市场案例库!$A$6:$A$35,0))))&gt;4))),"",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INDEX(测算参数!$B$35:$B$41,MATCH(IF(COUNTIFS(市场案例库!$A$6:$A$35,C307)&lt;&gt;1,"",IF(COUNT(INDEX(市场案例库!$I$6:$I$35,MATCH(C307,市场案例库!$A$6:$A$35,0)))&lt;&gt;1,"",INDEX(市场案例库!$I$6:$I$35,MATCH(C307,市场案例库!$A$6:$A$35,0))))-IF(COUNTIFS(资产清单!$A$6:$A$25,A307)&lt;&gt;1,"",IF(COUNT(INDEX(资产清单!$N$6:$N$25,MATCH(A307,资产清单!$A$6:$A$25,0)))&lt;&gt;1,"",INDEX(资产清单!$N$6:$N$25,MATCH(A307,资产清单!$A$6:$A$25,0)))),测算参数!$A$35:$A$41,0)),测算参数!$B$6))</f>
        <v>100</v>
      </c>
      <c r="J307" s="21">
        <f>IF(OR(C307&lt;&gt;N307,COUNT(H307:I307)&lt;&gt;2,H307&lt;=0,I307&lt;=0),"",IF(AND(IF(COUNTIFS(资产清单!$A$6:$A$25,A307)&lt;&gt;1,"",IF(INDEX(资产清单!$H$6:$H$25,MATCH(A307,资产清单!$A$6:$A$25,0))="","",INDEX(资产清单!$H$6:$H$25,MATCH(A307,资产清单!$A$6:$A$25,0))))&lt;&gt;"场地",IF(COUNTIFS(资产清单!$A$6:$A$25,A307)&lt;&gt;1,"",IF(INDEX(资产清单!$H$6:$H$25,MATCH(A307,资产清单!$A$6:$A$25,0))="","",INDEX(资产清单!$H$6:$H$25,MATCH(A307,资产清单!$A$6:$A$25,0))))&lt;&gt;"车位",IF(COUNTIFS(资产清单!$A$6:$A$25,A307)&lt;&gt;1,"",IF(INDEX(资产清单!$H$6:$H$25,MATCH(A307,资产清单!$A$6:$A$25,0))="","",INDEX(资产清单!$H$6:$H$25,MATCH(A307,资产清单!$A$6:$A$25,0))))&lt;&gt;"通信基站"),H307/I307,H307/H307))</f>
        <v>1</v>
      </c>
      <c r="K307" s="16" t="s">
        <v>239</v>
      </c>
      <c r="L307" s="16" t="s">
        <v>230</v>
      </c>
      <c r="M307" s="16" t="str">
        <f t="shared" si="36"/>
        <v>模拟评分记录完整</v>
      </c>
      <c r="N307" s="8" t="s">
        <v>165</v>
      </c>
    </row>
    <row r="308" spans="1:14" ht="46.05" customHeight="1">
      <c r="A308" s="16" t="s">
        <v>79</v>
      </c>
      <c r="B308" s="16">
        <v>1</v>
      </c>
      <c r="C308" s="17" t="str">
        <f>三案例选用!B12</f>
        <v>SC-013</v>
      </c>
      <c r="D308" s="16" t="s">
        <v>231</v>
      </c>
      <c r="E308" s="17" t="str">
        <f>IF(AND(IF(COUNTIFS(资产清单!$A$6:$A$25,A308)&lt;&gt;1,"",IF(INDEX(资产清单!$H$6:$H$25,MATCH(A308,资产清单!$A$6:$A$25,0))="","",INDEX(资产清单!$H$6:$H$25,MATCH(A308,资产清单!$A$6:$A$25,0))))&lt;&gt;"场地",IF(COUNTIFS(资产清单!$A$6:$A$25,A308)&lt;&gt;1,"",IF(INDEX(资产清单!$H$6:$H$25,MATCH(A308,资产清单!$A$6:$A$25,0))="","",INDEX(资产清单!$H$6:$H$25,MATCH(A308,资产清单!$A$6:$A$25,0))))&lt;&gt;"车位",IF(COUNTIFS(资产清单!$A$6:$A$25,A308)&lt;&gt;1,"",IF(INDEX(资产清单!$H$6:$H$25,MATCH(A308,资产清单!$A$6:$A$25,0))="","",INDEX(资产清单!$H$6:$H$25,MATCH(A308,资产清单!$A$6:$A$25,0))))&lt;&gt;"通信基站"),"适用","不适用采用100/100")</f>
        <v>适用</v>
      </c>
      <c r="F308" s="17" t="str">
        <f>IF(AND(IF(COUNTIFS(资产清单!$A$6:$A$25,A308)&lt;&gt;1,"",IF(INDEX(资产清单!$H$6:$H$25,MATCH(A308,资产清单!$A$6:$A$25,0))="","",INDEX(资产清单!$H$6:$H$25,MATCH(A308,资产清单!$A$6:$A$25,0))))&lt;&gt;"场地",IF(COUNTIFS(资产清单!$A$6:$A$25,A308)&lt;&gt;1,"",IF(INDEX(资产清单!$H$6:$H$25,MATCH(A308,资产清单!$A$6:$A$25,0))="","",INDEX(资产清单!$H$6:$H$25,MATCH(A308,资产清单!$A$6:$A$25,0))))&lt;&gt;"车位",IF(COUNTIFS(资产清单!$A$6:$A$25,A308)&lt;&gt;1,"",IF(INDEX(资产清单!$H$6:$H$25,MATCH(A308,资产清单!$A$6:$A$25,0))="","",INDEX(资产清单!$H$6:$H$25,MATCH(A308,资产清单!$A$6:$A$25,0))))&lt;&gt;"通信基站"),IF(COUNTIFS(资产清单!$A$6:$A$25,A308)&lt;&gt;1,"",IF(INDEX(资产清单!$I$6:$I$25,MATCH(A308,资产清单!$A$6:$A$25,0))="","",INDEX(资产清单!$I$6:$I$25,MATCH(A308,资产清单!$A$6:$A$25,0)))),"不适用")</f>
        <v>仓储用房</v>
      </c>
      <c r="G308" s="17" t="str">
        <f>IF(AND(IF(COUNTIFS(资产清单!$A$6:$A$25,A308)&lt;&gt;1,"",IF(INDEX(资产清单!$H$6:$H$25,MATCH(A308,资产清单!$A$6:$A$25,0))="","",INDEX(资产清单!$H$6:$H$25,MATCH(A308,资产清单!$A$6:$A$25,0))))&lt;&gt;"场地",IF(COUNTIFS(资产清单!$A$6:$A$25,A308)&lt;&gt;1,"",IF(INDEX(资产清单!$H$6:$H$25,MATCH(A308,资产清单!$A$6:$A$25,0))="","",INDEX(资产清单!$H$6:$H$25,MATCH(A308,资产清单!$A$6:$A$25,0))))&lt;&gt;"车位",IF(COUNTIFS(资产清单!$A$6:$A$25,A308)&lt;&gt;1,"",IF(INDEX(资产清单!$H$6:$H$25,MATCH(A308,资产清单!$A$6:$A$25,0))="","",INDEX(资产清单!$H$6:$H$25,MATCH(A308,资产清单!$A$6:$A$25,0))))&lt;&gt;"通信基站"),IF(COUNTIFS(市场案例库!$A$6:$A$35,C308)&lt;&gt;1,"",IF(INDEX(市场案例库!$O$6:$O$35,MATCH(C308,市场案例库!$A$6:$A$35,0))="","",INDEX(市场案例库!$O$6:$O$35,MATCH(C308,市场案例库!$A$6:$A$35,0)))),"不适用")</f>
        <v>仓储用房</v>
      </c>
      <c r="H308" s="19">
        <f>测算参数!$B$6</f>
        <v>100</v>
      </c>
      <c r="I308" s="10">
        <v>100</v>
      </c>
      <c r="J308" s="21">
        <f>IF(OR(C308&lt;&gt;N308,COUNT(H308:I308)&lt;&gt;2,H308&lt;=0,I308&lt;=0),"",IF(AND(IF(COUNTIFS(资产清单!$A$6:$A$25,A308)&lt;&gt;1,"",IF(INDEX(资产清单!$H$6:$H$25,MATCH(A308,资产清单!$A$6:$A$25,0))="","",INDEX(资产清单!$H$6:$H$25,MATCH(A308,资产清单!$A$6:$A$25,0))))&lt;&gt;"场地",IF(COUNTIFS(资产清单!$A$6:$A$25,A308)&lt;&gt;1,"",IF(INDEX(资产清单!$H$6:$H$25,MATCH(A308,资产清单!$A$6:$A$25,0))="","",INDEX(资产清单!$H$6:$H$25,MATCH(A308,资产清单!$A$6:$A$25,0))))&lt;&gt;"车位",IF(COUNTIFS(资产清单!$A$6:$A$25,A308)&lt;&gt;1,"",IF(INDEX(资产清单!$H$6:$H$25,MATCH(A308,资产清单!$A$6:$A$25,0))="","",INDEX(资产清单!$H$6:$H$25,MATCH(A308,资产清单!$A$6:$A$25,0))))&lt;&gt;"通信基站"),H308/I308,H308/H308))</f>
        <v>1</v>
      </c>
      <c r="K308" s="16" t="s">
        <v>239</v>
      </c>
      <c r="L308" s="16" t="s">
        <v>215</v>
      </c>
      <c r="M308" s="16" t="str">
        <f t="shared" si="36"/>
        <v>模拟评分记录完整</v>
      </c>
      <c r="N308" s="8" t="s">
        <v>165</v>
      </c>
    </row>
    <row r="309" spans="1:14" ht="46.05" customHeight="1">
      <c r="A309" s="16" t="s">
        <v>79</v>
      </c>
      <c r="B309" s="16">
        <v>1</v>
      </c>
      <c r="C309" s="17" t="str">
        <f>三案例选用!B12</f>
        <v>SC-013</v>
      </c>
      <c r="D309" s="16" t="s">
        <v>232</v>
      </c>
      <c r="E309" s="16" t="str">
        <f>IF(TRUE,"适用","不适用采用100/100")</f>
        <v>适用</v>
      </c>
      <c r="F309" s="17" t="str">
        <f>IF(TRUE,IF(COUNTIFS(资产清单!$A$6:$A$25,A309)&lt;&gt;1,"",IF(INDEX(资产清单!$I$6:$I$25,MATCH(A309,资产清单!$A$6:$A$25,0))="","",INDEX(资产清单!$I$6:$I$25,MATCH(A309,资产清单!$A$6:$A$25,0)))),"不适用")</f>
        <v>仓储用房</v>
      </c>
      <c r="G309" s="17" t="str">
        <f>IF(TRUE,IF(COUNTIFS(市场案例库!$A$6:$A$35,C309)&lt;&gt;1,"",IF(INDEX(市场案例库!$O$6:$O$35,MATCH(C309,市场案例库!$A$6:$A$35,0))="","",INDEX(市场案例库!$O$6:$O$35,MATCH(C309,市场案例库!$A$6:$A$35,0)))),"不适用")</f>
        <v>仓储用房</v>
      </c>
      <c r="H309" s="19">
        <f>测算参数!$B$6</f>
        <v>100</v>
      </c>
      <c r="I309" s="10">
        <v>100</v>
      </c>
      <c r="J309" s="20">
        <f>IF(OR(C309&lt;&gt;N309,COUNT(H309:I309)&lt;&gt;2,H309&lt;=0,I309&lt;=0),"",IF(TRUE,H309/I309,H309/H309))</f>
        <v>1</v>
      </c>
      <c r="K309" s="16" t="s">
        <v>239</v>
      </c>
      <c r="L309" s="16" t="s">
        <v>215</v>
      </c>
      <c r="M309" s="16" t="str">
        <f t="shared" si="36"/>
        <v>模拟评分记录完整</v>
      </c>
      <c r="N309" s="8" t="s">
        <v>165</v>
      </c>
    </row>
    <row r="310" spans="1:14" ht="46.05" customHeight="1">
      <c r="A310" s="16" t="s">
        <v>79</v>
      </c>
      <c r="B310" s="16">
        <v>2</v>
      </c>
      <c r="C310" s="17" t="str">
        <f>三案例选用!C12</f>
        <v>SC-014</v>
      </c>
      <c r="D310" s="16" t="s">
        <v>209</v>
      </c>
      <c r="E310" s="16" t="str">
        <f>IF(TRUE,"适用","不适用采用100/100")</f>
        <v>适用</v>
      </c>
      <c r="F310" s="17" t="str">
        <f>IF(TRUE,IF(COUNTIFS(资产清单!$A$6:$A$25,A310)&lt;&gt;1,"",IF(INDEX(资产清单!$I$6:$I$25,MATCH(A310,资产清单!$A$6:$A$25,0))="","",INDEX(资产清单!$I$6:$I$25,MATCH(A310,资产清单!$A$6:$A$25,0)))),"不适用")</f>
        <v>仓储用房</v>
      </c>
      <c r="G310" s="17" t="str">
        <f>IF(TRUE,IF(COUNTIFS(市场案例库!$A$6:$A$35,C310)&lt;&gt;1,"",IF(INDEX(市场案例库!$O$6:$O$35,MATCH(C310,市场案例库!$A$6:$A$35,0))="","",INDEX(市场案例库!$O$6:$O$35,MATCH(C310,市场案例库!$A$6:$A$35,0)))),"不适用")</f>
        <v>仓储用房</v>
      </c>
      <c r="H310" s="19">
        <f>测算参数!$B$6</f>
        <v>100</v>
      </c>
      <c r="I310" s="19">
        <f>IF(OR(COUNTIFS(市场案例库!$A$6:$A$35,C310)&lt;&gt;1),"",IF(COUNTIFS(市场案例库!$A$6:$A$35,C310)&lt;&gt;1,"",IF(COUNT(INDEX(市场案例库!$M$6:$M$35,MATCH(C310,市场案例库!$A$6:$A$35,0)))&lt;&gt;1,"",INDEX(市场案例库!$M$6:$M$35,MATCH(C310,市场案例库!$A$6:$A$35,0)))))</f>
        <v>102</v>
      </c>
      <c r="J310" s="20">
        <f>IF(OR(C310&lt;&gt;N310,COUNT(H310:I310)&lt;&gt;2,H310&lt;=0,I310&lt;=0),"",IF(TRUE,H310/I310,H310/H310))</f>
        <v>0.98039215686274506</v>
      </c>
      <c r="K310" s="16" t="s">
        <v>239</v>
      </c>
      <c r="L310" s="16" t="s">
        <v>211</v>
      </c>
      <c r="M310" s="16" t="str">
        <f t="shared" si="36"/>
        <v>模拟评分记录完整</v>
      </c>
      <c r="N310" s="8" t="s">
        <v>166</v>
      </c>
    </row>
    <row r="311" spans="1:14" ht="46.05" customHeight="1">
      <c r="A311" s="16" t="s">
        <v>79</v>
      </c>
      <c r="B311" s="16">
        <v>2</v>
      </c>
      <c r="C311" s="17" t="str">
        <f>三案例选用!C12</f>
        <v>SC-014</v>
      </c>
      <c r="D311" s="16" t="s">
        <v>212</v>
      </c>
      <c r="E311" s="16" t="str">
        <f>IF(TRUE,"适用","不适用采用100/100")</f>
        <v>适用</v>
      </c>
      <c r="F311" s="17" t="str">
        <f>IF(TRUE,IF(COUNTIFS(资产清单!$A$6:$A$25,A311)&lt;&gt;1,"",IF(INDEX(资产清单!$I$6:$I$25,MATCH(A311,资产清单!$A$6:$A$25,0))="","",INDEX(资产清单!$I$6:$I$25,MATCH(A311,资产清单!$A$6:$A$25,0)))),"不适用")</f>
        <v>仓储用房</v>
      </c>
      <c r="G311" s="17" t="str">
        <f>IF(TRUE,IF(COUNTIFS(市场案例库!$A$6:$A$35,C311)&lt;&gt;1,"",IF(INDEX(市场案例库!$O$6:$O$35,MATCH(C311,市场案例库!$A$6:$A$35,0))="","",INDEX(市场案例库!$O$6:$O$35,MATCH(C311,市场案例库!$A$6:$A$35,0)))),"不适用")</f>
        <v>仓储用房</v>
      </c>
      <c r="H311" s="19">
        <f>测算参数!$B$6</f>
        <v>100</v>
      </c>
      <c r="I311" s="19">
        <f>IF(OR(COUNTIFS(市场案例库!$A$6:$A$35,C311)&lt;&gt;1),"",IF(COUNTIFS(市场案例库!$A$6:$A$35,C311)&lt;&gt;1,"",IF(COUNT(INDEX(市场案例库!$N$6:$N$35,MATCH(C311,市场案例库!$A$6:$A$35,0)))&lt;&gt;1,"",INDEX(市场案例库!$N$6:$N$35,MATCH(C311,市场案例库!$A$6:$A$35,0)))))</f>
        <v>100</v>
      </c>
      <c r="J311" s="20">
        <f>IF(OR(C311&lt;&gt;N311,COUNT(H311:I311)&lt;&gt;2,H311&lt;=0,I311&lt;=0),"",IF(TRUE,H311/I311,H311/H311))</f>
        <v>1</v>
      </c>
      <c r="K311" s="16" t="s">
        <v>239</v>
      </c>
      <c r="L311" s="16" t="s">
        <v>213</v>
      </c>
      <c r="M311" s="16" t="str">
        <f t="shared" si="36"/>
        <v>模拟评分记录完整</v>
      </c>
      <c r="N311" s="8" t="s">
        <v>166</v>
      </c>
    </row>
    <row r="312" spans="1:14" ht="46.05" customHeight="1">
      <c r="A312" s="16" t="s">
        <v>79</v>
      </c>
      <c r="B312" s="16">
        <v>2</v>
      </c>
      <c r="C312" s="17" t="str">
        <f>三案例选用!C12</f>
        <v>SC-014</v>
      </c>
      <c r="D312" s="16" t="s">
        <v>214</v>
      </c>
      <c r="E312" s="16" t="str">
        <f>IF(TRUE,"适用","不适用采用100/100")</f>
        <v>适用</v>
      </c>
      <c r="F312" s="17" t="str">
        <f>IF(TRUE,IF(COUNTIFS(资产清单!$A$6:$A$25,A312)&lt;&gt;1,"",IF(INDEX(资产清单!$I$6:$I$25,MATCH(A312,资产清单!$A$6:$A$25,0))="","",INDEX(资产清单!$I$6:$I$25,MATCH(A312,资产清单!$A$6:$A$25,0)))),"不适用")</f>
        <v>仓储用房</v>
      </c>
      <c r="G312" s="17" t="str">
        <f>IF(TRUE,IF(COUNTIFS(市场案例库!$A$6:$A$35,C312)&lt;&gt;1,"",IF(INDEX(市场案例库!$O$6:$O$35,MATCH(C312,市场案例库!$A$6:$A$35,0))="","",INDEX(市场案例库!$O$6:$O$35,MATCH(C312,市场案例库!$A$6:$A$35,0)))),"不适用")</f>
        <v>仓储用房</v>
      </c>
      <c r="H312" s="19">
        <f>测算参数!$B$6</f>
        <v>100</v>
      </c>
      <c r="I312" s="10">
        <v>100</v>
      </c>
      <c r="J312" s="20">
        <f>IF(OR(C312&lt;&gt;N312,COUNT(H312:I312)&lt;&gt;2,H312&lt;=0,I312&lt;=0),"",IF(TRUE,H312/I312,H312/H312))</f>
        <v>1</v>
      </c>
      <c r="K312" s="16" t="s">
        <v>239</v>
      </c>
      <c r="L312" s="16" t="s">
        <v>215</v>
      </c>
      <c r="M312" s="16" t="str">
        <f t="shared" si="36"/>
        <v>模拟评分记录完整</v>
      </c>
      <c r="N312" s="8" t="s">
        <v>166</v>
      </c>
    </row>
    <row r="313" spans="1:14" ht="46.05" customHeight="1">
      <c r="A313" s="16" t="s">
        <v>79</v>
      </c>
      <c r="B313" s="16">
        <v>2</v>
      </c>
      <c r="C313" s="17" t="str">
        <f>三案例选用!C12</f>
        <v>SC-014</v>
      </c>
      <c r="D313" s="16" t="s">
        <v>216</v>
      </c>
      <c r="E313" s="16" t="str">
        <f>IF(TRUE,"适用","不适用采用100/100")</f>
        <v>适用</v>
      </c>
      <c r="F313" s="17" t="str">
        <f>IF(TRUE,IF(COUNTIFS(资产清单!$A$6:$A$25,A313)&lt;&gt;1,"",IF(INDEX(资产清单!$I$6:$I$25,MATCH(A313,资产清单!$A$6:$A$25,0))="","",INDEX(资产清单!$I$6:$I$25,MATCH(A313,资产清单!$A$6:$A$25,0)))),"不适用")</f>
        <v>仓储用房</v>
      </c>
      <c r="G313" s="17" t="str">
        <f>IF(TRUE,IF(COUNTIFS(市场案例库!$A$6:$A$35,C313)&lt;&gt;1,"",IF(INDEX(市场案例库!$O$6:$O$35,MATCH(C313,市场案例库!$A$6:$A$35,0))="","",INDEX(市场案例库!$O$6:$O$35,MATCH(C313,市场案例库!$A$6:$A$35,0)))),"不适用")</f>
        <v>仓储用房</v>
      </c>
      <c r="H313" s="19">
        <f>测算参数!$B$6</f>
        <v>100</v>
      </c>
      <c r="I313" s="10">
        <v>100</v>
      </c>
      <c r="J313" s="20">
        <f>IF(OR(C313&lt;&gt;N313,COUNT(H313:I313)&lt;&gt;2,H313&lt;=0,I313&lt;=0),"",IF(TRUE,H313/I313,H313/H313))</f>
        <v>1</v>
      </c>
      <c r="K313" s="16" t="s">
        <v>239</v>
      </c>
      <c r="L313" s="16" t="s">
        <v>215</v>
      </c>
      <c r="M313" s="16" t="str">
        <f t="shared" si="36"/>
        <v>模拟评分记录完整</v>
      </c>
      <c r="N313" s="8" t="s">
        <v>166</v>
      </c>
    </row>
    <row r="314" spans="1:14" ht="46.05" customHeight="1">
      <c r="A314" s="16" t="s">
        <v>79</v>
      </c>
      <c r="B314" s="16">
        <v>2</v>
      </c>
      <c r="C314" s="17" t="str">
        <f>三案例选用!C12</f>
        <v>SC-014</v>
      </c>
      <c r="D314" s="16" t="s">
        <v>217</v>
      </c>
      <c r="E314" s="17" t="str">
        <f>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"适用","不适用采用100/100")</f>
        <v>不适用采用100/100</v>
      </c>
      <c r="F314" s="17" t="str">
        <f>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IF(COUNTIFS(资产清单!$A$6:$A$25,A314)&lt;&gt;1,"",IF(COUNT(INDEX(资产清单!$M$6:$M$25,MATCH(A314,资产清单!$A$6:$A$25,0)))&lt;&gt;1,"",INDEX(资产清单!$M$6:$M$25,MATCH(A314,资产清单!$A$6:$A$25,0)))),"不适用")</f>
        <v>不适用</v>
      </c>
      <c r="G314" s="17" t="str">
        <f>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IF(COUNTIFS(市场案例库!$A$6:$A$35,C314)&lt;&gt;1,"",IF(COUNT(INDEX(市场案例库!$H$6:$H$35,MATCH(C314,市场案例库!$A$6:$A$35,0)))&lt;&gt;1,"",INDEX(市场案例库!$H$6:$H$35,MATCH(C314,市场案例库!$A$6:$A$35,0)))),"不适用")</f>
        <v>不适用</v>
      </c>
      <c r="H314" s="19">
        <f>测算参数!$B$6</f>
        <v>100</v>
      </c>
      <c r="I314" s="19">
        <f>IF(OR(COUNTIFS(市场案例库!$A$6:$A$35,C314)&lt;&gt;1,AND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COUNT(IF(COUNTIFS(资产清单!$A$6:$A$25,A314)&lt;&gt;1,"",IF(COUNT(INDEX(资产清单!$M$6:$M$25,MATCH(A314,资产清单!$A$6:$A$25,0)))&lt;&gt;1,"",INDEX(资产清单!$M$6:$M$25,MATCH(A314,资产清单!$A$6:$A$25,0)))),IF(COUNTIFS(市场案例库!$A$6:$A$35,C314)&lt;&gt;1,"",IF(COUNT(INDEX(市场案例库!$H$6:$H$35,MATCH(C314,市场案例库!$A$6:$A$35,0)))&lt;&gt;1,"",INDEX(市场案例库!$H$6:$H$35,MATCH(C314,市场案例库!$A$6:$A$35,0)))))&lt;&gt;2)),"",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INDEX(测算参数!$B$25:$B$31,MATCH(MAX(-测算参数!$B$11,MIN(测算参数!$B$11,IF(COUNTIFS(资产清单!$A$6:$A$25,A314)&lt;&gt;1,"",IF(COUNT(INDEX(资产清单!$M$6:$M$25,MATCH(A314,资产清单!$A$6:$A$25,0)))&lt;&gt;1,"",INDEX(资产清单!$M$6:$M$25,MATCH(A314,资产清单!$A$6:$A$25,0))))-IF(COUNTIFS(市场案例库!$A$6:$A$35,C314)&lt;&gt;1,"",IF(COUNT(INDEX(市场案例库!$H$6:$H$35,MATCH(C314,市场案例库!$A$6:$A$35,0)))&lt;&gt;1,"",INDEX(市场案例库!$H$6:$H$35,MATCH(C314,市场案例库!$A$6:$A$35,0)))))),测算参数!$A$25:$A$31,0)),测算参数!$B$6))</f>
        <v>100</v>
      </c>
      <c r="J314" s="21">
        <f>IF(OR(C314&lt;&gt;N314,COUNT(H314:I314)&lt;&gt;2,H314&lt;=0,I314&lt;=0),"",IF(OR(IF(COUNTIFS(资产清单!$A$6:$A$25,A314)&lt;&gt;1,"",IF(INDEX(资产清单!$H$6:$H$25,MATCH(A314,资产清单!$A$6:$A$25,0))="","",INDEX(资产清单!$H$6:$H$25,MATCH(A314,资产清单!$A$6:$A$25,0))))="商业",IF(COUNTIFS(资产清单!$A$6:$A$25,A314)&lt;&gt;1,"",IF(INDEX(资产清单!$H$6:$H$25,MATCH(A314,资产清单!$A$6:$A$25,0))="","",INDEX(资产清单!$H$6:$H$25,MATCH(A314,资产清单!$A$6:$A$25,0))))="办公",IF(COUNTIFS(资产清单!$A$6:$A$25,A314)&lt;&gt;1,"",IF(INDEX(资产清单!$H$6:$H$25,MATCH(A314,资产清单!$A$6:$A$25,0))="","",INDEX(资产清单!$H$6:$H$25,MATCH(A314,资产清单!$A$6:$A$25,0))))="住宅"),H314/I314,H314/H314))</f>
        <v>1</v>
      </c>
      <c r="K314" s="16" t="s">
        <v>239</v>
      </c>
      <c r="L314" s="16" t="s">
        <v>218</v>
      </c>
      <c r="M314" s="16" t="str">
        <f t="shared" si="36"/>
        <v>模拟评分记录完整</v>
      </c>
      <c r="N314" s="8" t="s">
        <v>166</v>
      </c>
    </row>
    <row r="315" spans="1:14" ht="46.05" customHeight="1">
      <c r="A315" s="16" t="s">
        <v>79</v>
      </c>
      <c r="B315" s="16">
        <v>2</v>
      </c>
      <c r="C315" s="17" t="str">
        <f>三案例选用!C12</f>
        <v>SC-014</v>
      </c>
      <c r="D315" s="16" t="s">
        <v>219</v>
      </c>
      <c r="E315" s="17" t="str">
        <f>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"适用","不适用采用100/100")</f>
        <v>适用</v>
      </c>
      <c r="F315" s="17">
        <f>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IF(COUNTIFS(资产清单!$A$6:$A$25,A315)&lt;&gt;1,"",IF(COUNT(INDEX(资产清单!$L$6:$L$25,MATCH(A315,资产清单!$A$6:$A$25,0)))&lt;&gt;1,"",INDEX(资产清单!$L$6:$L$25,MATCH(A315,资产清单!$A$6:$A$25,0)))),"不适用")</f>
        <v>500</v>
      </c>
      <c r="G315" s="17">
        <f>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IF(COUNTIFS(市场案例库!$A$6:$A$35,C315)&lt;&gt;1,"",IF(COUNT(INDEX(市场案例库!$G$6:$G$35,MATCH(C315,市场案例库!$A$6:$A$35,0)))&lt;&gt;1,"",INDEX(市场案例库!$G$6:$G$35,MATCH(C315,市场案例库!$A$6:$A$35,0)))),"不适用")</f>
        <v>650</v>
      </c>
      <c r="H315" s="19">
        <f>测算参数!$B$6</f>
        <v>100</v>
      </c>
      <c r="I315" s="19">
        <f>IF(OR(COUNTIFS(市场案例库!$A$6:$A$35,C315)&lt;&gt;1,AND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OR(COUNT(IF(COUNTIFS(资产清单!$A$6:$A$25,A315)&lt;&gt;1,"",IF(COUNT(INDEX(资产清单!$L$6:$L$25,MATCH(A315,资产清单!$A$6:$A$25,0)))&lt;&gt;1,"",INDEX(资产清单!$L$6:$L$25,MATCH(A315,资产清单!$A$6:$A$25,0)))),IF(COUNTIFS(市场案例库!$A$6:$A$35,C315)&lt;&gt;1,"",IF(COUNT(INDEX(市场案例库!$G$6:$G$35,MATCH(C315,市场案例库!$A$6:$A$35,0)))&lt;&gt;1,"",INDEX(市场案例库!$G$6:$G$35,MATCH(C315,市场案例库!$A$6:$A$35,0)))))&lt;&gt;2,IF(COUNTIFS(资产清单!$A$6:$A$25,A315)&lt;&gt;1,"",IF(COUNT(INDEX(资产清单!$L$6:$L$25,MATCH(A315,资产清单!$A$6:$A$25,0)))&lt;&gt;1,"",INDEX(资产清单!$L$6:$L$25,MATCH(A315,资产清单!$A$6:$A$25,0))))&lt;=0,IF(COUNTIFS(市场案例库!$A$6:$A$35,C315)&lt;&gt;1,"",IF(COUNT(INDEX(市场案例库!$G$6:$G$35,MATCH(C315,市场案例库!$A$6:$A$35,0)))&lt;&gt;1,"",INDEX(市场案例库!$G$6:$G$35,MATCH(C315,市场案例库!$A$6:$A$35,0))))&lt;=0))),"",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LOOKUP(IF(COUNTIFS(市场案例库!$A$6:$A$35,C315)&lt;&gt;1,"",IF(COUNT(INDEX(市场案例库!$G$6:$G$35,MATCH(C315,市场案例库!$A$6:$A$35,0)))&lt;&gt;1,"",INDEX(市场案例库!$G$6:$G$35,MATCH(C315,市场案例库!$A$6:$A$35,0))))/IF(COUNTIFS(资产清单!$A$6:$A$25,A315)&lt;&gt;1,"",IF(COUNT(INDEX(资产清单!$L$6:$L$25,MATCH(A315,资产清单!$A$6:$A$25,0)))&lt;&gt;1,"",INDEX(资产清单!$L$6:$L$25,MATCH(A315,资产清单!$A$6:$A$25,0)))),测算参数!$A$15:$A$21,测算参数!$C$15:$C$21),测算参数!$B$6))</f>
        <v>98</v>
      </c>
      <c r="J315" s="21">
        <f>IF(OR(C315&lt;&gt;N315,COUNT(H315:I315)&lt;&gt;2,H315&lt;=0,I315&lt;=0),"",IF(AND(IF(COUNTIFS(资产清单!$A$6:$A$25,A315)&lt;&gt;1,"",IF(INDEX(资产清单!$J$6:$J$25,MATCH(A315,资产清单!$A$6:$A$25,0))="","",INDEX(资产清单!$J$6:$J$25,MATCH(A315,资产清单!$A$6:$A$25,0))))="元/㎡/月",IF(COUNTIFS(资产清单!$A$6:$A$25,A315)&lt;&gt;1,"",IF(INDEX(资产清单!$H$6:$H$25,MATCH(A315,资产清单!$A$6:$A$25,0))="","",INDEX(资产清单!$H$6:$H$25,MATCH(A315,资产清单!$A$6:$A$25,0))))&lt;&gt;"场地"),H315/I315,H315/H315))</f>
        <v>1.0204081632653061</v>
      </c>
      <c r="K315" s="16" t="s">
        <v>239</v>
      </c>
      <c r="L315" s="16" t="s">
        <v>220</v>
      </c>
      <c r="M315" s="16" t="str">
        <f t="shared" si="36"/>
        <v>模拟评分记录完整</v>
      </c>
      <c r="N315" s="8" t="s">
        <v>166</v>
      </c>
    </row>
    <row r="316" spans="1:14" ht="46.05" customHeight="1">
      <c r="A316" s="16" t="s">
        <v>79</v>
      </c>
      <c r="B316" s="16">
        <v>2</v>
      </c>
      <c r="C316" s="17" t="str">
        <f>三案例选用!C12</f>
        <v>SC-014</v>
      </c>
      <c r="D316" s="16" t="s">
        <v>221</v>
      </c>
      <c r="E316" s="16" t="str">
        <f t="shared" ref="E316:E321" si="43">IF(TRUE,"适用","不适用采用100/100")</f>
        <v>适用</v>
      </c>
      <c r="F316" s="17" t="str">
        <f>IF(TRUE,IF(COUNTIFS(资产清单!$A$6:$A$25,A316)&lt;&gt;1,"",IF(INDEX(资产清单!$I$6:$I$25,MATCH(A316,资产清单!$A$6:$A$25,0))="","",INDEX(资产清单!$I$6:$I$25,MATCH(A316,资产清单!$A$6:$A$25,0)))),"不适用")</f>
        <v>仓储用房</v>
      </c>
      <c r="G316" s="17" t="str">
        <f>IF(TRUE,IF(COUNTIFS(市场案例库!$A$6:$A$35,C316)&lt;&gt;1,"",IF(INDEX(市场案例库!$O$6:$O$35,MATCH(C316,市场案例库!$A$6:$A$35,0))="","",INDEX(市场案例库!$O$6:$O$35,MATCH(C316,市场案例库!$A$6:$A$35,0)))),"不适用")</f>
        <v>仓储用房</v>
      </c>
      <c r="H316" s="19">
        <f>测算参数!$B$6</f>
        <v>100</v>
      </c>
      <c r="I316" s="10">
        <v>100</v>
      </c>
      <c r="J316" s="20">
        <f t="shared" ref="J316:J321" si="44">IF(OR(C316&lt;&gt;N316,COUNT(H316:I316)&lt;&gt;2,H316&lt;=0,I316&lt;=0),"",IF(TRUE,H316/I316,H316/H316))</f>
        <v>1</v>
      </c>
      <c r="K316" s="16" t="s">
        <v>239</v>
      </c>
      <c r="L316" s="16" t="s">
        <v>215</v>
      </c>
      <c r="M316" s="16" t="str">
        <f t="shared" si="36"/>
        <v>模拟评分记录完整</v>
      </c>
      <c r="N316" s="8" t="s">
        <v>166</v>
      </c>
    </row>
    <row r="317" spans="1:14" ht="46.05" customHeight="1">
      <c r="A317" s="16" t="s">
        <v>79</v>
      </c>
      <c r="B317" s="16">
        <v>2</v>
      </c>
      <c r="C317" s="17" t="str">
        <f>三案例选用!C12</f>
        <v>SC-014</v>
      </c>
      <c r="D317" s="16" t="s">
        <v>222</v>
      </c>
      <c r="E317" s="16" t="str">
        <f t="shared" si="43"/>
        <v>适用</v>
      </c>
      <c r="F317" s="17" t="str">
        <f>IF(TRUE,IF(COUNTIFS(资产清单!$A$6:$A$25,A317)&lt;&gt;1,"",IF(INDEX(资产清单!$I$6:$I$25,MATCH(A317,资产清单!$A$6:$A$25,0))="","",INDEX(资产清单!$I$6:$I$25,MATCH(A317,资产清单!$A$6:$A$25,0)))),"不适用")</f>
        <v>仓储用房</v>
      </c>
      <c r="G317" s="17" t="str">
        <f>IF(TRUE,IF(COUNTIFS(市场案例库!$A$6:$A$35,C317)&lt;&gt;1,"",IF(INDEX(市场案例库!$O$6:$O$35,MATCH(C317,市场案例库!$A$6:$A$35,0))="","",INDEX(市场案例库!$O$6:$O$35,MATCH(C317,市场案例库!$A$6:$A$35,0)))),"不适用")</f>
        <v>仓储用房</v>
      </c>
      <c r="H317" s="19">
        <f>测算参数!$B$6</f>
        <v>100</v>
      </c>
      <c r="I317" s="10">
        <v>100</v>
      </c>
      <c r="J317" s="20">
        <f t="shared" si="44"/>
        <v>1</v>
      </c>
      <c r="K317" s="16" t="s">
        <v>239</v>
      </c>
      <c r="L317" s="16" t="s">
        <v>215</v>
      </c>
      <c r="M317" s="16" t="str">
        <f t="shared" si="36"/>
        <v>模拟评分记录完整</v>
      </c>
      <c r="N317" s="8" t="s">
        <v>166</v>
      </c>
    </row>
    <row r="318" spans="1:14" ht="46.05" customHeight="1">
      <c r="A318" s="16" t="s">
        <v>79</v>
      </c>
      <c r="B318" s="16">
        <v>2</v>
      </c>
      <c r="C318" s="17" t="str">
        <f>三案例选用!C12</f>
        <v>SC-014</v>
      </c>
      <c r="D318" s="16" t="s">
        <v>224</v>
      </c>
      <c r="E318" s="16" t="str">
        <f t="shared" si="43"/>
        <v>适用</v>
      </c>
      <c r="F318" s="17" t="str">
        <f>IF(TRUE,IF(COUNTIFS(资产清单!$A$6:$A$25,A318)&lt;&gt;1,"",IF(INDEX(资产清单!$I$6:$I$25,MATCH(A318,资产清单!$A$6:$A$25,0))="","",INDEX(资产清单!$I$6:$I$25,MATCH(A318,资产清单!$A$6:$A$25,0)))),"不适用")</f>
        <v>仓储用房</v>
      </c>
      <c r="G318" s="17" t="str">
        <f>IF(TRUE,IF(COUNTIFS(市场案例库!$A$6:$A$35,C318)&lt;&gt;1,"",IF(INDEX(市场案例库!$O$6:$O$35,MATCH(C318,市场案例库!$A$6:$A$35,0))="","",INDEX(市场案例库!$O$6:$O$35,MATCH(C318,市场案例库!$A$6:$A$35,0)))),"不适用")</f>
        <v>仓储用房</v>
      </c>
      <c r="H318" s="19">
        <f>测算参数!$B$6</f>
        <v>100</v>
      </c>
      <c r="I318" s="10">
        <v>100</v>
      </c>
      <c r="J318" s="20">
        <f t="shared" si="44"/>
        <v>1</v>
      </c>
      <c r="K318" s="16" t="s">
        <v>239</v>
      </c>
      <c r="L318" s="16" t="s">
        <v>215</v>
      </c>
      <c r="M318" s="16" t="str">
        <f t="shared" si="36"/>
        <v>模拟评分记录完整</v>
      </c>
      <c r="N318" s="8" t="s">
        <v>166</v>
      </c>
    </row>
    <row r="319" spans="1:14" ht="46.05" customHeight="1">
      <c r="A319" s="16" t="s">
        <v>79</v>
      </c>
      <c r="B319" s="16">
        <v>2</v>
      </c>
      <c r="C319" s="17" t="str">
        <f>三案例选用!C12</f>
        <v>SC-014</v>
      </c>
      <c r="D319" s="16" t="s">
        <v>225</v>
      </c>
      <c r="E319" s="16" t="str">
        <f t="shared" si="43"/>
        <v>适用</v>
      </c>
      <c r="F319" s="17" t="str">
        <f>IF(TRUE,IF(COUNTIFS(资产清单!$A$6:$A$25,A319)&lt;&gt;1,"",IF(INDEX(资产清单!$I$6:$I$25,MATCH(A319,资产清单!$A$6:$A$25,0))="","",INDEX(资产清单!$I$6:$I$25,MATCH(A319,资产清单!$A$6:$A$25,0)))),"不适用")</f>
        <v>仓储用房</v>
      </c>
      <c r="G319" s="17" t="str">
        <f>IF(TRUE,IF(COUNTIFS(市场案例库!$A$6:$A$35,C319)&lt;&gt;1,"",IF(INDEX(市场案例库!$O$6:$O$35,MATCH(C319,市场案例库!$A$6:$A$35,0))="","",INDEX(市场案例库!$O$6:$O$35,MATCH(C319,市场案例库!$A$6:$A$35,0)))),"不适用")</f>
        <v>仓储用房</v>
      </c>
      <c r="H319" s="19">
        <f>测算参数!$B$6</f>
        <v>100</v>
      </c>
      <c r="I319" s="10">
        <v>100</v>
      </c>
      <c r="J319" s="20">
        <f t="shared" si="44"/>
        <v>1</v>
      </c>
      <c r="K319" s="16" t="s">
        <v>239</v>
      </c>
      <c r="L319" s="16" t="s">
        <v>215</v>
      </c>
      <c r="M319" s="16" t="str">
        <f t="shared" si="36"/>
        <v>模拟评分记录完整</v>
      </c>
      <c r="N319" s="8" t="s">
        <v>166</v>
      </c>
    </row>
    <row r="320" spans="1:14" ht="46.05" customHeight="1">
      <c r="A320" s="16" t="s">
        <v>79</v>
      </c>
      <c r="B320" s="16">
        <v>2</v>
      </c>
      <c r="C320" s="17" t="str">
        <f>三案例选用!C12</f>
        <v>SC-014</v>
      </c>
      <c r="D320" s="16" t="s">
        <v>226</v>
      </c>
      <c r="E320" s="16" t="str">
        <f t="shared" si="43"/>
        <v>适用</v>
      </c>
      <c r="F320" s="17" t="str">
        <f>IF(TRUE,IF(COUNTIFS(资产清单!$A$6:$A$25,A320)&lt;&gt;1,"",IF(INDEX(资产清单!$I$6:$I$25,MATCH(A320,资产清单!$A$6:$A$25,0))="","",INDEX(资产清单!$I$6:$I$25,MATCH(A320,资产清单!$A$6:$A$25,0)))),"不适用")</f>
        <v>仓储用房</v>
      </c>
      <c r="G320" s="17" t="str">
        <f>IF(TRUE,IF(COUNTIFS(市场案例库!$A$6:$A$35,C320)&lt;&gt;1,"",IF(INDEX(市场案例库!$O$6:$O$35,MATCH(C320,市场案例库!$A$6:$A$35,0))="","",INDEX(市场案例库!$O$6:$O$35,MATCH(C320,市场案例库!$A$6:$A$35,0)))),"不适用")</f>
        <v>仓储用房</v>
      </c>
      <c r="H320" s="19">
        <f>测算参数!$B$6</f>
        <v>100</v>
      </c>
      <c r="I320" s="10">
        <v>100</v>
      </c>
      <c r="J320" s="20">
        <f t="shared" si="44"/>
        <v>1</v>
      </c>
      <c r="K320" s="16" t="s">
        <v>239</v>
      </c>
      <c r="L320" s="16" t="s">
        <v>215</v>
      </c>
      <c r="M320" s="16" t="str">
        <f t="shared" si="36"/>
        <v>模拟评分记录完整</v>
      </c>
      <c r="N320" s="8" t="s">
        <v>166</v>
      </c>
    </row>
    <row r="321" spans="1:14" ht="46.05" customHeight="1">
      <c r="A321" s="16" t="s">
        <v>79</v>
      </c>
      <c r="B321" s="16">
        <v>2</v>
      </c>
      <c r="C321" s="17" t="str">
        <f>三案例选用!C12</f>
        <v>SC-014</v>
      </c>
      <c r="D321" s="16" t="s">
        <v>227</v>
      </c>
      <c r="E321" s="16" t="str">
        <f t="shared" si="43"/>
        <v>适用</v>
      </c>
      <c r="F321" s="17" t="str">
        <f>IF(TRUE,IF(COUNTIFS(资产清单!$A$6:$A$25,A321)&lt;&gt;1,"",IF(INDEX(资产清单!$I$6:$I$25,MATCH(A321,资产清单!$A$6:$A$25,0))="","",INDEX(资产清单!$I$6:$I$25,MATCH(A321,资产清单!$A$6:$A$25,0)))),"不适用")</f>
        <v>仓储用房</v>
      </c>
      <c r="G321" s="17" t="str">
        <f>IF(TRUE,IF(COUNTIFS(市场案例库!$A$6:$A$35,C321)&lt;&gt;1,"",IF(INDEX(市场案例库!$O$6:$O$35,MATCH(C321,市场案例库!$A$6:$A$35,0))="","",INDEX(市场案例库!$O$6:$O$35,MATCH(C321,市场案例库!$A$6:$A$35,0)))),"不适用")</f>
        <v>仓储用房</v>
      </c>
      <c r="H321" s="19">
        <f>测算参数!$B$6</f>
        <v>100</v>
      </c>
      <c r="I321" s="10">
        <v>100</v>
      </c>
      <c r="J321" s="20">
        <f t="shared" si="44"/>
        <v>1</v>
      </c>
      <c r="K321" s="16" t="s">
        <v>239</v>
      </c>
      <c r="L321" s="16" t="s">
        <v>215</v>
      </c>
      <c r="M321" s="16" t="str">
        <f t="shared" si="36"/>
        <v>模拟评分记录完整</v>
      </c>
      <c r="N321" s="8" t="s">
        <v>166</v>
      </c>
    </row>
    <row r="322" spans="1:14" ht="46.05" customHeight="1">
      <c r="A322" s="16" t="s">
        <v>79</v>
      </c>
      <c r="B322" s="16">
        <v>2</v>
      </c>
      <c r="C322" s="17" t="str">
        <f>三案例选用!C12</f>
        <v>SC-014</v>
      </c>
      <c r="D322" s="16" t="s">
        <v>228</v>
      </c>
      <c r="E322" s="17" t="str">
        <f>IF(AND(IF(COUNTIFS(资产清单!$A$6:$A$25,A322)&lt;&gt;1,"",IF(INDEX(资产清单!$H$6:$H$25,MATCH(A322,资产清单!$A$6:$A$25,0))="","",INDEX(资产清单!$H$6:$H$25,MATCH(A322,资产清单!$A$6:$A$25,0))))&lt;&gt;"场地",IF(COUNTIFS(资产清单!$A$6:$A$25,A322)&lt;&gt;1,"",IF(INDEX(资产清单!$H$6:$H$25,MATCH(A322,资产清单!$A$6:$A$25,0))="","",INDEX(资产清单!$H$6:$H$25,MATCH(A322,资产清单!$A$6:$A$25,0))))&lt;&gt;"车位",IF(COUNTIFS(资产清单!$A$6:$A$25,A322)&lt;&gt;1,"",IF(INDEX(资产清单!$H$6:$H$25,MATCH(A322,资产清单!$A$6:$A$25,0))="","",INDEX(资产清单!$H$6:$H$25,MATCH(A322,资产清单!$A$6:$A$25,0))))&lt;&gt;"通信基站"),"适用","不适用采用100/100")</f>
        <v>适用</v>
      </c>
      <c r="F322" s="17" t="str">
        <f>IF(AND(IF(COUNTIFS(资产清单!$A$6:$A$25,A322)&lt;&gt;1,"",IF(INDEX(资产清单!$H$6:$H$25,MATCH(A322,资产清单!$A$6:$A$25,0))="","",INDEX(资产清单!$H$6:$H$25,MATCH(A322,资产清单!$A$6:$A$25,0))))&lt;&gt;"场地",IF(COUNTIFS(资产清单!$A$6:$A$25,A322)&lt;&gt;1,"",IF(INDEX(资产清单!$H$6:$H$25,MATCH(A322,资产清单!$A$6:$A$25,0))="","",INDEX(资产清单!$H$6:$H$25,MATCH(A322,资产清单!$A$6:$A$25,0))))&lt;&gt;"车位",IF(COUNTIFS(资产清单!$A$6:$A$25,A322)&lt;&gt;1,"",IF(INDEX(资产清单!$H$6:$H$25,MATCH(A322,资产清单!$A$6:$A$25,0))="","",INDEX(资产清单!$H$6:$H$25,MATCH(A322,资产清单!$A$6:$A$25,0))))&lt;&gt;"通信基站"),IF(COUNTIFS(资产清单!$A$6:$A$25,A322)&lt;&gt;1,"",IF(INDEX(资产清单!$I$6:$I$25,MATCH(A322,资产清单!$A$6:$A$25,0))="","",INDEX(资产清单!$I$6:$I$25,MATCH(A322,资产清单!$A$6:$A$25,0)))),"不适用")</f>
        <v>仓储用房</v>
      </c>
      <c r="G322" s="17" t="str">
        <f>IF(AND(IF(COUNTIFS(资产清单!$A$6:$A$25,A322)&lt;&gt;1,"",IF(INDEX(资产清单!$H$6:$H$25,MATCH(A322,资产清单!$A$6:$A$25,0))="","",INDEX(资产清单!$H$6:$H$25,MATCH(A322,资产清单!$A$6:$A$25,0))))&lt;&gt;"场地",IF(COUNTIFS(资产清单!$A$6:$A$25,A322)&lt;&gt;1,"",IF(INDEX(资产清单!$H$6:$H$25,MATCH(A322,资产清单!$A$6:$A$25,0))="","",INDEX(资产清单!$H$6:$H$25,MATCH(A322,资产清单!$A$6:$A$25,0))))&lt;&gt;"车位",IF(COUNTIFS(资产清单!$A$6:$A$25,A322)&lt;&gt;1,"",IF(INDEX(资产清单!$H$6:$H$25,MATCH(A322,资产清单!$A$6:$A$25,0))="","",INDEX(资产清单!$H$6:$H$25,MATCH(A322,资产清单!$A$6:$A$25,0))))&lt;&gt;"通信基站"),IF(COUNTIFS(市场案例库!$A$6:$A$35,C322)&lt;&gt;1,"",IF(INDEX(市场案例库!$O$6:$O$35,MATCH(C322,市场案例库!$A$6:$A$35,0))="","",INDEX(市场案例库!$O$6:$O$35,MATCH(C322,市场案例库!$A$6:$A$35,0)))),"不适用")</f>
        <v>仓储用房</v>
      </c>
      <c r="H322" s="19">
        <f>测算参数!$B$6</f>
        <v>100</v>
      </c>
      <c r="I322" s="10">
        <v>100</v>
      </c>
      <c r="J322" s="21">
        <f>IF(OR(C322&lt;&gt;N322,COUNT(H322:I322)&lt;&gt;2,H322&lt;=0,I322&lt;=0),"",IF(AND(IF(COUNTIFS(资产清单!$A$6:$A$25,A322)&lt;&gt;1,"",IF(INDEX(资产清单!$H$6:$H$25,MATCH(A322,资产清单!$A$6:$A$25,0))="","",INDEX(资产清单!$H$6:$H$25,MATCH(A322,资产清单!$A$6:$A$25,0))))&lt;&gt;"场地",IF(COUNTIFS(资产清单!$A$6:$A$25,A322)&lt;&gt;1,"",IF(INDEX(资产清单!$H$6:$H$25,MATCH(A322,资产清单!$A$6:$A$25,0))="","",INDEX(资产清单!$H$6:$H$25,MATCH(A322,资产清单!$A$6:$A$25,0))))&lt;&gt;"车位",IF(COUNTIFS(资产清单!$A$6:$A$25,A322)&lt;&gt;1,"",IF(INDEX(资产清单!$H$6:$H$25,MATCH(A322,资产清单!$A$6:$A$25,0))="","",INDEX(资产清单!$H$6:$H$25,MATCH(A322,资产清单!$A$6:$A$25,0))))&lt;&gt;"通信基站"),H322/I322,H322/H322))</f>
        <v>1</v>
      </c>
      <c r="K322" s="16" t="s">
        <v>239</v>
      </c>
      <c r="L322" s="16" t="s">
        <v>215</v>
      </c>
      <c r="M322" s="16" t="str">
        <f t="shared" si="36"/>
        <v>模拟评分记录完整</v>
      </c>
      <c r="N322" s="8" t="s">
        <v>166</v>
      </c>
    </row>
    <row r="323" spans="1:14" ht="46.05" customHeight="1">
      <c r="A323" s="16" t="s">
        <v>79</v>
      </c>
      <c r="B323" s="16">
        <v>2</v>
      </c>
      <c r="C323" s="17" t="str">
        <f>三案例选用!C12</f>
        <v>SC-014</v>
      </c>
      <c r="D323" s="16" t="s">
        <v>229</v>
      </c>
      <c r="E323" s="17" t="str">
        <f>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"适用","不适用采用100/100")</f>
        <v>适用</v>
      </c>
      <c r="F323" s="17">
        <f>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IF(COUNTIFS(资产清单!$A$6:$A$25,A323)&lt;&gt;1,"",IF(COUNT(INDEX(资产清单!$N$6:$N$25,MATCH(A323,资产清单!$A$6:$A$25,0)))&lt;&gt;1,"",INDEX(资产清单!$N$6:$N$25,MATCH(A323,资产清单!$A$6:$A$25,0)))),"不适用")</f>
        <v>1</v>
      </c>
      <c r="G323" s="17">
        <f>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IF(COUNTIFS(市场案例库!$A$6:$A$35,C323)&lt;&gt;1,"",IF(COUNT(INDEX(市场案例库!$I$6:$I$35,MATCH(C323,市场案例库!$A$6:$A$35,0)))&lt;&gt;1,"",INDEX(市场案例库!$I$6:$I$35,MATCH(C323,市场案例库!$A$6:$A$35,0)))),"不适用")</f>
        <v>2</v>
      </c>
      <c r="H323" s="19">
        <f>测算参数!$B$6</f>
        <v>100</v>
      </c>
      <c r="I323" s="19">
        <f>IF(OR(COUNTIFS(市场案例库!$A$6:$A$35,C323)&lt;&gt;1,AND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OR(COUNT(IF(COUNTIFS(资产清单!$A$6:$A$25,A323)&lt;&gt;1,"",IF(COUNT(INDEX(资产清单!$N$6:$N$25,MATCH(A323,资产清单!$A$6:$A$25,0)))&lt;&gt;1,"",INDEX(资产清单!$N$6:$N$25,MATCH(A323,资产清单!$A$6:$A$25,0)))),IF(COUNTIFS(市场案例库!$A$6:$A$35,C323)&lt;&gt;1,"",IF(COUNT(INDEX(市场案例库!$I$6:$I$35,MATCH(C323,市场案例库!$A$6:$A$35,0)))&lt;&gt;1,"",INDEX(市场案例库!$I$6:$I$35,MATCH(C323,市场案例库!$A$6:$A$35,0)))))&lt;&gt;2,IF(COUNTIFS(资产清单!$A$6:$A$25,A323)&lt;&gt;1,"",IF(COUNT(INDEX(资产清单!$N$6:$N$25,MATCH(A323,资产清单!$A$6:$A$25,0)))&lt;&gt;1,"",INDEX(资产清单!$N$6:$N$25,MATCH(A323,资产清单!$A$6:$A$25,0))))&lt;1,IF(COUNTIFS(资产清单!$A$6:$A$25,A323)&lt;&gt;1,"",IF(COUNT(INDEX(资产清单!$N$6:$N$25,MATCH(A323,资产清单!$A$6:$A$25,0)))&lt;&gt;1,"",INDEX(资产清单!$N$6:$N$25,MATCH(A323,资产清单!$A$6:$A$25,0))))&gt;4,IF(COUNTIFS(市场案例库!$A$6:$A$35,C323)&lt;&gt;1,"",IF(COUNT(INDEX(市场案例库!$I$6:$I$35,MATCH(C323,市场案例库!$A$6:$A$35,0)))&lt;&gt;1,"",INDEX(市场案例库!$I$6:$I$35,MATCH(C323,市场案例库!$A$6:$A$35,0))))&lt;1,IF(COUNTIFS(市场案例库!$A$6:$A$35,C323)&lt;&gt;1,"",IF(COUNT(INDEX(市场案例库!$I$6:$I$35,MATCH(C323,市场案例库!$A$6:$A$35,0)))&lt;&gt;1,"",INDEX(市场案例库!$I$6:$I$35,MATCH(C323,市场案例库!$A$6:$A$35,0))))&gt;4))),"",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INDEX(测算参数!$B$35:$B$41,MATCH(IF(COUNTIFS(市场案例库!$A$6:$A$35,C323)&lt;&gt;1,"",IF(COUNT(INDEX(市场案例库!$I$6:$I$35,MATCH(C323,市场案例库!$A$6:$A$35,0)))&lt;&gt;1,"",INDEX(市场案例库!$I$6:$I$35,MATCH(C323,市场案例库!$A$6:$A$35,0))))-IF(COUNTIFS(资产清单!$A$6:$A$25,A323)&lt;&gt;1,"",IF(COUNT(INDEX(资产清单!$N$6:$N$25,MATCH(A323,资产清单!$A$6:$A$25,0)))&lt;&gt;1,"",INDEX(资产清单!$N$6:$N$25,MATCH(A323,资产清单!$A$6:$A$25,0)))),测算参数!$A$35:$A$41,0)),测算参数!$B$6))</f>
        <v>102</v>
      </c>
      <c r="J323" s="21">
        <f>IF(OR(C323&lt;&gt;N323,COUNT(H323:I323)&lt;&gt;2,H323&lt;=0,I323&lt;=0),"",IF(AND(IF(COUNTIFS(资产清单!$A$6:$A$25,A323)&lt;&gt;1,"",IF(INDEX(资产清单!$H$6:$H$25,MATCH(A323,资产清单!$A$6:$A$25,0))="","",INDEX(资产清单!$H$6:$H$25,MATCH(A323,资产清单!$A$6:$A$25,0))))&lt;&gt;"场地",IF(COUNTIFS(资产清单!$A$6:$A$25,A323)&lt;&gt;1,"",IF(INDEX(资产清单!$H$6:$H$25,MATCH(A323,资产清单!$A$6:$A$25,0))="","",INDEX(资产清单!$H$6:$H$25,MATCH(A323,资产清单!$A$6:$A$25,0))))&lt;&gt;"车位",IF(COUNTIFS(资产清单!$A$6:$A$25,A323)&lt;&gt;1,"",IF(INDEX(资产清单!$H$6:$H$25,MATCH(A323,资产清单!$A$6:$A$25,0))="","",INDEX(资产清单!$H$6:$H$25,MATCH(A323,资产清单!$A$6:$A$25,0))))&lt;&gt;"通信基站"),H323/I323,H323/H323))</f>
        <v>0.98039215686274506</v>
      </c>
      <c r="K323" s="16" t="s">
        <v>239</v>
      </c>
      <c r="L323" s="16" t="s">
        <v>230</v>
      </c>
      <c r="M323" s="16" t="str">
        <f t="shared" si="36"/>
        <v>模拟评分记录完整</v>
      </c>
      <c r="N323" s="8" t="s">
        <v>166</v>
      </c>
    </row>
    <row r="324" spans="1:14" ht="46.05" customHeight="1">
      <c r="A324" s="16" t="s">
        <v>79</v>
      </c>
      <c r="B324" s="16">
        <v>2</v>
      </c>
      <c r="C324" s="17" t="str">
        <f>三案例选用!C12</f>
        <v>SC-014</v>
      </c>
      <c r="D324" s="16" t="s">
        <v>231</v>
      </c>
      <c r="E324" s="17" t="str">
        <f>IF(AND(IF(COUNTIFS(资产清单!$A$6:$A$25,A324)&lt;&gt;1,"",IF(INDEX(资产清单!$H$6:$H$25,MATCH(A324,资产清单!$A$6:$A$25,0))="","",INDEX(资产清单!$H$6:$H$25,MATCH(A324,资产清单!$A$6:$A$25,0))))&lt;&gt;"场地",IF(COUNTIFS(资产清单!$A$6:$A$25,A324)&lt;&gt;1,"",IF(INDEX(资产清单!$H$6:$H$25,MATCH(A324,资产清单!$A$6:$A$25,0))="","",INDEX(资产清单!$H$6:$H$25,MATCH(A324,资产清单!$A$6:$A$25,0))))&lt;&gt;"车位",IF(COUNTIFS(资产清单!$A$6:$A$25,A324)&lt;&gt;1,"",IF(INDEX(资产清单!$H$6:$H$25,MATCH(A324,资产清单!$A$6:$A$25,0))="","",INDEX(资产清单!$H$6:$H$25,MATCH(A324,资产清单!$A$6:$A$25,0))))&lt;&gt;"通信基站"),"适用","不适用采用100/100")</f>
        <v>适用</v>
      </c>
      <c r="F324" s="17" t="str">
        <f>IF(AND(IF(COUNTIFS(资产清单!$A$6:$A$25,A324)&lt;&gt;1,"",IF(INDEX(资产清单!$H$6:$H$25,MATCH(A324,资产清单!$A$6:$A$25,0))="","",INDEX(资产清单!$H$6:$H$25,MATCH(A324,资产清单!$A$6:$A$25,0))))&lt;&gt;"场地",IF(COUNTIFS(资产清单!$A$6:$A$25,A324)&lt;&gt;1,"",IF(INDEX(资产清单!$H$6:$H$25,MATCH(A324,资产清单!$A$6:$A$25,0))="","",INDEX(资产清单!$H$6:$H$25,MATCH(A324,资产清单!$A$6:$A$25,0))))&lt;&gt;"车位",IF(COUNTIFS(资产清单!$A$6:$A$25,A324)&lt;&gt;1,"",IF(INDEX(资产清单!$H$6:$H$25,MATCH(A324,资产清单!$A$6:$A$25,0))="","",INDEX(资产清单!$H$6:$H$25,MATCH(A324,资产清单!$A$6:$A$25,0))))&lt;&gt;"通信基站"),IF(COUNTIFS(资产清单!$A$6:$A$25,A324)&lt;&gt;1,"",IF(INDEX(资产清单!$I$6:$I$25,MATCH(A324,资产清单!$A$6:$A$25,0))="","",INDEX(资产清单!$I$6:$I$25,MATCH(A324,资产清单!$A$6:$A$25,0)))),"不适用")</f>
        <v>仓储用房</v>
      </c>
      <c r="G324" s="17" t="str">
        <f>IF(AND(IF(COUNTIFS(资产清单!$A$6:$A$25,A324)&lt;&gt;1,"",IF(INDEX(资产清单!$H$6:$H$25,MATCH(A324,资产清单!$A$6:$A$25,0))="","",INDEX(资产清单!$H$6:$H$25,MATCH(A324,资产清单!$A$6:$A$25,0))))&lt;&gt;"场地",IF(COUNTIFS(资产清单!$A$6:$A$25,A324)&lt;&gt;1,"",IF(INDEX(资产清单!$H$6:$H$25,MATCH(A324,资产清单!$A$6:$A$25,0))="","",INDEX(资产清单!$H$6:$H$25,MATCH(A324,资产清单!$A$6:$A$25,0))))&lt;&gt;"车位",IF(COUNTIFS(资产清单!$A$6:$A$25,A324)&lt;&gt;1,"",IF(INDEX(资产清单!$H$6:$H$25,MATCH(A324,资产清单!$A$6:$A$25,0))="","",INDEX(资产清单!$H$6:$H$25,MATCH(A324,资产清单!$A$6:$A$25,0))))&lt;&gt;"通信基站"),IF(COUNTIFS(市场案例库!$A$6:$A$35,C324)&lt;&gt;1,"",IF(INDEX(市场案例库!$O$6:$O$35,MATCH(C324,市场案例库!$A$6:$A$35,0))="","",INDEX(市场案例库!$O$6:$O$35,MATCH(C324,市场案例库!$A$6:$A$35,0)))),"不适用")</f>
        <v>仓储用房</v>
      </c>
      <c r="H324" s="19">
        <f>测算参数!$B$6</f>
        <v>100</v>
      </c>
      <c r="I324" s="10">
        <v>100</v>
      </c>
      <c r="J324" s="21">
        <f>IF(OR(C324&lt;&gt;N324,COUNT(H324:I324)&lt;&gt;2,H324&lt;=0,I324&lt;=0),"",IF(AND(IF(COUNTIFS(资产清单!$A$6:$A$25,A324)&lt;&gt;1,"",IF(INDEX(资产清单!$H$6:$H$25,MATCH(A324,资产清单!$A$6:$A$25,0))="","",INDEX(资产清单!$H$6:$H$25,MATCH(A324,资产清单!$A$6:$A$25,0))))&lt;&gt;"场地",IF(COUNTIFS(资产清单!$A$6:$A$25,A324)&lt;&gt;1,"",IF(INDEX(资产清单!$H$6:$H$25,MATCH(A324,资产清单!$A$6:$A$25,0))="","",INDEX(资产清单!$H$6:$H$25,MATCH(A324,资产清单!$A$6:$A$25,0))))&lt;&gt;"车位",IF(COUNTIFS(资产清单!$A$6:$A$25,A324)&lt;&gt;1,"",IF(INDEX(资产清单!$H$6:$H$25,MATCH(A324,资产清单!$A$6:$A$25,0))="","",INDEX(资产清单!$H$6:$H$25,MATCH(A324,资产清单!$A$6:$A$25,0))))&lt;&gt;"通信基站"),H324/I324,H324/H324))</f>
        <v>1</v>
      </c>
      <c r="K324" s="16" t="s">
        <v>239</v>
      </c>
      <c r="L324" s="16" t="s">
        <v>215</v>
      </c>
      <c r="M324" s="16" t="str">
        <f t="shared" si="36"/>
        <v>模拟评分记录完整</v>
      </c>
      <c r="N324" s="8" t="s">
        <v>166</v>
      </c>
    </row>
    <row r="325" spans="1:14" ht="46.05" customHeight="1">
      <c r="A325" s="16" t="s">
        <v>79</v>
      </c>
      <c r="B325" s="16">
        <v>2</v>
      </c>
      <c r="C325" s="17" t="str">
        <f>三案例选用!C12</f>
        <v>SC-014</v>
      </c>
      <c r="D325" s="16" t="s">
        <v>232</v>
      </c>
      <c r="E325" s="16" t="str">
        <f>IF(TRUE,"适用","不适用采用100/100")</f>
        <v>适用</v>
      </c>
      <c r="F325" s="17" t="str">
        <f>IF(TRUE,IF(COUNTIFS(资产清单!$A$6:$A$25,A325)&lt;&gt;1,"",IF(INDEX(资产清单!$I$6:$I$25,MATCH(A325,资产清单!$A$6:$A$25,0))="","",INDEX(资产清单!$I$6:$I$25,MATCH(A325,资产清单!$A$6:$A$25,0)))),"不适用")</f>
        <v>仓储用房</v>
      </c>
      <c r="G325" s="17" t="str">
        <f>IF(TRUE,IF(COUNTIFS(市场案例库!$A$6:$A$35,C325)&lt;&gt;1,"",IF(INDEX(市场案例库!$O$6:$O$35,MATCH(C325,市场案例库!$A$6:$A$35,0))="","",INDEX(市场案例库!$O$6:$O$35,MATCH(C325,市场案例库!$A$6:$A$35,0)))),"不适用")</f>
        <v>仓储用房</v>
      </c>
      <c r="H325" s="19">
        <f>测算参数!$B$6</f>
        <v>100</v>
      </c>
      <c r="I325" s="10">
        <v>100</v>
      </c>
      <c r="J325" s="20">
        <f>IF(OR(C325&lt;&gt;N325,COUNT(H325:I325)&lt;&gt;2,H325&lt;=0,I325&lt;=0),"",IF(TRUE,H325/I325,H325/H325))</f>
        <v>1</v>
      </c>
      <c r="K325" s="16" t="s">
        <v>239</v>
      </c>
      <c r="L325" s="16" t="s">
        <v>215</v>
      </c>
      <c r="M325" s="16" t="str">
        <f t="shared" si="36"/>
        <v>模拟评分记录完整</v>
      </c>
      <c r="N325" s="8" t="s">
        <v>166</v>
      </c>
    </row>
    <row r="326" spans="1:14" ht="46.05" customHeight="1">
      <c r="A326" s="16" t="s">
        <v>79</v>
      </c>
      <c r="B326" s="16">
        <v>3</v>
      </c>
      <c r="C326" s="17" t="str">
        <f>三案例选用!D12</f>
        <v>SC-015</v>
      </c>
      <c r="D326" s="16" t="s">
        <v>209</v>
      </c>
      <c r="E326" s="16" t="str">
        <f>IF(TRUE,"适用","不适用采用100/100")</f>
        <v>适用</v>
      </c>
      <c r="F326" s="17" t="str">
        <f>IF(TRUE,IF(COUNTIFS(资产清单!$A$6:$A$25,A326)&lt;&gt;1,"",IF(INDEX(资产清单!$I$6:$I$25,MATCH(A326,资产清单!$A$6:$A$25,0))="","",INDEX(资产清单!$I$6:$I$25,MATCH(A326,资产清单!$A$6:$A$25,0)))),"不适用")</f>
        <v>仓储用房</v>
      </c>
      <c r="G326" s="17" t="str">
        <f>IF(TRUE,IF(COUNTIFS(市场案例库!$A$6:$A$35,C326)&lt;&gt;1,"",IF(INDEX(市场案例库!$O$6:$O$35,MATCH(C326,市场案例库!$A$6:$A$35,0))="","",INDEX(市场案例库!$O$6:$O$35,MATCH(C326,市场案例库!$A$6:$A$35,0)))),"不适用")</f>
        <v>仓储用房</v>
      </c>
      <c r="H326" s="19">
        <f>测算参数!$B$6</f>
        <v>100</v>
      </c>
      <c r="I326" s="19">
        <f>IF(OR(COUNTIFS(市场案例库!$A$6:$A$35,C326)&lt;&gt;1),"",IF(COUNTIFS(市场案例库!$A$6:$A$35,C326)&lt;&gt;1,"",IF(COUNT(INDEX(市场案例库!$M$6:$M$35,MATCH(C326,市场案例库!$A$6:$A$35,0)))&lt;&gt;1,"",INDEX(市场案例库!$M$6:$M$35,MATCH(C326,市场案例库!$A$6:$A$35,0)))))</f>
        <v>102</v>
      </c>
      <c r="J326" s="20">
        <f>IF(OR(C326&lt;&gt;N326,COUNT(H326:I326)&lt;&gt;2,H326&lt;=0,I326&lt;=0),"",IF(TRUE,H326/I326,H326/H326))</f>
        <v>0.98039215686274506</v>
      </c>
      <c r="K326" s="16" t="s">
        <v>239</v>
      </c>
      <c r="L326" s="16" t="s">
        <v>211</v>
      </c>
      <c r="M326" s="16" t="str">
        <f t="shared" ref="M326:M389" si="45">IF(C326&lt;&gt;N326,"待重判评分",IF(COUNT(J326)&lt;&gt;1,"待补评分",IF(OR(K326="",L326=""),"待补依据","模拟评分记录完整")))</f>
        <v>模拟评分记录完整</v>
      </c>
      <c r="N326" s="8" t="s">
        <v>167</v>
      </c>
    </row>
    <row r="327" spans="1:14" ht="46.05" customHeight="1">
      <c r="A327" s="16" t="s">
        <v>79</v>
      </c>
      <c r="B327" s="16">
        <v>3</v>
      </c>
      <c r="C327" s="17" t="str">
        <f>三案例选用!D12</f>
        <v>SC-015</v>
      </c>
      <c r="D327" s="16" t="s">
        <v>212</v>
      </c>
      <c r="E327" s="16" t="str">
        <f>IF(TRUE,"适用","不适用采用100/100")</f>
        <v>适用</v>
      </c>
      <c r="F327" s="17" t="str">
        <f>IF(TRUE,IF(COUNTIFS(资产清单!$A$6:$A$25,A327)&lt;&gt;1,"",IF(INDEX(资产清单!$I$6:$I$25,MATCH(A327,资产清单!$A$6:$A$25,0))="","",INDEX(资产清单!$I$6:$I$25,MATCH(A327,资产清单!$A$6:$A$25,0)))),"不适用")</f>
        <v>仓储用房</v>
      </c>
      <c r="G327" s="17" t="str">
        <f>IF(TRUE,IF(COUNTIFS(市场案例库!$A$6:$A$35,C327)&lt;&gt;1,"",IF(INDEX(市场案例库!$O$6:$O$35,MATCH(C327,市场案例库!$A$6:$A$35,0))="","",INDEX(市场案例库!$O$6:$O$35,MATCH(C327,市场案例库!$A$6:$A$35,0)))),"不适用")</f>
        <v>仓储用房</v>
      </c>
      <c r="H327" s="19">
        <f>测算参数!$B$6</f>
        <v>100</v>
      </c>
      <c r="I327" s="19">
        <f>IF(OR(COUNTIFS(市场案例库!$A$6:$A$35,C327)&lt;&gt;1),"",IF(COUNTIFS(市场案例库!$A$6:$A$35,C327)&lt;&gt;1,"",IF(COUNT(INDEX(市场案例库!$N$6:$N$35,MATCH(C327,市场案例库!$A$6:$A$35,0)))&lt;&gt;1,"",INDEX(市场案例库!$N$6:$N$35,MATCH(C327,市场案例库!$A$6:$A$35,0)))))</f>
        <v>100</v>
      </c>
      <c r="J327" s="20">
        <f>IF(OR(C327&lt;&gt;N327,COUNT(H327:I327)&lt;&gt;2,H327&lt;=0,I327&lt;=0),"",IF(TRUE,H327/I327,H327/H327))</f>
        <v>1</v>
      </c>
      <c r="K327" s="16" t="s">
        <v>239</v>
      </c>
      <c r="L327" s="16" t="s">
        <v>213</v>
      </c>
      <c r="M327" s="16" t="str">
        <f t="shared" si="45"/>
        <v>模拟评分记录完整</v>
      </c>
      <c r="N327" s="8" t="s">
        <v>167</v>
      </c>
    </row>
    <row r="328" spans="1:14" ht="46.05" customHeight="1">
      <c r="A328" s="16" t="s">
        <v>79</v>
      </c>
      <c r="B328" s="16">
        <v>3</v>
      </c>
      <c r="C328" s="17" t="str">
        <f>三案例选用!D12</f>
        <v>SC-015</v>
      </c>
      <c r="D328" s="16" t="s">
        <v>214</v>
      </c>
      <c r="E328" s="16" t="str">
        <f>IF(TRUE,"适用","不适用采用100/100")</f>
        <v>适用</v>
      </c>
      <c r="F328" s="17" t="str">
        <f>IF(TRUE,IF(COUNTIFS(资产清单!$A$6:$A$25,A328)&lt;&gt;1,"",IF(INDEX(资产清单!$I$6:$I$25,MATCH(A328,资产清单!$A$6:$A$25,0))="","",INDEX(资产清单!$I$6:$I$25,MATCH(A328,资产清单!$A$6:$A$25,0)))),"不适用")</f>
        <v>仓储用房</v>
      </c>
      <c r="G328" s="17" t="str">
        <f>IF(TRUE,IF(COUNTIFS(市场案例库!$A$6:$A$35,C328)&lt;&gt;1,"",IF(INDEX(市场案例库!$O$6:$O$35,MATCH(C328,市场案例库!$A$6:$A$35,0))="","",INDEX(市场案例库!$O$6:$O$35,MATCH(C328,市场案例库!$A$6:$A$35,0)))),"不适用")</f>
        <v>仓储用房</v>
      </c>
      <c r="H328" s="19">
        <f>测算参数!$B$6</f>
        <v>100</v>
      </c>
      <c r="I328" s="10">
        <v>100</v>
      </c>
      <c r="J328" s="20">
        <f>IF(OR(C328&lt;&gt;N328,COUNT(H328:I328)&lt;&gt;2,H328&lt;=0,I328&lt;=0),"",IF(TRUE,H328/I328,H328/H328))</f>
        <v>1</v>
      </c>
      <c r="K328" s="16" t="s">
        <v>239</v>
      </c>
      <c r="L328" s="16" t="s">
        <v>215</v>
      </c>
      <c r="M328" s="16" t="str">
        <f t="shared" si="45"/>
        <v>模拟评分记录完整</v>
      </c>
      <c r="N328" s="8" t="s">
        <v>167</v>
      </c>
    </row>
    <row r="329" spans="1:14" ht="46.05" customHeight="1">
      <c r="A329" s="16" t="s">
        <v>79</v>
      </c>
      <c r="B329" s="16">
        <v>3</v>
      </c>
      <c r="C329" s="17" t="str">
        <f>三案例选用!D12</f>
        <v>SC-015</v>
      </c>
      <c r="D329" s="16" t="s">
        <v>216</v>
      </c>
      <c r="E329" s="16" t="str">
        <f>IF(TRUE,"适用","不适用采用100/100")</f>
        <v>适用</v>
      </c>
      <c r="F329" s="17" t="str">
        <f>IF(TRUE,IF(COUNTIFS(资产清单!$A$6:$A$25,A329)&lt;&gt;1,"",IF(INDEX(资产清单!$I$6:$I$25,MATCH(A329,资产清单!$A$6:$A$25,0))="","",INDEX(资产清单!$I$6:$I$25,MATCH(A329,资产清单!$A$6:$A$25,0)))),"不适用")</f>
        <v>仓储用房</v>
      </c>
      <c r="G329" s="17" t="str">
        <f>IF(TRUE,IF(COUNTIFS(市场案例库!$A$6:$A$35,C329)&lt;&gt;1,"",IF(INDEX(市场案例库!$O$6:$O$35,MATCH(C329,市场案例库!$A$6:$A$35,0))="","",INDEX(市场案例库!$O$6:$O$35,MATCH(C329,市场案例库!$A$6:$A$35,0)))),"不适用")</f>
        <v>仓储用房</v>
      </c>
      <c r="H329" s="19">
        <f>测算参数!$B$6</f>
        <v>100</v>
      </c>
      <c r="I329" s="10">
        <v>100</v>
      </c>
      <c r="J329" s="20">
        <f>IF(OR(C329&lt;&gt;N329,COUNT(H329:I329)&lt;&gt;2,H329&lt;=0,I329&lt;=0),"",IF(TRUE,H329/I329,H329/H329))</f>
        <v>1</v>
      </c>
      <c r="K329" s="16" t="s">
        <v>239</v>
      </c>
      <c r="L329" s="16" t="s">
        <v>215</v>
      </c>
      <c r="M329" s="16" t="str">
        <f t="shared" si="45"/>
        <v>模拟评分记录完整</v>
      </c>
      <c r="N329" s="8" t="s">
        <v>167</v>
      </c>
    </row>
    <row r="330" spans="1:14" ht="46.05" customHeight="1">
      <c r="A330" s="16" t="s">
        <v>79</v>
      </c>
      <c r="B330" s="16">
        <v>3</v>
      </c>
      <c r="C330" s="17" t="str">
        <f>三案例选用!D12</f>
        <v>SC-015</v>
      </c>
      <c r="D330" s="16" t="s">
        <v>217</v>
      </c>
      <c r="E330" s="17" t="str">
        <f>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"适用","不适用采用100/100")</f>
        <v>不适用采用100/100</v>
      </c>
      <c r="F330" s="17" t="str">
        <f>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IF(COUNTIFS(资产清单!$A$6:$A$25,A330)&lt;&gt;1,"",IF(COUNT(INDEX(资产清单!$M$6:$M$25,MATCH(A330,资产清单!$A$6:$A$25,0)))&lt;&gt;1,"",INDEX(资产清单!$M$6:$M$25,MATCH(A330,资产清单!$A$6:$A$25,0)))),"不适用")</f>
        <v>不适用</v>
      </c>
      <c r="G330" s="17" t="str">
        <f>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IF(COUNTIFS(市场案例库!$A$6:$A$35,C330)&lt;&gt;1,"",IF(COUNT(INDEX(市场案例库!$H$6:$H$35,MATCH(C330,市场案例库!$A$6:$A$35,0)))&lt;&gt;1,"",INDEX(市场案例库!$H$6:$H$35,MATCH(C330,市场案例库!$A$6:$A$35,0)))),"不适用")</f>
        <v>不适用</v>
      </c>
      <c r="H330" s="19">
        <f>测算参数!$B$6</f>
        <v>100</v>
      </c>
      <c r="I330" s="19">
        <f>IF(OR(COUNTIFS(市场案例库!$A$6:$A$35,C330)&lt;&gt;1,AND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COUNT(IF(COUNTIFS(资产清单!$A$6:$A$25,A330)&lt;&gt;1,"",IF(COUNT(INDEX(资产清单!$M$6:$M$25,MATCH(A330,资产清单!$A$6:$A$25,0)))&lt;&gt;1,"",INDEX(资产清单!$M$6:$M$25,MATCH(A330,资产清单!$A$6:$A$25,0)))),IF(COUNTIFS(市场案例库!$A$6:$A$35,C330)&lt;&gt;1,"",IF(COUNT(INDEX(市场案例库!$H$6:$H$35,MATCH(C330,市场案例库!$A$6:$A$35,0)))&lt;&gt;1,"",INDEX(市场案例库!$H$6:$H$35,MATCH(C330,市场案例库!$A$6:$A$35,0)))))&lt;&gt;2)),"",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INDEX(测算参数!$B$25:$B$31,MATCH(MAX(-测算参数!$B$11,MIN(测算参数!$B$11,IF(COUNTIFS(资产清单!$A$6:$A$25,A330)&lt;&gt;1,"",IF(COUNT(INDEX(资产清单!$M$6:$M$25,MATCH(A330,资产清单!$A$6:$A$25,0)))&lt;&gt;1,"",INDEX(资产清单!$M$6:$M$25,MATCH(A330,资产清单!$A$6:$A$25,0))))-IF(COUNTIFS(市场案例库!$A$6:$A$35,C330)&lt;&gt;1,"",IF(COUNT(INDEX(市场案例库!$H$6:$H$35,MATCH(C330,市场案例库!$A$6:$A$35,0)))&lt;&gt;1,"",INDEX(市场案例库!$H$6:$H$35,MATCH(C330,市场案例库!$A$6:$A$35,0)))))),测算参数!$A$25:$A$31,0)),测算参数!$B$6))</f>
        <v>100</v>
      </c>
      <c r="J330" s="21">
        <f>IF(OR(C330&lt;&gt;N330,COUNT(H330:I330)&lt;&gt;2,H330&lt;=0,I330&lt;=0),"",IF(OR(IF(COUNTIFS(资产清单!$A$6:$A$25,A330)&lt;&gt;1,"",IF(INDEX(资产清单!$H$6:$H$25,MATCH(A330,资产清单!$A$6:$A$25,0))="","",INDEX(资产清单!$H$6:$H$25,MATCH(A330,资产清单!$A$6:$A$25,0))))="商业",IF(COUNTIFS(资产清单!$A$6:$A$25,A330)&lt;&gt;1,"",IF(INDEX(资产清单!$H$6:$H$25,MATCH(A330,资产清单!$A$6:$A$25,0))="","",INDEX(资产清单!$H$6:$H$25,MATCH(A330,资产清单!$A$6:$A$25,0))))="办公",IF(COUNTIFS(资产清单!$A$6:$A$25,A330)&lt;&gt;1,"",IF(INDEX(资产清单!$H$6:$H$25,MATCH(A330,资产清单!$A$6:$A$25,0))="","",INDEX(资产清单!$H$6:$H$25,MATCH(A330,资产清单!$A$6:$A$25,0))))="住宅"),H330/I330,H330/H330))</f>
        <v>1</v>
      </c>
      <c r="K330" s="16" t="s">
        <v>239</v>
      </c>
      <c r="L330" s="16" t="s">
        <v>218</v>
      </c>
      <c r="M330" s="16" t="str">
        <f t="shared" si="45"/>
        <v>模拟评分记录完整</v>
      </c>
      <c r="N330" s="8" t="s">
        <v>167</v>
      </c>
    </row>
    <row r="331" spans="1:14" ht="46.05" customHeight="1">
      <c r="A331" s="16" t="s">
        <v>79</v>
      </c>
      <c r="B331" s="16">
        <v>3</v>
      </c>
      <c r="C331" s="17" t="str">
        <f>三案例选用!D12</f>
        <v>SC-015</v>
      </c>
      <c r="D331" s="16" t="s">
        <v>219</v>
      </c>
      <c r="E331" s="17" t="str">
        <f>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"适用","不适用采用100/100")</f>
        <v>适用</v>
      </c>
      <c r="F331" s="17">
        <f>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IF(COUNTIFS(资产清单!$A$6:$A$25,A331)&lt;&gt;1,"",IF(COUNT(INDEX(资产清单!$L$6:$L$25,MATCH(A331,资产清单!$A$6:$A$25,0)))&lt;&gt;1,"",INDEX(资产清单!$L$6:$L$25,MATCH(A331,资产清单!$A$6:$A$25,0)))),"不适用")</f>
        <v>500</v>
      </c>
      <c r="G331" s="17">
        <f>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IF(COUNTIFS(市场案例库!$A$6:$A$35,C331)&lt;&gt;1,"",IF(COUNT(INDEX(市场案例库!$G$6:$G$35,MATCH(C331,市场案例库!$A$6:$A$35,0)))&lt;&gt;1,"",INDEX(市场案例库!$G$6:$G$35,MATCH(C331,市场案例库!$A$6:$A$35,0)))),"不适用")</f>
        <v>500</v>
      </c>
      <c r="H331" s="19">
        <f>测算参数!$B$6</f>
        <v>100</v>
      </c>
      <c r="I331" s="19">
        <f>IF(OR(COUNTIFS(市场案例库!$A$6:$A$35,C331)&lt;&gt;1,AND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OR(COUNT(IF(COUNTIFS(资产清单!$A$6:$A$25,A331)&lt;&gt;1,"",IF(COUNT(INDEX(资产清单!$L$6:$L$25,MATCH(A331,资产清单!$A$6:$A$25,0)))&lt;&gt;1,"",INDEX(资产清单!$L$6:$L$25,MATCH(A331,资产清单!$A$6:$A$25,0)))),IF(COUNTIFS(市场案例库!$A$6:$A$35,C331)&lt;&gt;1,"",IF(COUNT(INDEX(市场案例库!$G$6:$G$35,MATCH(C331,市场案例库!$A$6:$A$35,0)))&lt;&gt;1,"",INDEX(市场案例库!$G$6:$G$35,MATCH(C331,市场案例库!$A$6:$A$35,0)))))&lt;&gt;2,IF(COUNTIFS(资产清单!$A$6:$A$25,A331)&lt;&gt;1,"",IF(COUNT(INDEX(资产清单!$L$6:$L$25,MATCH(A331,资产清单!$A$6:$A$25,0)))&lt;&gt;1,"",INDEX(资产清单!$L$6:$L$25,MATCH(A331,资产清单!$A$6:$A$25,0))))&lt;=0,IF(COUNTIFS(市场案例库!$A$6:$A$35,C331)&lt;&gt;1,"",IF(COUNT(INDEX(市场案例库!$G$6:$G$35,MATCH(C331,市场案例库!$A$6:$A$35,0)))&lt;&gt;1,"",INDEX(市场案例库!$G$6:$G$35,MATCH(C331,市场案例库!$A$6:$A$35,0))))&lt;=0))),"",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LOOKUP(IF(COUNTIFS(市场案例库!$A$6:$A$35,C331)&lt;&gt;1,"",IF(COUNT(INDEX(市场案例库!$G$6:$G$35,MATCH(C331,市场案例库!$A$6:$A$35,0)))&lt;&gt;1,"",INDEX(市场案例库!$G$6:$G$35,MATCH(C331,市场案例库!$A$6:$A$35,0))))/IF(COUNTIFS(资产清单!$A$6:$A$25,A331)&lt;&gt;1,"",IF(COUNT(INDEX(资产清单!$L$6:$L$25,MATCH(A331,资产清单!$A$6:$A$25,0)))&lt;&gt;1,"",INDEX(资产清单!$L$6:$L$25,MATCH(A331,资产清单!$A$6:$A$25,0)))),测算参数!$A$15:$A$21,测算参数!$C$15:$C$21),测算参数!$B$6))</f>
        <v>100</v>
      </c>
      <c r="J331" s="21">
        <f>IF(OR(C331&lt;&gt;N331,COUNT(H331:I331)&lt;&gt;2,H331&lt;=0,I331&lt;=0),"",IF(AND(IF(COUNTIFS(资产清单!$A$6:$A$25,A331)&lt;&gt;1,"",IF(INDEX(资产清单!$J$6:$J$25,MATCH(A331,资产清单!$A$6:$A$25,0))="","",INDEX(资产清单!$J$6:$J$25,MATCH(A331,资产清单!$A$6:$A$25,0))))="元/㎡/月",IF(COUNTIFS(资产清单!$A$6:$A$25,A331)&lt;&gt;1,"",IF(INDEX(资产清单!$H$6:$H$25,MATCH(A331,资产清单!$A$6:$A$25,0))="","",INDEX(资产清单!$H$6:$H$25,MATCH(A331,资产清单!$A$6:$A$25,0))))&lt;&gt;"场地"),H331/I331,H331/H331))</f>
        <v>1</v>
      </c>
      <c r="K331" s="16" t="s">
        <v>239</v>
      </c>
      <c r="L331" s="16" t="s">
        <v>220</v>
      </c>
      <c r="M331" s="16" t="str">
        <f t="shared" si="45"/>
        <v>模拟评分记录完整</v>
      </c>
      <c r="N331" s="8" t="s">
        <v>167</v>
      </c>
    </row>
    <row r="332" spans="1:14" ht="46.05" customHeight="1">
      <c r="A332" s="16" t="s">
        <v>79</v>
      </c>
      <c r="B332" s="16">
        <v>3</v>
      </c>
      <c r="C332" s="17" t="str">
        <f>三案例选用!D12</f>
        <v>SC-015</v>
      </c>
      <c r="D332" s="16" t="s">
        <v>221</v>
      </c>
      <c r="E332" s="16" t="str">
        <f t="shared" ref="E332:E337" si="46">IF(TRUE,"适用","不适用采用100/100")</f>
        <v>适用</v>
      </c>
      <c r="F332" s="17" t="str">
        <f>IF(TRUE,IF(COUNTIFS(资产清单!$A$6:$A$25,A332)&lt;&gt;1,"",IF(INDEX(资产清单!$I$6:$I$25,MATCH(A332,资产清单!$A$6:$A$25,0))="","",INDEX(资产清单!$I$6:$I$25,MATCH(A332,资产清单!$A$6:$A$25,0)))),"不适用")</f>
        <v>仓储用房</v>
      </c>
      <c r="G332" s="17" t="str">
        <f>IF(TRUE,IF(COUNTIFS(市场案例库!$A$6:$A$35,C332)&lt;&gt;1,"",IF(INDEX(市场案例库!$O$6:$O$35,MATCH(C332,市场案例库!$A$6:$A$35,0))="","",INDEX(市场案例库!$O$6:$O$35,MATCH(C332,市场案例库!$A$6:$A$35,0)))),"不适用")</f>
        <v>仓储用房</v>
      </c>
      <c r="H332" s="19">
        <f>测算参数!$B$6</f>
        <v>100</v>
      </c>
      <c r="I332" s="10">
        <v>100</v>
      </c>
      <c r="J332" s="20">
        <f t="shared" ref="J332:J337" si="47">IF(OR(C332&lt;&gt;N332,COUNT(H332:I332)&lt;&gt;2,H332&lt;=0,I332&lt;=0),"",IF(TRUE,H332/I332,H332/H332))</f>
        <v>1</v>
      </c>
      <c r="K332" s="16" t="s">
        <v>239</v>
      </c>
      <c r="L332" s="16" t="s">
        <v>215</v>
      </c>
      <c r="M332" s="16" t="str">
        <f t="shared" si="45"/>
        <v>模拟评分记录完整</v>
      </c>
      <c r="N332" s="8" t="s">
        <v>167</v>
      </c>
    </row>
    <row r="333" spans="1:14" ht="46.05" customHeight="1">
      <c r="A333" s="16" t="s">
        <v>79</v>
      </c>
      <c r="B333" s="16">
        <v>3</v>
      </c>
      <c r="C333" s="17" t="str">
        <f>三案例选用!D12</f>
        <v>SC-015</v>
      </c>
      <c r="D333" s="16" t="s">
        <v>222</v>
      </c>
      <c r="E333" s="16" t="str">
        <f t="shared" si="46"/>
        <v>适用</v>
      </c>
      <c r="F333" s="17" t="str">
        <f>IF(TRUE,IF(COUNTIFS(资产清单!$A$6:$A$25,A333)&lt;&gt;1,"",IF(INDEX(资产清单!$I$6:$I$25,MATCH(A333,资产清单!$A$6:$A$25,0))="","",INDEX(资产清单!$I$6:$I$25,MATCH(A333,资产清单!$A$6:$A$25,0)))),"不适用")</f>
        <v>仓储用房</v>
      </c>
      <c r="G333" s="17" t="str">
        <f>IF(TRUE,IF(COUNTIFS(市场案例库!$A$6:$A$35,C333)&lt;&gt;1,"",IF(INDEX(市场案例库!$O$6:$O$35,MATCH(C333,市场案例库!$A$6:$A$35,0))="","",INDEX(市场案例库!$O$6:$O$35,MATCH(C333,市场案例库!$A$6:$A$35,0)))),"不适用")</f>
        <v>仓储用房</v>
      </c>
      <c r="H333" s="19">
        <f>测算参数!$B$6</f>
        <v>100</v>
      </c>
      <c r="I333" s="10">
        <v>100</v>
      </c>
      <c r="J333" s="20">
        <f t="shared" si="47"/>
        <v>1</v>
      </c>
      <c r="K333" s="16" t="s">
        <v>239</v>
      </c>
      <c r="L333" s="16" t="s">
        <v>215</v>
      </c>
      <c r="M333" s="16" t="str">
        <f t="shared" si="45"/>
        <v>模拟评分记录完整</v>
      </c>
      <c r="N333" s="8" t="s">
        <v>167</v>
      </c>
    </row>
    <row r="334" spans="1:14" ht="46.05" customHeight="1">
      <c r="A334" s="16" t="s">
        <v>79</v>
      </c>
      <c r="B334" s="16">
        <v>3</v>
      </c>
      <c r="C334" s="17" t="str">
        <f>三案例选用!D12</f>
        <v>SC-015</v>
      </c>
      <c r="D334" s="16" t="s">
        <v>224</v>
      </c>
      <c r="E334" s="16" t="str">
        <f t="shared" si="46"/>
        <v>适用</v>
      </c>
      <c r="F334" s="17" t="str">
        <f>IF(TRUE,IF(COUNTIFS(资产清单!$A$6:$A$25,A334)&lt;&gt;1,"",IF(INDEX(资产清单!$I$6:$I$25,MATCH(A334,资产清单!$A$6:$A$25,0))="","",INDEX(资产清单!$I$6:$I$25,MATCH(A334,资产清单!$A$6:$A$25,0)))),"不适用")</f>
        <v>仓储用房</v>
      </c>
      <c r="G334" s="17" t="str">
        <f>IF(TRUE,IF(COUNTIFS(市场案例库!$A$6:$A$35,C334)&lt;&gt;1,"",IF(INDEX(市场案例库!$O$6:$O$35,MATCH(C334,市场案例库!$A$6:$A$35,0))="","",INDEX(市场案例库!$O$6:$O$35,MATCH(C334,市场案例库!$A$6:$A$35,0)))),"不适用")</f>
        <v>仓储用房</v>
      </c>
      <c r="H334" s="19">
        <f>测算参数!$B$6</f>
        <v>100</v>
      </c>
      <c r="I334" s="10">
        <v>100</v>
      </c>
      <c r="J334" s="20">
        <f t="shared" si="47"/>
        <v>1</v>
      </c>
      <c r="K334" s="16" t="s">
        <v>239</v>
      </c>
      <c r="L334" s="16" t="s">
        <v>215</v>
      </c>
      <c r="M334" s="16" t="str">
        <f t="shared" si="45"/>
        <v>模拟评分记录完整</v>
      </c>
      <c r="N334" s="8" t="s">
        <v>167</v>
      </c>
    </row>
    <row r="335" spans="1:14" ht="46.05" customHeight="1">
      <c r="A335" s="16" t="s">
        <v>79</v>
      </c>
      <c r="B335" s="16">
        <v>3</v>
      </c>
      <c r="C335" s="17" t="str">
        <f>三案例选用!D12</f>
        <v>SC-015</v>
      </c>
      <c r="D335" s="16" t="s">
        <v>225</v>
      </c>
      <c r="E335" s="16" t="str">
        <f t="shared" si="46"/>
        <v>适用</v>
      </c>
      <c r="F335" s="17" t="str">
        <f>IF(TRUE,IF(COUNTIFS(资产清单!$A$6:$A$25,A335)&lt;&gt;1,"",IF(INDEX(资产清单!$I$6:$I$25,MATCH(A335,资产清单!$A$6:$A$25,0))="","",INDEX(资产清单!$I$6:$I$25,MATCH(A335,资产清单!$A$6:$A$25,0)))),"不适用")</f>
        <v>仓储用房</v>
      </c>
      <c r="G335" s="17" t="str">
        <f>IF(TRUE,IF(COUNTIFS(市场案例库!$A$6:$A$35,C335)&lt;&gt;1,"",IF(INDEX(市场案例库!$O$6:$O$35,MATCH(C335,市场案例库!$A$6:$A$35,0))="","",INDEX(市场案例库!$O$6:$O$35,MATCH(C335,市场案例库!$A$6:$A$35,0)))),"不适用")</f>
        <v>仓储用房</v>
      </c>
      <c r="H335" s="19">
        <f>测算参数!$B$6</f>
        <v>100</v>
      </c>
      <c r="I335" s="10">
        <v>100</v>
      </c>
      <c r="J335" s="20">
        <f t="shared" si="47"/>
        <v>1</v>
      </c>
      <c r="K335" s="16" t="s">
        <v>239</v>
      </c>
      <c r="L335" s="16" t="s">
        <v>215</v>
      </c>
      <c r="M335" s="16" t="str">
        <f t="shared" si="45"/>
        <v>模拟评分记录完整</v>
      </c>
      <c r="N335" s="8" t="s">
        <v>167</v>
      </c>
    </row>
    <row r="336" spans="1:14" ht="46.05" customHeight="1">
      <c r="A336" s="16" t="s">
        <v>79</v>
      </c>
      <c r="B336" s="16">
        <v>3</v>
      </c>
      <c r="C336" s="17" t="str">
        <f>三案例选用!D12</f>
        <v>SC-015</v>
      </c>
      <c r="D336" s="16" t="s">
        <v>226</v>
      </c>
      <c r="E336" s="16" t="str">
        <f t="shared" si="46"/>
        <v>适用</v>
      </c>
      <c r="F336" s="17" t="str">
        <f>IF(TRUE,IF(COUNTIFS(资产清单!$A$6:$A$25,A336)&lt;&gt;1,"",IF(INDEX(资产清单!$I$6:$I$25,MATCH(A336,资产清单!$A$6:$A$25,0))="","",INDEX(资产清单!$I$6:$I$25,MATCH(A336,资产清单!$A$6:$A$25,0)))),"不适用")</f>
        <v>仓储用房</v>
      </c>
      <c r="G336" s="17" t="str">
        <f>IF(TRUE,IF(COUNTIFS(市场案例库!$A$6:$A$35,C336)&lt;&gt;1,"",IF(INDEX(市场案例库!$O$6:$O$35,MATCH(C336,市场案例库!$A$6:$A$35,0))="","",INDEX(市场案例库!$O$6:$O$35,MATCH(C336,市场案例库!$A$6:$A$35,0)))),"不适用")</f>
        <v>仓储用房</v>
      </c>
      <c r="H336" s="19">
        <f>测算参数!$B$6</f>
        <v>100</v>
      </c>
      <c r="I336" s="10">
        <v>100</v>
      </c>
      <c r="J336" s="20">
        <f t="shared" si="47"/>
        <v>1</v>
      </c>
      <c r="K336" s="16" t="s">
        <v>239</v>
      </c>
      <c r="L336" s="16" t="s">
        <v>215</v>
      </c>
      <c r="M336" s="16" t="str">
        <f t="shared" si="45"/>
        <v>模拟评分记录完整</v>
      </c>
      <c r="N336" s="8" t="s">
        <v>167</v>
      </c>
    </row>
    <row r="337" spans="1:14" ht="46.05" customHeight="1">
      <c r="A337" s="16" t="s">
        <v>79</v>
      </c>
      <c r="B337" s="16">
        <v>3</v>
      </c>
      <c r="C337" s="17" t="str">
        <f>三案例选用!D12</f>
        <v>SC-015</v>
      </c>
      <c r="D337" s="16" t="s">
        <v>227</v>
      </c>
      <c r="E337" s="16" t="str">
        <f t="shared" si="46"/>
        <v>适用</v>
      </c>
      <c r="F337" s="17" t="str">
        <f>IF(TRUE,IF(COUNTIFS(资产清单!$A$6:$A$25,A337)&lt;&gt;1,"",IF(INDEX(资产清单!$I$6:$I$25,MATCH(A337,资产清单!$A$6:$A$25,0))="","",INDEX(资产清单!$I$6:$I$25,MATCH(A337,资产清单!$A$6:$A$25,0)))),"不适用")</f>
        <v>仓储用房</v>
      </c>
      <c r="G337" s="17" t="str">
        <f>IF(TRUE,IF(COUNTIFS(市场案例库!$A$6:$A$35,C337)&lt;&gt;1,"",IF(INDEX(市场案例库!$O$6:$O$35,MATCH(C337,市场案例库!$A$6:$A$35,0))="","",INDEX(市场案例库!$O$6:$O$35,MATCH(C337,市场案例库!$A$6:$A$35,0)))),"不适用")</f>
        <v>仓储用房</v>
      </c>
      <c r="H337" s="19">
        <f>测算参数!$B$6</f>
        <v>100</v>
      </c>
      <c r="I337" s="10">
        <v>100</v>
      </c>
      <c r="J337" s="20">
        <f t="shared" si="47"/>
        <v>1</v>
      </c>
      <c r="K337" s="16" t="s">
        <v>239</v>
      </c>
      <c r="L337" s="16" t="s">
        <v>215</v>
      </c>
      <c r="M337" s="16" t="str">
        <f t="shared" si="45"/>
        <v>模拟评分记录完整</v>
      </c>
      <c r="N337" s="8" t="s">
        <v>167</v>
      </c>
    </row>
    <row r="338" spans="1:14" ht="46.05" customHeight="1">
      <c r="A338" s="16" t="s">
        <v>79</v>
      </c>
      <c r="B338" s="16">
        <v>3</v>
      </c>
      <c r="C338" s="17" t="str">
        <f>三案例选用!D12</f>
        <v>SC-015</v>
      </c>
      <c r="D338" s="16" t="s">
        <v>228</v>
      </c>
      <c r="E338" s="17" t="str">
        <f>IF(AND(IF(COUNTIFS(资产清单!$A$6:$A$25,A338)&lt;&gt;1,"",IF(INDEX(资产清单!$H$6:$H$25,MATCH(A338,资产清单!$A$6:$A$25,0))="","",INDEX(资产清单!$H$6:$H$25,MATCH(A338,资产清单!$A$6:$A$25,0))))&lt;&gt;"场地",IF(COUNTIFS(资产清单!$A$6:$A$25,A338)&lt;&gt;1,"",IF(INDEX(资产清单!$H$6:$H$25,MATCH(A338,资产清单!$A$6:$A$25,0))="","",INDEX(资产清单!$H$6:$H$25,MATCH(A338,资产清单!$A$6:$A$25,0))))&lt;&gt;"车位",IF(COUNTIFS(资产清单!$A$6:$A$25,A338)&lt;&gt;1,"",IF(INDEX(资产清单!$H$6:$H$25,MATCH(A338,资产清单!$A$6:$A$25,0))="","",INDEX(资产清单!$H$6:$H$25,MATCH(A338,资产清单!$A$6:$A$25,0))))&lt;&gt;"通信基站"),"适用","不适用采用100/100")</f>
        <v>适用</v>
      </c>
      <c r="F338" s="17" t="str">
        <f>IF(AND(IF(COUNTIFS(资产清单!$A$6:$A$25,A338)&lt;&gt;1,"",IF(INDEX(资产清单!$H$6:$H$25,MATCH(A338,资产清单!$A$6:$A$25,0))="","",INDEX(资产清单!$H$6:$H$25,MATCH(A338,资产清单!$A$6:$A$25,0))))&lt;&gt;"场地",IF(COUNTIFS(资产清单!$A$6:$A$25,A338)&lt;&gt;1,"",IF(INDEX(资产清单!$H$6:$H$25,MATCH(A338,资产清单!$A$6:$A$25,0))="","",INDEX(资产清单!$H$6:$H$25,MATCH(A338,资产清单!$A$6:$A$25,0))))&lt;&gt;"车位",IF(COUNTIFS(资产清单!$A$6:$A$25,A338)&lt;&gt;1,"",IF(INDEX(资产清单!$H$6:$H$25,MATCH(A338,资产清单!$A$6:$A$25,0))="","",INDEX(资产清单!$H$6:$H$25,MATCH(A338,资产清单!$A$6:$A$25,0))))&lt;&gt;"通信基站"),IF(COUNTIFS(资产清单!$A$6:$A$25,A338)&lt;&gt;1,"",IF(INDEX(资产清单!$I$6:$I$25,MATCH(A338,资产清单!$A$6:$A$25,0))="","",INDEX(资产清单!$I$6:$I$25,MATCH(A338,资产清单!$A$6:$A$25,0)))),"不适用")</f>
        <v>仓储用房</v>
      </c>
      <c r="G338" s="17" t="str">
        <f>IF(AND(IF(COUNTIFS(资产清单!$A$6:$A$25,A338)&lt;&gt;1,"",IF(INDEX(资产清单!$H$6:$H$25,MATCH(A338,资产清单!$A$6:$A$25,0))="","",INDEX(资产清单!$H$6:$H$25,MATCH(A338,资产清单!$A$6:$A$25,0))))&lt;&gt;"场地",IF(COUNTIFS(资产清单!$A$6:$A$25,A338)&lt;&gt;1,"",IF(INDEX(资产清单!$H$6:$H$25,MATCH(A338,资产清单!$A$6:$A$25,0))="","",INDEX(资产清单!$H$6:$H$25,MATCH(A338,资产清单!$A$6:$A$25,0))))&lt;&gt;"车位",IF(COUNTIFS(资产清单!$A$6:$A$25,A338)&lt;&gt;1,"",IF(INDEX(资产清单!$H$6:$H$25,MATCH(A338,资产清单!$A$6:$A$25,0))="","",INDEX(资产清单!$H$6:$H$25,MATCH(A338,资产清单!$A$6:$A$25,0))))&lt;&gt;"通信基站"),IF(COUNTIFS(市场案例库!$A$6:$A$35,C338)&lt;&gt;1,"",IF(INDEX(市场案例库!$O$6:$O$35,MATCH(C338,市场案例库!$A$6:$A$35,0))="","",INDEX(市场案例库!$O$6:$O$35,MATCH(C338,市场案例库!$A$6:$A$35,0)))),"不适用")</f>
        <v>仓储用房</v>
      </c>
      <c r="H338" s="19">
        <f>测算参数!$B$6</f>
        <v>100</v>
      </c>
      <c r="I338" s="10">
        <v>100</v>
      </c>
      <c r="J338" s="21">
        <f>IF(OR(C338&lt;&gt;N338,COUNT(H338:I338)&lt;&gt;2,H338&lt;=0,I338&lt;=0),"",IF(AND(IF(COUNTIFS(资产清单!$A$6:$A$25,A338)&lt;&gt;1,"",IF(INDEX(资产清单!$H$6:$H$25,MATCH(A338,资产清单!$A$6:$A$25,0))="","",INDEX(资产清单!$H$6:$H$25,MATCH(A338,资产清单!$A$6:$A$25,0))))&lt;&gt;"场地",IF(COUNTIFS(资产清单!$A$6:$A$25,A338)&lt;&gt;1,"",IF(INDEX(资产清单!$H$6:$H$25,MATCH(A338,资产清单!$A$6:$A$25,0))="","",INDEX(资产清单!$H$6:$H$25,MATCH(A338,资产清单!$A$6:$A$25,0))))&lt;&gt;"车位",IF(COUNTIFS(资产清单!$A$6:$A$25,A338)&lt;&gt;1,"",IF(INDEX(资产清单!$H$6:$H$25,MATCH(A338,资产清单!$A$6:$A$25,0))="","",INDEX(资产清单!$H$6:$H$25,MATCH(A338,资产清单!$A$6:$A$25,0))))&lt;&gt;"通信基站"),H338/I338,H338/H338))</f>
        <v>1</v>
      </c>
      <c r="K338" s="16" t="s">
        <v>239</v>
      </c>
      <c r="L338" s="16" t="s">
        <v>215</v>
      </c>
      <c r="M338" s="16" t="str">
        <f t="shared" si="45"/>
        <v>模拟评分记录完整</v>
      </c>
      <c r="N338" s="8" t="s">
        <v>167</v>
      </c>
    </row>
    <row r="339" spans="1:14" ht="46.05" customHeight="1">
      <c r="A339" s="16" t="s">
        <v>79</v>
      </c>
      <c r="B339" s="16">
        <v>3</v>
      </c>
      <c r="C339" s="17" t="str">
        <f>三案例选用!D12</f>
        <v>SC-015</v>
      </c>
      <c r="D339" s="16" t="s">
        <v>229</v>
      </c>
      <c r="E339" s="17" t="str">
        <f>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"适用","不适用采用100/100")</f>
        <v>适用</v>
      </c>
      <c r="F339" s="17">
        <f>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IF(COUNTIFS(资产清单!$A$6:$A$25,A339)&lt;&gt;1,"",IF(COUNT(INDEX(资产清单!$N$6:$N$25,MATCH(A339,资产清单!$A$6:$A$25,0)))&lt;&gt;1,"",INDEX(资产清单!$N$6:$N$25,MATCH(A339,资产清单!$A$6:$A$25,0)))),"不适用")</f>
        <v>1</v>
      </c>
      <c r="G339" s="17">
        <f>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IF(COUNTIFS(市场案例库!$A$6:$A$35,C339)&lt;&gt;1,"",IF(COUNT(INDEX(市场案例库!$I$6:$I$35,MATCH(C339,市场案例库!$A$6:$A$35,0)))&lt;&gt;1,"",INDEX(市场案例库!$I$6:$I$35,MATCH(C339,市场案例库!$A$6:$A$35,0)))),"不适用")</f>
        <v>1</v>
      </c>
      <c r="H339" s="19">
        <f>测算参数!$B$6</f>
        <v>100</v>
      </c>
      <c r="I339" s="19">
        <f>IF(OR(COUNTIFS(市场案例库!$A$6:$A$35,C339)&lt;&gt;1,AND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OR(COUNT(IF(COUNTIFS(资产清单!$A$6:$A$25,A339)&lt;&gt;1,"",IF(COUNT(INDEX(资产清单!$N$6:$N$25,MATCH(A339,资产清单!$A$6:$A$25,0)))&lt;&gt;1,"",INDEX(资产清单!$N$6:$N$25,MATCH(A339,资产清单!$A$6:$A$25,0)))),IF(COUNTIFS(市场案例库!$A$6:$A$35,C339)&lt;&gt;1,"",IF(COUNT(INDEX(市场案例库!$I$6:$I$35,MATCH(C339,市场案例库!$A$6:$A$35,0)))&lt;&gt;1,"",INDEX(市场案例库!$I$6:$I$35,MATCH(C339,市场案例库!$A$6:$A$35,0)))))&lt;&gt;2,IF(COUNTIFS(资产清单!$A$6:$A$25,A339)&lt;&gt;1,"",IF(COUNT(INDEX(资产清单!$N$6:$N$25,MATCH(A339,资产清单!$A$6:$A$25,0)))&lt;&gt;1,"",INDEX(资产清单!$N$6:$N$25,MATCH(A339,资产清单!$A$6:$A$25,0))))&lt;1,IF(COUNTIFS(资产清单!$A$6:$A$25,A339)&lt;&gt;1,"",IF(COUNT(INDEX(资产清单!$N$6:$N$25,MATCH(A339,资产清单!$A$6:$A$25,0)))&lt;&gt;1,"",INDEX(资产清单!$N$6:$N$25,MATCH(A339,资产清单!$A$6:$A$25,0))))&gt;4,IF(COUNTIFS(市场案例库!$A$6:$A$35,C339)&lt;&gt;1,"",IF(COUNT(INDEX(市场案例库!$I$6:$I$35,MATCH(C339,市场案例库!$A$6:$A$35,0)))&lt;&gt;1,"",INDEX(市场案例库!$I$6:$I$35,MATCH(C339,市场案例库!$A$6:$A$35,0))))&lt;1,IF(COUNTIFS(市场案例库!$A$6:$A$35,C339)&lt;&gt;1,"",IF(COUNT(INDEX(市场案例库!$I$6:$I$35,MATCH(C339,市场案例库!$A$6:$A$35,0)))&lt;&gt;1,"",INDEX(市场案例库!$I$6:$I$35,MATCH(C339,市场案例库!$A$6:$A$35,0))))&gt;4))),"",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INDEX(测算参数!$B$35:$B$41,MATCH(IF(COUNTIFS(市场案例库!$A$6:$A$35,C339)&lt;&gt;1,"",IF(COUNT(INDEX(市场案例库!$I$6:$I$35,MATCH(C339,市场案例库!$A$6:$A$35,0)))&lt;&gt;1,"",INDEX(市场案例库!$I$6:$I$35,MATCH(C339,市场案例库!$A$6:$A$35,0))))-IF(COUNTIFS(资产清单!$A$6:$A$25,A339)&lt;&gt;1,"",IF(COUNT(INDEX(资产清单!$N$6:$N$25,MATCH(A339,资产清单!$A$6:$A$25,0)))&lt;&gt;1,"",INDEX(资产清单!$N$6:$N$25,MATCH(A339,资产清单!$A$6:$A$25,0)))),测算参数!$A$35:$A$41,0)),测算参数!$B$6))</f>
        <v>100</v>
      </c>
      <c r="J339" s="21">
        <f>IF(OR(C339&lt;&gt;N339,COUNT(H339:I339)&lt;&gt;2,H339&lt;=0,I339&lt;=0),"",IF(AND(IF(COUNTIFS(资产清单!$A$6:$A$25,A339)&lt;&gt;1,"",IF(INDEX(资产清单!$H$6:$H$25,MATCH(A339,资产清单!$A$6:$A$25,0))="","",INDEX(资产清单!$H$6:$H$25,MATCH(A339,资产清单!$A$6:$A$25,0))))&lt;&gt;"场地",IF(COUNTIFS(资产清单!$A$6:$A$25,A339)&lt;&gt;1,"",IF(INDEX(资产清单!$H$6:$H$25,MATCH(A339,资产清单!$A$6:$A$25,0))="","",INDEX(资产清单!$H$6:$H$25,MATCH(A339,资产清单!$A$6:$A$25,0))))&lt;&gt;"车位",IF(COUNTIFS(资产清单!$A$6:$A$25,A339)&lt;&gt;1,"",IF(INDEX(资产清单!$H$6:$H$25,MATCH(A339,资产清单!$A$6:$A$25,0))="","",INDEX(资产清单!$H$6:$H$25,MATCH(A339,资产清单!$A$6:$A$25,0))))&lt;&gt;"通信基站"),H339/I339,H339/H339))</f>
        <v>1</v>
      </c>
      <c r="K339" s="16" t="s">
        <v>239</v>
      </c>
      <c r="L339" s="16" t="s">
        <v>230</v>
      </c>
      <c r="M339" s="16" t="str">
        <f t="shared" si="45"/>
        <v>模拟评分记录完整</v>
      </c>
      <c r="N339" s="8" t="s">
        <v>167</v>
      </c>
    </row>
    <row r="340" spans="1:14" ht="46.05" customHeight="1">
      <c r="A340" s="16" t="s">
        <v>79</v>
      </c>
      <c r="B340" s="16">
        <v>3</v>
      </c>
      <c r="C340" s="17" t="str">
        <f>三案例选用!D12</f>
        <v>SC-015</v>
      </c>
      <c r="D340" s="16" t="s">
        <v>231</v>
      </c>
      <c r="E340" s="17" t="str">
        <f>IF(AND(IF(COUNTIFS(资产清单!$A$6:$A$25,A340)&lt;&gt;1,"",IF(INDEX(资产清单!$H$6:$H$25,MATCH(A340,资产清单!$A$6:$A$25,0))="","",INDEX(资产清单!$H$6:$H$25,MATCH(A340,资产清单!$A$6:$A$25,0))))&lt;&gt;"场地",IF(COUNTIFS(资产清单!$A$6:$A$25,A340)&lt;&gt;1,"",IF(INDEX(资产清单!$H$6:$H$25,MATCH(A340,资产清单!$A$6:$A$25,0))="","",INDEX(资产清单!$H$6:$H$25,MATCH(A340,资产清单!$A$6:$A$25,0))))&lt;&gt;"车位",IF(COUNTIFS(资产清单!$A$6:$A$25,A340)&lt;&gt;1,"",IF(INDEX(资产清单!$H$6:$H$25,MATCH(A340,资产清单!$A$6:$A$25,0))="","",INDEX(资产清单!$H$6:$H$25,MATCH(A340,资产清单!$A$6:$A$25,0))))&lt;&gt;"通信基站"),"适用","不适用采用100/100")</f>
        <v>适用</v>
      </c>
      <c r="F340" s="17" t="str">
        <f>IF(AND(IF(COUNTIFS(资产清单!$A$6:$A$25,A340)&lt;&gt;1,"",IF(INDEX(资产清单!$H$6:$H$25,MATCH(A340,资产清单!$A$6:$A$25,0))="","",INDEX(资产清单!$H$6:$H$25,MATCH(A340,资产清单!$A$6:$A$25,0))))&lt;&gt;"场地",IF(COUNTIFS(资产清单!$A$6:$A$25,A340)&lt;&gt;1,"",IF(INDEX(资产清单!$H$6:$H$25,MATCH(A340,资产清单!$A$6:$A$25,0))="","",INDEX(资产清单!$H$6:$H$25,MATCH(A340,资产清单!$A$6:$A$25,0))))&lt;&gt;"车位",IF(COUNTIFS(资产清单!$A$6:$A$25,A340)&lt;&gt;1,"",IF(INDEX(资产清单!$H$6:$H$25,MATCH(A340,资产清单!$A$6:$A$25,0))="","",INDEX(资产清单!$H$6:$H$25,MATCH(A340,资产清单!$A$6:$A$25,0))))&lt;&gt;"通信基站"),IF(COUNTIFS(资产清单!$A$6:$A$25,A340)&lt;&gt;1,"",IF(INDEX(资产清单!$I$6:$I$25,MATCH(A340,资产清单!$A$6:$A$25,0))="","",INDEX(资产清单!$I$6:$I$25,MATCH(A340,资产清单!$A$6:$A$25,0)))),"不适用")</f>
        <v>仓储用房</v>
      </c>
      <c r="G340" s="17" t="str">
        <f>IF(AND(IF(COUNTIFS(资产清单!$A$6:$A$25,A340)&lt;&gt;1,"",IF(INDEX(资产清单!$H$6:$H$25,MATCH(A340,资产清单!$A$6:$A$25,0))="","",INDEX(资产清单!$H$6:$H$25,MATCH(A340,资产清单!$A$6:$A$25,0))))&lt;&gt;"场地",IF(COUNTIFS(资产清单!$A$6:$A$25,A340)&lt;&gt;1,"",IF(INDEX(资产清单!$H$6:$H$25,MATCH(A340,资产清单!$A$6:$A$25,0))="","",INDEX(资产清单!$H$6:$H$25,MATCH(A340,资产清单!$A$6:$A$25,0))))&lt;&gt;"车位",IF(COUNTIFS(资产清单!$A$6:$A$25,A340)&lt;&gt;1,"",IF(INDEX(资产清单!$H$6:$H$25,MATCH(A340,资产清单!$A$6:$A$25,0))="","",INDEX(资产清单!$H$6:$H$25,MATCH(A340,资产清单!$A$6:$A$25,0))))&lt;&gt;"通信基站"),IF(COUNTIFS(市场案例库!$A$6:$A$35,C340)&lt;&gt;1,"",IF(INDEX(市场案例库!$O$6:$O$35,MATCH(C340,市场案例库!$A$6:$A$35,0))="","",INDEX(市场案例库!$O$6:$O$35,MATCH(C340,市场案例库!$A$6:$A$35,0)))),"不适用")</f>
        <v>仓储用房</v>
      </c>
      <c r="H340" s="19">
        <f>测算参数!$B$6</f>
        <v>100</v>
      </c>
      <c r="I340" s="10">
        <v>100</v>
      </c>
      <c r="J340" s="21">
        <f>IF(OR(C340&lt;&gt;N340,COUNT(H340:I340)&lt;&gt;2,H340&lt;=0,I340&lt;=0),"",IF(AND(IF(COUNTIFS(资产清单!$A$6:$A$25,A340)&lt;&gt;1,"",IF(INDEX(资产清单!$H$6:$H$25,MATCH(A340,资产清单!$A$6:$A$25,0))="","",INDEX(资产清单!$H$6:$H$25,MATCH(A340,资产清单!$A$6:$A$25,0))))&lt;&gt;"场地",IF(COUNTIFS(资产清单!$A$6:$A$25,A340)&lt;&gt;1,"",IF(INDEX(资产清单!$H$6:$H$25,MATCH(A340,资产清单!$A$6:$A$25,0))="","",INDEX(资产清单!$H$6:$H$25,MATCH(A340,资产清单!$A$6:$A$25,0))))&lt;&gt;"车位",IF(COUNTIFS(资产清单!$A$6:$A$25,A340)&lt;&gt;1,"",IF(INDEX(资产清单!$H$6:$H$25,MATCH(A340,资产清单!$A$6:$A$25,0))="","",INDEX(资产清单!$H$6:$H$25,MATCH(A340,资产清单!$A$6:$A$25,0))))&lt;&gt;"通信基站"),H340/I340,H340/H340))</f>
        <v>1</v>
      </c>
      <c r="K340" s="16" t="s">
        <v>239</v>
      </c>
      <c r="L340" s="16" t="s">
        <v>215</v>
      </c>
      <c r="M340" s="16" t="str">
        <f t="shared" si="45"/>
        <v>模拟评分记录完整</v>
      </c>
      <c r="N340" s="8" t="s">
        <v>167</v>
      </c>
    </row>
    <row r="341" spans="1:14" ht="46.05" customHeight="1">
      <c r="A341" s="16" t="s">
        <v>79</v>
      </c>
      <c r="B341" s="16">
        <v>3</v>
      </c>
      <c r="C341" s="17" t="str">
        <f>三案例选用!D12</f>
        <v>SC-015</v>
      </c>
      <c r="D341" s="16" t="s">
        <v>232</v>
      </c>
      <c r="E341" s="16" t="str">
        <f>IF(TRUE,"适用","不适用采用100/100")</f>
        <v>适用</v>
      </c>
      <c r="F341" s="17" t="str">
        <f>IF(TRUE,IF(COUNTIFS(资产清单!$A$6:$A$25,A341)&lt;&gt;1,"",IF(INDEX(资产清单!$I$6:$I$25,MATCH(A341,资产清单!$A$6:$A$25,0))="","",INDEX(资产清单!$I$6:$I$25,MATCH(A341,资产清单!$A$6:$A$25,0)))),"不适用")</f>
        <v>仓储用房</v>
      </c>
      <c r="G341" s="17" t="str">
        <f>IF(TRUE,IF(COUNTIFS(市场案例库!$A$6:$A$35,C341)&lt;&gt;1,"",IF(INDEX(市场案例库!$O$6:$O$35,MATCH(C341,市场案例库!$A$6:$A$35,0))="","",INDEX(市场案例库!$O$6:$O$35,MATCH(C341,市场案例库!$A$6:$A$35,0)))),"不适用")</f>
        <v>仓储用房</v>
      </c>
      <c r="H341" s="19">
        <f>测算参数!$B$6</f>
        <v>100</v>
      </c>
      <c r="I341" s="10">
        <v>100</v>
      </c>
      <c r="J341" s="20">
        <f>IF(OR(C341&lt;&gt;N341,COUNT(H341:I341)&lt;&gt;2,H341&lt;=0,I341&lt;=0),"",IF(TRUE,H341/I341,H341/H341))</f>
        <v>1</v>
      </c>
      <c r="K341" s="16" t="s">
        <v>239</v>
      </c>
      <c r="L341" s="16" t="s">
        <v>215</v>
      </c>
      <c r="M341" s="16" t="str">
        <f t="shared" si="45"/>
        <v>模拟评分记录完整</v>
      </c>
      <c r="N341" s="8" t="s">
        <v>167</v>
      </c>
    </row>
    <row r="342" spans="1:14" ht="46.05" customHeight="1">
      <c r="A342" s="16" t="s">
        <v>80</v>
      </c>
      <c r="B342" s="16">
        <v>1</v>
      </c>
      <c r="C342" s="17" t="str">
        <f>三案例选用!B13</f>
        <v>SC-016</v>
      </c>
      <c r="D342" s="16" t="s">
        <v>209</v>
      </c>
      <c r="E342" s="16" t="str">
        <f>IF(TRUE,"适用","不适用采用100/100")</f>
        <v>适用</v>
      </c>
      <c r="F342" s="17" t="str">
        <f>IF(TRUE,IF(COUNTIFS(资产清单!$A$6:$A$25,A342)&lt;&gt;1,"",IF(INDEX(资产清单!$I$6:$I$25,MATCH(A342,资产清单!$A$6:$A$25,0))="","",INDEX(资产清单!$I$6:$I$25,MATCH(A342,资产清单!$A$6:$A$25,0)))),"不适用")</f>
        <v>工业厂房</v>
      </c>
      <c r="G342" s="17" t="str">
        <f>IF(TRUE,IF(COUNTIFS(市场案例库!$A$6:$A$35,C342)&lt;&gt;1,"",IF(INDEX(市场案例库!$O$6:$O$35,MATCH(C342,市场案例库!$A$6:$A$35,0))="","",INDEX(市场案例库!$O$6:$O$35,MATCH(C342,市场案例库!$A$6:$A$35,0)))),"不适用")</f>
        <v>工业厂房</v>
      </c>
      <c r="H342" s="19">
        <f>测算参数!$B$6</f>
        <v>100</v>
      </c>
      <c r="I342" s="19">
        <f>IF(OR(COUNTIFS(市场案例库!$A$6:$A$35,C342)&lt;&gt;1),"",IF(COUNTIFS(市场案例库!$A$6:$A$35,C342)&lt;&gt;1,"",IF(COUNT(INDEX(市场案例库!$M$6:$M$35,MATCH(C342,市场案例库!$A$6:$A$35,0)))&lt;&gt;1,"",INDEX(市场案例库!$M$6:$M$35,MATCH(C342,市场案例库!$A$6:$A$35,0)))))</f>
        <v>102</v>
      </c>
      <c r="J342" s="20">
        <f>IF(OR(C342&lt;&gt;N342,COUNT(H342:I342)&lt;&gt;2,H342&lt;=0,I342&lt;=0),"",IF(TRUE,H342/I342,H342/H342))</f>
        <v>0.98039215686274506</v>
      </c>
      <c r="K342" s="16" t="s">
        <v>240</v>
      </c>
      <c r="L342" s="16" t="s">
        <v>211</v>
      </c>
      <c r="M342" s="16" t="str">
        <f t="shared" si="45"/>
        <v>模拟评分记录完整</v>
      </c>
      <c r="N342" s="8" t="s">
        <v>168</v>
      </c>
    </row>
    <row r="343" spans="1:14" ht="46.05" customHeight="1">
      <c r="A343" s="16" t="s">
        <v>80</v>
      </c>
      <c r="B343" s="16">
        <v>1</v>
      </c>
      <c r="C343" s="17" t="str">
        <f>三案例选用!B13</f>
        <v>SC-016</v>
      </c>
      <c r="D343" s="16" t="s">
        <v>212</v>
      </c>
      <c r="E343" s="16" t="str">
        <f>IF(TRUE,"适用","不适用采用100/100")</f>
        <v>适用</v>
      </c>
      <c r="F343" s="17" t="str">
        <f>IF(TRUE,IF(COUNTIFS(资产清单!$A$6:$A$25,A343)&lt;&gt;1,"",IF(INDEX(资产清单!$I$6:$I$25,MATCH(A343,资产清单!$A$6:$A$25,0))="","",INDEX(资产清单!$I$6:$I$25,MATCH(A343,资产清单!$A$6:$A$25,0)))),"不适用")</f>
        <v>工业厂房</v>
      </c>
      <c r="G343" s="17" t="str">
        <f>IF(TRUE,IF(COUNTIFS(市场案例库!$A$6:$A$35,C343)&lt;&gt;1,"",IF(INDEX(市场案例库!$O$6:$O$35,MATCH(C343,市场案例库!$A$6:$A$35,0))="","",INDEX(市场案例库!$O$6:$O$35,MATCH(C343,市场案例库!$A$6:$A$35,0)))),"不适用")</f>
        <v>工业厂房</v>
      </c>
      <c r="H343" s="19">
        <f>测算参数!$B$6</f>
        <v>100</v>
      </c>
      <c r="I343" s="19">
        <f>IF(OR(COUNTIFS(市场案例库!$A$6:$A$35,C343)&lt;&gt;1),"",IF(COUNTIFS(市场案例库!$A$6:$A$35,C343)&lt;&gt;1,"",IF(COUNT(INDEX(市场案例库!$N$6:$N$35,MATCH(C343,市场案例库!$A$6:$A$35,0)))&lt;&gt;1,"",INDEX(市场案例库!$N$6:$N$35,MATCH(C343,市场案例库!$A$6:$A$35,0)))))</f>
        <v>100</v>
      </c>
      <c r="J343" s="20">
        <f>IF(OR(C343&lt;&gt;N343,COUNT(H343:I343)&lt;&gt;2,H343&lt;=0,I343&lt;=0),"",IF(TRUE,H343/I343,H343/H343))</f>
        <v>1</v>
      </c>
      <c r="K343" s="16" t="s">
        <v>240</v>
      </c>
      <c r="L343" s="16" t="s">
        <v>213</v>
      </c>
      <c r="M343" s="16" t="str">
        <f t="shared" si="45"/>
        <v>模拟评分记录完整</v>
      </c>
      <c r="N343" s="8" t="s">
        <v>168</v>
      </c>
    </row>
    <row r="344" spans="1:14" ht="46.05" customHeight="1">
      <c r="A344" s="16" t="s">
        <v>80</v>
      </c>
      <c r="B344" s="16">
        <v>1</v>
      </c>
      <c r="C344" s="17" t="str">
        <f>三案例选用!B13</f>
        <v>SC-016</v>
      </c>
      <c r="D344" s="16" t="s">
        <v>214</v>
      </c>
      <c r="E344" s="16" t="str">
        <f>IF(TRUE,"适用","不适用采用100/100")</f>
        <v>适用</v>
      </c>
      <c r="F344" s="17" t="str">
        <f>IF(TRUE,IF(COUNTIFS(资产清单!$A$6:$A$25,A344)&lt;&gt;1,"",IF(INDEX(资产清单!$I$6:$I$25,MATCH(A344,资产清单!$A$6:$A$25,0))="","",INDEX(资产清单!$I$6:$I$25,MATCH(A344,资产清单!$A$6:$A$25,0)))),"不适用")</f>
        <v>工业厂房</v>
      </c>
      <c r="G344" s="17" t="str">
        <f>IF(TRUE,IF(COUNTIFS(市场案例库!$A$6:$A$35,C344)&lt;&gt;1,"",IF(INDEX(市场案例库!$O$6:$O$35,MATCH(C344,市场案例库!$A$6:$A$35,0))="","",INDEX(市场案例库!$O$6:$O$35,MATCH(C344,市场案例库!$A$6:$A$35,0)))),"不适用")</f>
        <v>工业厂房</v>
      </c>
      <c r="H344" s="19">
        <f>测算参数!$B$6</f>
        <v>100</v>
      </c>
      <c r="I344" s="10">
        <v>103</v>
      </c>
      <c r="J344" s="20">
        <f>IF(OR(C344&lt;&gt;N344,COUNT(H344:I344)&lt;&gt;2,H344&lt;=0,I344&lt;=0),"",IF(TRUE,H344/I344,H344/H344))</f>
        <v>0.970873786407767</v>
      </c>
      <c r="K344" s="16" t="s">
        <v>240</v>
      </c>
      <c r="L344" s="16" t="s">
        <v>241</v>
      </c>
      <c r="M344" s="16" t="str">
        <f t="shared" si="45"/>
        <v>模拟评分记录完整</v>
      </c>
      <c r="N344" s="8" t="s">
        <v>168</v>
      </c>
    </row>
    <row r="345" spans="1:14" ht="46.05" customHeight="1">
      <c r="A345" s="16" t="s">
        <v>80</v>
      </c>
      <c r="B345" s="16">
        <v>1</v>
      </c>
      <c r="C345" s="17" t="str">
        <f>三案例选用!B13</f>
        <v>SC-016</v>
      </c>
      <c r="D345" s="16" t="s">
        <v>216</v>
      </c>
      <c r="E345" s="16" t="str">
        <f>IF(TRUE,"适用","不适用采用100/100")</f>
        <v>适用</v>
      </c>
      <c r="F345" s="17" t="str">
        <f>IF(TRUE,IF(COUNTIFS(资产清单!$A$6:$A$25,A345)&lt;&gt;1,"",IF(INDEX(资产清单!$I$6:$I$25,MATCH(A345,资产清单!$A$6:$A$25,0))="","",INDEX(资产清单!$I$6:$I$25,MATCH(A345,资产清单!$A$6:$A$25,0)))),"不适用")</f>
        <v>工业厂房</v>
      </c>
      <c r="G345" s="17" t="str">
        <f>IF(TRUE,IF(COUNTIFS(市场案例库!$A$6:$A$35,C345)&lt;&gt;1,"",IF(INDEX(市场案例库!$O$6:$O$35,MATCH(C345,市场案例库!$A$6:$A$35,0))="","",INDEX(市场案例库!$O$6:$O$35,MATCH(C345,市场案例库!$A$6:$A$35,0)))),"不适用")</f>
        <v>工业厂房</v>
      </c>
      <c r="H345" s="19">
        <f>测算参数!$B$6</f>
        <v>100</v>
      </c>
      <c r="I345" s="10">
        <v>102</v>
      </c>
      <c r="J345" s="20">
        <f>IF(OR(C345&lt;&gt;N345,COUNT(H345:I345)&lt;&gt;2,H345&lt;=0,I345&lt;=0),"",IF(TRUE,H345/I345,H345/H345))</f>
        <v>0.98039215686274506</v>
      </c>
      <c r="K345" s="16" t="s">
        <v>240</v>
      </c>
      <c r="L345" s="16" t="s">
        <v>242</v>
      </c>
      <c r="M345" s="16" t="str">
        <f t="shared" si="45"/>
        <v>模拟评分记录完整</v>
      </c>
      <c r="N345" s="8" t="s">
        <v>168</v>
      </c>
    </row>
    <row r="346" spans="1:14" ht="46.05" customHeight="1">
      <c r="A346" s="16" t="s">
        <v>80</v>
      </c>
      <c r="B346" s="16">
        <v>1</v>
      </c>
      <c r="C346" s="17" t="str">
        <f>三案例选用!B13</f>
        <v>SC-016</v>
      </c>
      <c r="D346" s="16" t="s">
        <v>217</v>
      </c>
      <c r="E346" s="17" t="str">
        <f>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"适用","不适用采用100/100")</f>
        <v>不适用采用100/100</v>
      </c>
      <c r="F346" s="17" t="str">
        <f>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IF(COUNTIFS(资产清单!$A$6:$A$25,A346)&lt;&gt;1,"",IF(COUNT(INDEX(资产清单!$M$6:$M$25,MATCH(A346,资产清单!$A$6:$A$25,0)))&lt;&gt;1,"",INDEX(资产清单!$M$6:$M$25,MATCH(A346,资产清单!$A$6:$A$25,0)))),"不适用")</f>
        <v>不适用</v>
      </c>
      <c r="G346" s="17" t="str">
        <f>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IF(COUNTIFS(市场案例库!$A$6:$A$35,C346)&lt;&gt;1,"",IF(COUNT(INDEX(市场案例库!$H$6:$H$35,MATCH(C346,市场案例库!$A$6:$A$35,0)))&lt;&gt;1,"",INDEX(市场案例库!$H$6:$H$35,MATCH(C346,市场案例库!$A$6:$A$35,0)))),"不适用")</f>
        <v>不适用</v>
      </c>
      <c r="H346" s="19">
        <f>测算参数!$B$6</f>
        <v>100</v>
      </c>
      <c r="I346" s="19">
        <f>IF(OR(COUNTIFS(市场案例库!$A$6:$A$35,C346)&lt;&gt;1,AND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COUNT(IF(COUNTIFS(资产清单!$A$6:$A$25,A346)&lt;&gt;1,"",IF(COUNT(INDEX(资产清单!$M$6:$M$25,MATCH(A346,资产清单!$A$6:$A$25,0)))&lt;&gt;1,"",INDEX(资产清单!$M$6:$M$25,MATCH(A346,资产清单!$A$6:$A$25,0)))),IF(COUNTIFS(市场案例库!$A$6:$A$35,C346)&lt;&gt;1,"",IF(COUNT(INDEX(市场案例库!$H$6:$H$35,MATCH(C346,市场案例库!$A$6:$A$35,0)))&lt;&gt;1,"",INDEX(市场案例库!$H$6:$H$35,MATCH(C346,市场案例库!$A$6:$A$35,0)))))&lt;&gt;2)),"",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INDEX(测算参数!$B$25:$B$31,MATCH(MAX(-测算参数!$B$11,MIN(测算参数!$B$11,IF(COUNTIFS(资产清单!$A$6:$A$25,A346)&lt;&gt;1,"",IF(COUNT(INDEX(资产清单!$M$6:$M$25,MATCH(A346,资产清单!$A$6:$A$25,0)))&lt;&gt;1,"",INDEX(资产清单!$M$6:$M$25,MATCH(A346,资产清单!$A$6:$A$25,0))))-IF(COUNTIFS(市场案例库!$A$6:$A$35,C346)&lt;&gt;1,"",IF(COUNT(INDEX(市场案例库!$H$6:$H$35,MATCH(C346,市场案例库!$A$6:$A$35,0)))&lt;&gt;1,"",INDEX(市场案例库!$H$6:$H$35,MATCH(C346,市场案例库!$A$6:$A$35,0)))))),测算参数!$A$25:$A$31,0)),测算参数!$B$6))</f>
        <v>100</v>
      </c>
      <c r="J346" s="21">
        <f>IF(OR(C346&lt;&gt;N346,COUNT(H346:I346)&lt;&gt;2,H346&lt;=0,I346&lt;=0),"",IF(OR(IF(COUNTIFS(资产清单!$A$6:$A$25,A346)&lt;&gt;1,"",IF(INDEX(资产清单!$H$6:$H$25,MATCH(A346,资产清单!$A$6:$A$25,0))="","",INDEX(资产清单!$H$6:$H$25,MATCH(A346,资产清单!$A$6:$A$25,0))))="商业",IF(COUNTIFS(资产清单!$A$6:$A$25,A346)&lt;&gt;1,"",IF(INDEX(资产清单!$H$6:$H$25,MATCH(A346,资产清单!$A$6:$A$25,0))="","",INDEX(资产清单!$H$6:$H$25,MATCH(A346,资产清单!$A$6:$A$25,0))))="办公",IF(COUNTIFS(资产清单!$A$6:$A$25,A346)&lt;&gt;1,"",IF(INDEX(资产清单!$H$6:$H$25,MATCH(A346,资产清单!$A$6:$A$25,0))="","",INDEX(资产清单!$H$6:$H$25,MATCH(A346,资产清单!$A$6:$A$25,0))))="住宅"),H346/I346,H346/H346))</f>
        <v>1</v>
      </c>
      <c r="K346" s="16" t="s">
        <v>240</v>
      </c>
      <c r="L346" s="16" t="s">
        <v>218</v>
      </c>
      <c r="M346" s="16" t="str">
        <f t="shared" si="45"/>
        <v>模拟评分记录完整</v>
      </c>
      <c r="N346" s="8" t="s">
        <v>168</v>
      </c>
    </row>
    <row r="347" spans="1:14" ht="46.05" customHeight="1">
      <c r="A347" s="16" t="s">
        <v>80</v>
      </c>
      <c r="B347" s="16">
        <v>1</v>
      </c>
      <c r="C347" s="17" t="str">
        <f>三案例选用!B13</f>
        <v>SC-016</v>
      </c>
      <c r="D347" s="16" t="s">
        <v>219</v>
      </c>
      <c r="E347" s="17" t="str">
        <f>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"适用","不适用采用100/100")</f>
        <v>适用</v>
      </c>
      <c r="F347" s="17">
        <f>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IF(COUNTIFS(资产清单!$A$6:$A$25,A347)&lt;&gt;1,"",IF(COUNT(INDEX(资产清单!$L$6:$L$25,MATCH(A347,资产清单!$A$6:$A$25,0)))&lt;&gt;1,"",INDEX(资产清单!$L$6:$L$25,MATCH(A347,资产清单!$A$6:$A$25,0)))),"不适用")</f>
        <v>1200</v>
      </c>
      <c r="G347" s="17">
        <f>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IF(COUNTIFS(市场案例库!$A$6:$A$35,C347)&lt;&gt;1,"",IF(COUNT(INDEX(市场案例库!$G$6:$G$35,MATCH(C347,市场案例库!$A$6:$A$35,0)))&lt;&gt;1,"",INDEX(市场案例库!$G$6:$G$35,MATCH(C347,市场案例库!$A$6:$A$35,0)))),"不适用")</f>
        <v>1000</v>
      </c>
      <c r="H347" s="19">
        <f>测算参数!$B$6</f>
        <v>100</v>
      </c>
      <c r="I347" s="19">
        <f>IF(OR(COUNTIFS(市场案例库!$A$6:$A$35,C347)&lt;&gt;1,AND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OR(COUNT(IF(COUNTIFS(资产清单!$A$6:$A$25,A347)&lt;&gt;1,"",IF(COUNT(INDEX(资产清单!$L$6:$L$25,MATCH(A347,资产清单!$A$6:$A$25,0)))&lt;&gt;1,"",INDEX(资产清单!$L$6:$L$25,MATCH(A347,资产清单!$A$6:$A$25,0)))),IF(COUNTIFS(市场案例库!$A$6:$A$35,C347)&lt;&gt;1,"",IF(COUNT(INDEX(市场案例库!$G$6:$G$35,MATCH(C347,市场案例库!$A$6:$A$35,0)))&lt;&gt;1,"",INDEX(市场案例库!$G$6:$G$35,MATCH(C347,市场案例库!$A$6:$A$35,0)))))&lt;&gt;2,IF(COUNTIFS(资产清单!$A$6:$A$25,A347)&lt;&gt;1,"",IF(COUNT(INDEX(资产清单!$L$6:$L$25,MATCH(A347,资产清单!$A$6:$A$25,0)))&lt;&gt;1,"",INDEX(资产清单!$L$6:$L$25,MATCH(A347,资产清单!$A$6:$A$25,0))))&lt;=0,IF(COUNTIFS(市场案例库!$A$6:$A$35,C347)&lt;&gt;1,"",IF(COUNT(INDEX(市场案例库!$G$6:$G$35,MATCH(C347,市场案例库!$A$6:$A$35,0)))&lt;&gt;1,"",INDEX(市场案例库!$G$6:$G$35,MATCH(C347,市场案例库!$A$6:$A$35,0))))&lt;=0))),"",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LOOKUP(IF(COUNTIFS(市场案例库!$A$6:$A$35,C347)&lt;&gt;1,"",IF(COUNT(INDEX(市场案例库!$G$6:$G$35,MATCH(C347,市场案例库!$A$6:$A$35,0)))&lt;&gt;1,"",INDEX(市场案例库!$G$6:$G$35,MATCH(C347,市场案例库!$A$6:$A$35,0))))/IF(COUNTIFS(资产清单!$A$6:$A$25,A347)&lt;&gt;1,"",IF(COUNT(INDEX(资产清单!$L$6:$L$25,MATCH(A347,资产清单!$A$6:$A$25,0)))&lt;&gt;1,"",INDEX(资产清单!$L$6:$L$25,MATCH(A347,资产清单!$A$6:$A$25,0)))),测算参数!$A$15:$A$21,测算参数!$C$15:$C$21),测算参数!$B$6))</f>
        <v>100</v>
      </c>
      <c r="J347" s="21">
        <f>IF(OR(C347&lt;&gt;N347,COUNT(H347:I347)&lt;&gt;2,H347&lt;=0,I347&lt;=0),"",IF(AND(IF(COUNTIFS(资产清单!$A$6:$A$25,A347)&lt;&gt;1,"",IF(INDEX(资产清单!$J$6:$J$25,MATCH(A347,资产清单!$A$6:$A$25,0))="","",INDEX(资产清单!$J$6:$J$25,MATCH(A347,资产清单!$A$6:$A$25,0))))="元/㎡/月",IF(COUNTIFS(资产清单!$A$6:$A$25,A347)&lt;&gt;1,"",IF(INDEX(资产清单!$H$6:$H$25,MATCH(A347,资产清单!$A$6:$A$25,0))="","",INDEX(资产清单!$H$6:$H$25,MATCH(A347,资产清单!$A$6:$A$25,0))))&lt;&gt;"场地"),H347/I347,H347/H347))</f>
        <v>1</v>
      </c>
      <c r="K347" s="16" t="s">
        <v>240</v>
      </c>
      <c r="L347" s="16" t="s">
        <v>220</v>
      </c>
      <c r="M347" s="16" t="str">
        <f t="shared" si="45"/>
        <v>模拟评分记录完整</v>
      </c>
      <c r="N347" s="8" t="s">
        <v>168</v>
      </c>
    </row>
    <row r="348" spans="1:14" ht="46.05" customHeight="1">
      <c r="A348" s="16" t="s">
        <v>80</v>
      </c>
      <c r="B348" s="16">
        <v>1</v>
      </c>
      <c r="C348" s="17" t="str">
        <f>三案例选用!B13</f>
        <v>SC-016</v>
      </c>
      <c r="D348" s="16" t="s">
        <v>221</v>
      </c>
      <c r="E348" s="16" t="str">
        <f t="shared" ref="E348:E353" si="48">IF(TRUE,"适用","不适用采用100/100")</f>
        <v>适用</v>
      </c>
      <c r="F348" s="17" t="str">
        <f>IF(TRUE,IF(COUNTIFS(资产清单!$A$6:$A$25,A348)&lt;&gt;1,"",IF(INDEX(资产清单!$I$6:$I$25,MATCH(A348,资产清单!$A$6:$A$25,0))="","",INDEX(资产清单!$I$6:$I$25,MATCH(A348,资产清单!$A$6:$A$25,0)))),"不适用")</f>
        <v>工业厂房</v>
      </c>
      <c r="G348" s="17" t="str">
        <f>IF(TRUE,IF(COUNTIFS(市场案例库!$A$6:$A$35,C348)&lt;&gt;1,"",IF(INDEX(市场案例库!$O$6:$O$35,MATCH(C348,市场案例库!$A$6:$A$35,0))="","",INDEX(市场案例库!$O$6:$O$35,MATCH(C348,市场案例库!$A$6:$A$35,0)))),"不适用")</f>
        <v>工业厂房</v>
      </c>
      <c r="H348" s="19">
        <f>测算参数!$B$6</f>
        <v>100</v>
      </c>
      <c r="I348" s="10">
        <v>100</v>
      </c>
      <c r="J348" s="20">
        <f t="shared" ref="J348:J353" si="49">IF(OR(C348&lt;&gt;N348,COUNT(H348:I348)&lt;&gt;2,H348&lt;=0,I348&lt;=0),"",IF(TRUE,H348/I348,H348/H348))</f>
        <v>1</v>
      </c>
      <c r="K348" s="16" t="s">
        <v>240</v>
      </c>
      <c r="L348" s="16" t="s">
        <v>215</v>
      </c>
      <c r="M348" s="16" t="str">
        <f t="shared" si="45"/>
        <v>模拟评分记录完整</v>
      </c>
      <c r="N348" s="8" t="s">
        <v>168</v>
      </c>
    </row>
    <row r="349" spans="1:14" ht="46.05" customHeight="1">
      <c r="A349" s="16" t="s">
        <v>80</v>
      </c>
      <c r="B349" s="16">
        <v>1</v>
      </c>
      <c r="C349" s="17" t="str">
        <f>三案例选用!B13</f>
        <v>SC-016</v>
      </c>
      <c r="D349" s="16" t="s">
        <v>222</v>
      </c>
      <c r="E349" s="16" t="str">
        <f t="shared" si="48"/>
        <v>适用</v>
      </c>
      <c r="F349" s="17" t="str">
        <f>IF(TRUE,IF(COUNTIFS(资产清单!$A$6:$A$25,A349)&lt;&gt;1,"",IF(INDEX(资产清单!$I$6:$I$25,MATCH(A349,资产清单!$A$6:$A$25,0))="","",INDEX(资产清单!$I$6:$I$25,MATCH(A349,资产清单!$A$6:$A$25,0)))),"不适用")</f>
        <v>工业厂房</v>
      </c>
      <c r="G349" s="17" t="str">
        <f>IF(TRUE,IF(COUNTIFS(市场案例库!$A$6:$A$35,C349)&lt;&gt;1,"",IF(INDEX(市场案例库!$O$6:$O$35,MATCH(C349,市场案例库!$A$6:$A$35,0))="","",INDEX(市场案例库!$O$6:$O$35,MATCH(C349,市场案例库!$A$6:$A$35,0)))),"不适用")</f>
        <v>工业厂房</v>
      </c>
      <c r="H349" s="19">
        <f>测算参数!$B$6</f>
        <v>100</v>
      </c>
      <c r="I349" s="10">
        <v>100</v>
      </c>
      <c r="J349" s="20">
        <f t="shared" si="49"/>
        <v>1</v>
      </c>
      <c r="K349" s="16" t="s">
        <v>240</v>
      </c>
      <c r="L349" s="16" t="s">
        <v>215</v>
      </c>
      <c r="M349" s="16" t="str">
        <f t="shared" si="45"/>
        <v>模拟评分记录完整</v>
      </c>
      <c r="N349" s="8" t="s">
        <v>168</v>
      </c>
    </row>
    <row r="350" spans="1:14" ht="46.05" customHeight="1">
      <c r="A350" s="16" t="s">
        <v>80</v>
      </c>
      <c r="B350" s="16">
        <v>1</v>
      </c>
      <c r="C350" s="17" t="str">
        <f>三案例选用!B13</f>
        <v>SC-016</v>
      </c>
      <c r="D350" s="16" t="s">
        <v>224</v>
      </c>
      <c r="E350" s="16" t="str">
        <f t="shared" si="48"/>
        <v>适用</v>
      </c>
      <c r="F350" s="17" t="str">
        <f>IF(TRUE,IF(COUNTIFS(资产清单!$A$6:$A$25,A350)&lt;&gt;1,"",IF(INDEX(资产清单!$I$6:$I$25,MATCH(A350,资产清单!$A$6:$A$25,0))="","",INDEX(资产清单!$I$6:$I$25,MATCH(A350,资产清单!$A$6:$A$25,0)))),"不适用")</f>
        <v>工业厂房</v>
      </c>
      <c r="G350" s="17" t="str">
        <f>IF(TRUE,IF(COUNTIFS(市场案例库!$A$6:$A$35,C350)&lt;&gt;1,"",IF(INDEX(市场案例库!$O$6:$O$35,MATCH(C350,市场案例库!$A$6:$A$35,0))="","",INDEX(市场案例库!$O$6:$O$35,MATCH(C350,市场案例库!$A$6:$A$35,0)))),"不适用")</f>
        <v>工业厂房</v>
      </c>
      <c r="H350" s="19">
        <f>测算参数!$B$6</f>
        <v>100</v>
      </c>
      <c r="I350" s="10">
        <v>100</v>
      </c>
      <c r="J350" s="20">
        <f t="shared" si="49"/>
        <v>1</v>
      </c>
      <c r="K350" s="16" t="s">
        <v>240</v>
      </c>
      <c r="L350" s="16" t="s">
        <v>215</v>
      </c>
      <c r="M350" s="16" t="str">
        <f t="shared" si="45"/>
        <v>模拟评分记录完整</v>
      </c>
      <c r="N350" s="8" t="s">
        <v>168</v>
      </c>
    </row>
    <row r="351" spans="1:14" ht="46.05" customHeight="1">
      <c r="A351" s="16" t="s">
        <v>80</v>
      </c>
      <c r="B351" s="16">
        <v>1</v>
      </c>
      <c r="C351" s="17" t="str">
        <f>三案例选用!B13</f>
        <v>SC-016</v>
      </c>
      <c r="D351" s="16" t="s">
        <v>225</v>
      </c>
      <c r="E351" s="16" t="str">
        <f t="shared" si="48"/>
        <v>适用</v>
      </c>
      <c r="F351" s="17" t="str">
        <f>IF(TRUE,IF(COUNTIFS(资产清单!$A$6:$A$25,A351)&lt;&gt;1,"",IF(INDEX(资产清单!$I$6:$I$25,MATCH(A351,资产清单!$A$6:$A$25,0))="","",INDEX(资产清单!$I$6:$I$25,MATCH(A351,资产清单!$A$6:$A$25,0)))),"不适用")</f>
        <v>工业厂房</v>
      </c>
      <c r="G351" s="17" t="str">
        <f>IF(TRUE,IF(COUNTIFS(市场案例库!$A$6:$A$35,C351)&lt;&gt;1,"",IF(INDEX(市场案例库!$O$6:$O$35,MATCH(C351,市场案例库!$A$6:$A$35,0))="","",INDEX(市场案例库!$O$6:$O$35,MATCH(C351,市场案例库!$A$6:$A$35,0)))),"不适用")</f>
        <v>工业厂房</v>
      </c>
      <c r="H351" s="19">
        <f>测算参数!$B$6</f>
        <v>100</v>
      </c>
      <c r="I351" s="10">
        <v>100</v>
      </c>
      <c r="J351" s="20">
        <f t="shared" si="49"/>
        <v>1</v>
      </c>
      <c r="K351" s="16" t="s">
        <v>240</v>
      </c>
      <c r="L351" s="16" t="s">
        <v>215</v>
      </c>
      <c r="M351" s="16" t="str">
        <f t="shared" si="45"/>
        <v>模拟评分记录完整</v>
      </c>
      <c r="N351" s="8" t="s">
        <v>168</v>
      </c>
    </row>
    <row r="352" spans="1:14" ht="46.05" customHeight="1">
      <c r="A352" s="16" t="s">
        <v>80</v>
      </c>
      <c r="B352" s="16">
        <v>1</v>
      </c>
      <c r="C352" s="17" t="str">
        <f>三案例选用!B13</f>
        <v>SC-016</v>
      </c>
      <c r="D352" s="16" t="s">
        <v>226</v>
      </c>
      <c r="E352" s="16" t="str">
        <f t="shared" si="48"/>
        <v>适用</v>
      </c>
      <c r="F352" s="17" t="str">
        <f>IF(TRUE,IF(COUNTIFS(资产清单!$A$6:$A$25,A352)&lt;&gt;1,"",IF(INDEX(资产清单!$I$6:$I$25,MATCH(A352,资产清单!$A$6:$A$25,0))="","",INDEX(资产清单!$I$6:$I$25,MATCH(A352,资产清单!$A$6:$A$25,0)))),"不适用")</f>
        <v>工业厂房</v>
      </c>
      <c r="G352" s="17" t="str">
        <f>IF(TRUE,IF(COUNTIFS(市场案例库!$A$6:$A$35,C352)&lt;&gt;1,"",IF(INDEX(市场案例库!$O$6:$O$35,MATCH(C352,市场案例库!$A$6:$A$35,0))="","",INDEX(市场案例库!$O$6:$O$35,MATCH(C352,市场案例库!$A$6:$A$35,0)))),"不适用")</f>
        <v>工业厂房</v>
      </c>
      <c r="H352" s="19">
        <f>测算参数!$B$6</f>
        <v>100</v>
      </c>
      <c r="I352" s="10">
        <v>102</v>
      </c>
      <c r="J352" s="20">
        <f t="shared" si="49"/>
        <v>0.98039215686274506</v>
      </c>
      <c r="K352" s="16" t="s">
        <v>240</v>
      </c>
      <c r="L352" s="16" t="s">
        <v>243</v>
      </c>
      <c r="M352" s="16" t="str">
        <f t="shared" si="45"/>
        <v>模拟评分记录完整</v>
      </c>
      <c r="N352" s="8" t="s">
        <v>168</v>
      </c>
    </row>
    <row r="353" spans="1:14" ht="46.05" customHeight="1">
      <c r="A353" s="16" t="s">
        <v>80</v>
      </c>
      <c r="B353" s="16">
        <v>1</v>
      </c>
      <c r="C353" s="17" t="str">
        <f>三案例选用!B13</f>
        <v>SC-016</v>
      </c>
      <c r="D353" s="16" t="s">
        <v>227</v>
      </c>
      <c r="E353" s="16" t="str">
        <f t="shared" si="48"/>
        <v>适用</v>
      </c>
      <c r="F353" s="17" t="str">
        <f>IF(TRUE,IF(COUNTIFS(资产清单!$A$6:$A$25,A353)&lt;&gt;1,"",IF(INDEX(资产清单!$I$6:$I$25,MATCH(A353,资产清单!$A$6:$A$25,0))="","",INDEX(资产清单!$I$6:$I$25,MATCH(A353,资产清单!$A$6:$A$25,0)))),"不适用")</f>
        <v>工业厂房</v>
      </c>
      <c r="G353" s="17" t="str">
        <f>IF(TRUE,IF(COUNTIFS(市场案例库!$A$6:$A$35,C353)&lt;&gt;1,"",IF(INDEX(市场案例库!$O$6:$O$35,MATCH(C353,市场案例库!$A$6:$A$35,0))="","",INDEX(市场案例库!$O$6:$O$35,MATCH(C353,市场案例库!$A$6:$A$35,0)))),"不适用")</f>
        <v>工业厂房</v>
      </c>
      <c r="H353" s="19">
        <f>测算参数!$B$6</f>
        <v>100</v>
      </c>
      <c r="I353" s="10">
        <v>100</v>
      </c>
      <c r="J353" s="20">
        <f t="shared" si="49"/>
        <v>1</v>
      </c>
      <c r="K353" s="16" t="s">
        <v>240</v>
      </c>
      <c r="L353" s="16" t="s">
        <v>215</v>
      </c>
      <c r="M353" s="16" t="str">
        <f t="shared" si="45"/>
        <v>模拟评分记录完整</v>
      </c>
      <c r="N353" s="8" t="s">
        <v>168</v>
      </c>
    </row>
    <row r="354" spans="1:14" ht="46.05" customHeight="1">
      <c r="A354" s="16" t="s">
        <v>80</v>
      </c>
      <c r="B354" s="16">
        <v>1</v>
      </c>
      <c r="C354" s="17" t="str">
        <f>三案例选用!B13</f>
        <v>SC-016</v>
      </c>
      <c r="D354" s="16" t="s">
        <v>228</v>
      </c>
      <c r="E354" s="17" t="str">
        <f>IF(AND(IF(COUNTIFS(资产清单!$A$6:$A$25,A354)&lt;&gt;1,"",IF(INDEX(资产清单!$H$6:$H$25,MATCH(A354,资产清单!$A$6:$A$25,0))="","",INDEX(资产清单!$H$6:$H$25,MATCH(A354,资产清单!$A$6:$A$25,0))))&lt;&gt;"场地",IF(COUNTIFS(资产清单!$A$6:$A$25,A354)&lt;&gt;1,"",IF(INDEX(资产清单!$H$6:$H$25,MATCH(A354,资产清单!$A$6:$A$25,0))="","",INDEX(资产清单!$H$6:$H$25,MATCH(A354,资产清单!$A$6:$A$25,0))))&lt;&gt;"车位",IF(COUNTIFS(资产清单!$A$6:$A$25,A354)&lt;&gt;1,"",IF(INDEX(资产清单!$H$6:$H$25,MATCH(A354,资产清单!$A$6:$A$25,0))="","",INDEX(资产清单!$H$6:$H$25,MATCH(A354,资产清单!$A$6:$A$25,0))))&lt;&gt;"通信基站"),"适用","不适用采用100/100")</f>
        <v>适用</v>
      </c>
      <c r="F354" s="17" t="str">
        <f>IF(AND(IF(COUNTIFS(资产清单!$A$6:$A$25,A354)&lt;&gt;1,"",IF(INDEX(资产清单!$H$6:$H$25,MATCH(A354,资产清单!$A$6:$A$25,0))="","",INDEX(资产清单!$H$6:$H$25,MATCH(A354,资产清单!$A$6:$A$25,0))))&lt;&gt;"场地",IF(COUNTIFS(资产清单!$A$6:$A$25,A354)&lt;&gt;1,"",IF(INDEX(资产清单!$H$6:$H$25,MATCH(A354,资产清单!$A$6:$A$25,0))="","",INDEX(资产清单!$H$6:$H$25,MATCH(A354,资产清单!$A$6:$A$25,0))))&lt;&gt;"车位",IF(COUNTIFS(资产清单!$A$6:$A$25,A354)&lt;&gt;1,"",IF(INDEX(资产清单!$H$6:$H$25,MATCH(A354,资产清单!$A$6:$A$25,0))="","",INDEX(资产清单!$H$6:$H$25,MATCH(A354,资产清单!$A$6:$A$25,0))))&lt;&gt;"通信基站"),IF(COUNTIFS(资产清单!$A$6:$A$25,A354)&lt;&gt;1,"",IF(INDEX(资产清单!$I$6:$I$25,MATCH(A354,资产清单!$A$6:$A$25,0))="","",INDEX(资产清单!$I$6:$I$25,MATCH(A354,资产清单!$A$6:$A$25,0)))),"不适用")</f>
        <v>工业厂房</v>
      </c>
      <c r="G354" s="17" t="str">
        <f>IF(AND(IF(COUNTIFS(资产清单!$A$6:$A$25,A354)&lt;&gt;1,"",IF(INDEX(资产清单!$H$6:$H$25,MATCH(A354,资产清单!$A$6:$A$25,0))="","",INDEX(资产清单!$H$6:$H$25,MATCH(A354,资产清单!$A$6:$A$25,0))))&lt;&gt;"场地",IF(COUNTIFS(资产清单!$A$6:$A$25,A354)&lt;&gt;1,"",IF(INDEX(资产清单!$H$6:$H$25,MATCH(A354,资产清单!$A$6:$A$25,0))="","",INDEX(资产清单!$H$6:$H$25,MATCH(A354,资产清单!$A$6:$A$25,0))))&lt;&gt;"车位",IF(COUNTIFS(资产清单!$A$6:$A$25,A354)&lt;&gt;1,"",IF(INDEX(资产清单!$H$6:$H$25,MATCH(A354,资产清单!$A$6:$A$25,0))="","",INDEX(资产清单!$H$6:$H$25,MATCH(A354,资产清单!$A$6:$A$25,0))))&lt;&gt;"通信基站"),IF(COUNTIFS(市场案例库!$A$6:$A$35,C354)&lt;&gt;1,"",IF(INDEX(市场案例库!$O$6:$O$35,MATCH(C354,市场案例库!$A$6:$A$35,0))="","",INDEX(市场案例库!$O$6:$O$35,MATCH(C354,市场案例库!$A$6:$A$35,0)))),"不适用")</f>
        <v>工业厂房</v>
      </c>
      <c r="H354" s="19">
        <f>测算参数!$B$6</f>
        <v>100</v>
      </c>
      <c r="I354" s="10">
        <v>102</v>
      </c>
      <c r="J354" s="21">
        <f>IF(OR(C354&lt;&gt;N354,COUNT(H354:I354)&lt;&gt;2,H354&lt;=0,I354&lt;=0),"",IF(AND(IF(COUNTIFS(资产清单!$A$6:$A$25,A354)&lt;&gt;1,"",IF(INDEX(资产清单!$H$6:$H$25,MATCH(A354,资产清单!$A$6:$A$25,0))="","",INDEX(资产清单!$H$6:$H$25,MATCH(A354,资产清单!$A$6:$A$25,0))))&lt;&gt;"场地",IF(COUNTIFS(资产清单!$A$6:$A$25,A354)&lt;&gt;1,"",IF(INDEX(资产清单!$H$6:$H$25,MATCH(A354,资产清单!$A$6:$A$25,0))="","",INDEX(资产清单!$H$6:$H$25,MATCH(A354,资产清单!$A$6:$A$25,0))))&lt;&gt;"车位",IF(COUNTIFS(资产清单!$A$6:$A$25,A354)&lt;&gt;1,"",IF(INDEX(资产清单!$H$6:$H$25,MATCH(A354,资产清单!$A$6:$A$25,0))="","",INDEX(资产清单!$H$6:$H$25,MATCH(A354,资产清单!$A$6:$A$25,0))))&lt;&gt;"通信基站"),H354/I354,H354/H354))</f>
        <v>0.98039215686274506</v>
      </c>
      <c r="K354" s="16" t="s">
        <v>240</v>
      </c>
      <c r="L354" s="16" t="s">
        <v>244</v>
      </c>
      <c r="M354" s="16" t="str">
        <f t="shared" si="45"/>
        <v>模拟评分记录完整</v>
      </c>
      <c r="N354" s="8" t="s">
        <v>168</v>
      </c>
    </row>
    <row r="355" spans="1:14" ht="46.05" customHeight="1">
      <c r="A355" s="16" t="s">
        <v>80</v>
      </c>
      <c r="B355" s="16">
        <v>1</v>
      </c>
      <c r="C355" s="17" t="str">
        <f>三案例选用!B13</f>
        <v>SC-016</v>
      </c>
      <c r="D355" s="16" t="s">
        <v>229</v>
      </c>
      <c r="E355" s="17" t="str">
        <f>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"适用","不适用采用100/100")</f>
        <v>适用</v>
      </c>
      <c r="F355" s="17">
        <f>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IF(COUNTIFS(资产清单!$A$6:$A$25,A355)&lt;&gt;1,"",IF(COUNT(INDEX(资产清单!$N$6:$N$25,MATCH(A355,资产清单!$A$6:$A$25,0)))&lt;&gt;1,"",INDEX(资产清单!$N$6:$N$25,MATCH(A355,资产清单!$A$6:$A$25,0)))),"不适用")</f>
        <v>1</v>
      </c>
      <c r="G355" s="17">
        <f>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IF(COUNTIFS(市场案例库!$A$6:$A$35,C355)&lt;&gt;1,"",IF(COUNT(INDEX(市场案例库!$I$6:$I$35,MATCH(C355,市场案例库!$A$6:$A$35,0)))&lt;&gt;1,"",INDEX(市场案例库!$I$6:$I$35,MATCH(C355,市场案例库!$A$6:$A$35,0)))),"不适用")</f>
        <v>1</v>
      </c>
      <c r="H355" s="19">
        <f>测算参数!$B$6</f>
        <v>100</v>
      </c>
      <c r="I355" s="19">
        <f>IF(OR(COUNTIFS(市场案例库!$A$6:$A$35,C355)&lt;&gt;1,AND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OR(COUNT(IF(COUNTIFS(资产清单!$A$6:$A$25,A355)&lt;&gt;1,"",IF(COUNT(INDEX(资产清单!$N$6:$N$25,MATCH(A355,资产清单!$A$6:$A$25,0)))&lt;&gt;1,"",INDEX(资产清单!$N$6:$N$25,MATCH(A355,资产清单!$A$6:$A$25,0)))),IF(COUNTIFS(市场案例库!$A$6:$A$35,C355)&lt;&gt;1,"",IF(COUNT(INDEX(市场案例库!$I$6:$I$35,MATCH(C355,市场案例库!$A$6:$A$35,0)))&lt;&gt;1,"",INDEX(市场案例库!$I$6:$I$35,MATCH(C355,市场案例库!$A$6:$A$35,0)))))&lt;&gt;2,IF(COUNTIFS(资产清单!$A$6:$A$25,A355)&lt;&gt;1,"",IF(COUNT(INDEX(资产清单!$N$6:$N$25,MATCH(A355,资产清单!$A$6:$A$25,0)))&lt;&gt;1,"",INDEX(资产清单!$N$6:$N$25,MATCH(A355,资产清单!$A$6:$A$25,0))))&lt;1,IF(COUNTIFS(资产清单!$A$6:$A$25,A355)&lt;&gt;1,"",IF(COUNT(INDEX(资产清单!$N$6:$N$25,MATCH(A355,资产清单!$A$6:$A$25,0)))&lt;&gt;1,"",INDEX(资产清单!$N$6:$N$25,MATCH(A355,资产清单!$A$6:$A$25,0))))&gt;4,IF(COUNTIFS(市场案例库!$A$6:$A$35,C355)&lt;&gt;1,"",IF(COUNT(INDEX(市场案例库!$I$6:$I$35,MATCH(C355,市场案例库!$A$6:$A$35,0)))&lt;&gt;1,"",INDEX(市场案例库!$I$6:$I$35,MATCH(C355,市场案例库!$A$6:$A$35,0))))&lt;1,IF(COUNTIFS(市场案例库!$A$6:$A$35,C355)&lt;&gt;1,"",IF(COUNT(INDEX(市场案例库!$I$6:$I$35,MATCH(C355,市场案例库!$A$6:$A$35,0)))&lt;&gt;1,"",INDEX(市场案例库!$I$6:$I$35,MATCH(C355,市场案例库!$A$6:$A$35,0))))&gt;4))),"",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INDEX(测算参数!$B$35:$B$41,MATCH(IF(COUNTIFS(市场案例库!$A$6:$A$35,C355)&lt;&gt;1,"",IF(COUNT(INDEX(市场案例库!$I$6:$I$35,MATCH(C355,市场案例库!$A$6:$A$35,0)))&lt;&gt;1,"",INDEX(市场案例库!$I$6:$I$35,MATCH(C355,市场案例库!$A$6:$A$35,0))))-IF(COUNTIFS(资产清单!$A$6:$A$25,A355)&lt;&gt;1,"",IF(COUNT(INDEX(资产清单!$N$6:$N$25,MATCH(A355,资产清单!$A$6:$A$25,0)))&lt;&gt;1,"",INDEX(资产清单!$N$6:$N$25,MATCH(A355,资产清单!$A$6:$A$25,0)))),测算参数!$A$35:$A$41,0)),测算参数!$B$6))</f>
        <v>100</v>
      </c>
      <c r="J355" s="21">
        <f>IF(OR(C355&lt;&gt;N355,COUNT(H355:I355)&lt;&gt;2,H355&lt;=0,I355&lt;=0),"",IF(AND(IF(COUNTIFS(资产清单!$A$6:$A$25,A355)&lt;&gt;1,"",IF(INDEX(资产清单!$H$6:$H$25,MATCH(A355,资产清单!$A$6:$A$25,0))="","",INDEX(资产清单!$H$6:$H$25,MATCH(A355,资产清单!$A$6:$A$25,0))))&lt;&gt;"场地",IF(COUNTIFS(资产清单!$A$6:$A$25,A355)&lt;&gt;1,"",IF(INDEX(资产清单!$H$6:$H$25,MATCH(A355,资产清单!$A$6:$A$25,0))="","",INDEX(资产清单!$H$6:$H$25,MATCH(A355,资产清单!$A$6:$A$25,0))))&lt;&gt;"车位",IF(COUNTIFS(资产清单!$A$6:$A$25,A355)&lt;&gt;1,"",IF(INDEX(资产清单!$H$6:$H$25,MATCH(A355,资产清单!$A$6:$A$25,0))="","",INDEX(资产清单!$H$6:$H$25,MATCH(A355,资产清单!$A$6:$A$25,0))))&lt;&gt;"通信基站"),H355/I355,H355/H355))</f>
        <v>1</v>
      </c>
      <c r="K355" s="16" t="s">
        <v>240</v>
      </c>
      <c r="L355" s="16" t="s">
        <v>230</v>
      </c>
      <c r="M355" s="16" t="str">
        <f t="shared" si="45"/>
        <v>模拟评分记录完整</v>
      </c>
      <c r="N355" s="8" t="s">
        <v>168</v>
      </c>
    </row>
    <row r="356" spans="1:14" ht="46.05" customHeight="1">
      <c r="A356" s="16" t="s">
        <v>80</v>
      </c>
      <c r="B356" s="16">
        <v>1</v>
      </c>
      <c r="C356" s="17" t="str">
        <f>三案例选用!B13</f>
        <v>SC-016</v>
      </c>
      <c r="D356" s="16" t="s">
        <v>231</v>
      </c>
      <c r="E356" s="17" t="str">
        <f>IF(AND(IF(COUNTIFS(资产清单!$A$6:$A$25,A356)&lt;&gt;1,"",IF(INDEX(资产清单!$H$6:$H$25,MATCH(A356,资产清单!$A$6:$A$25,0))="","",INDEX(资产清单!$H$6:$H$25,MATCH(A356,资产清单!$A$6:$A$25,0))))&lt;&gt;"场地",IF(COUNTIFS(资产清单!$A$6:$A$25,A356)&lt;&gt;1,"",IF(INDEX(资产清单!$H$6:$H$25,MATCH(A356,资产清单!$A$6:$A$25,0))="","",INDEX(资产清单!$H$6:$H$25,MATCH(A356,资产清单!$A$6:$A$25,0))))&lt;&gt;"车位",IF(COUNTIFS(资产清单!$A$6:$A$25,A356)&lt;&gt;1,"",IF(INDEX(资产清单!$H$6:$H$25,MATCH(A356,资产清单!$A$6:$A$25,0))="","",INDEX(资产清单!$H$6:$H$25,MATCH(A356,资产清单!$A$6:$A$25,0))))&lt;&gt;"通信基站"),"适用","不适用采用100/100")</f>
        <v>适用</v>
      </c>
      <c r="F356" s="17" t="str">
        <f>IF(AND(IF(COUNTIFS(资产清单!$A$6:$A$25,A356)&lt;&gt;1,"",IF(INDEX(资产清单!$H$6:$H$25,MATCH(A356,资产清单!$A$6:$A$25,0))="","",INDEX(资产清单!$H$6:$H$25,MATCH(A356,资产清单!$A$6:$A$25,0))))&lt;&gt;"场地",IF(COUNTIFS(资产清单!$A$6:$A$25,A356)&lt;&gt;1,"",IF(INDEX(资产清单!$H$6:$H$25,MATCH(A356,资产清单!$A$6:$A$25,0))="","",INDEX(资产清单!$H$6:$H$25,MATCH(A356,资产清单!$A$6:$A$25,0))))&lt;&gt;"车位",IF(COUNTIFS(资产清单!$A$6:$A$25,A356)&lt;&gt;1,"",IF(INDEX(资产清单!$H$6:$H$25,MATCH(A356,资产清单!$A$6:$A$25,0))="","",INDEX(资产清单!$H$6:$H$25,MATCH(A356,资产清单!$A$6:$A$25,0))))&lt;&gt;"通信基站"),IF(COUNTIFS(资产清单!$A$6:$A$25,A356)&lt;&gt;1,"",IF(INDEX(资产清单!$I$6:$I$25,MATCH(A356,资产清单!$A$6:$A$25,0))="","",INDEX(资产清单!$I$6:$I$25,MATCH(A356,资产清单!$A$6:$A$25,0)))),"不适用")</f>
        <v>工业厂房</v>
      </c>
      <c r="G356" s="17" t="str">
        <f>IF(AND(IF(COUNTIFS(资产清单!$A$6:$A$25,A356)&lt;&gt;1,"",IF(INDEX(资产清单!$H$6:$H$25,MATCH(A356,资产清单!$A$6:$A$25,0))="","",INDEX(资产清单!$H$6:$H$25,MATCH(A356,资产清单!$A$6:$A$25,0))))&lt;&gt;"场地",IF(COUNTIFS(资产清单!$A$6:$A$25,A356)&lt;&gt;1,"",IF(INDEX(资产清单!$H$6:$H$25,MATCH(A356,资产清单!$A$6:$A$25,0))="","",INDEX(资产清单!$H$6:$H$25,MATCH(A356,资产清单!$A$6:$A$25,0))))&lt;&gt;"车位",IF(COUNTIFS(资产清单!$A$6:$A$25,A356)&lt;&gt;1,"",IF(INDEX(资产清单!$H$6:$H$25,MATCH(A356,资产清单!$A$6:$A$25,0))="","",INDEX(资产清单!$H$6:$H$25,MATCH(A356,资产清单!$A$6:$A$25,0))))&lt;&gt;"通信基站"),IF(COUNTIFS(市场案例库!$A$6:$A$35,C356)&lt;&gt;1,"",IF(INDEX(市场案例库!$O$6:$O$35,MATCH(C356,市场案例库!$A$6:$A$35,0))="","",INDEX(市场案例库!$O$6:$O$35,MATCH(C356,市场案例库!$A$6:$A$35,0)))),"不适用")</f>
        <v>工业厂房</v>
      </c>
      <c r="H356" s="19">
        <f>测算参数!$B$6</f>
        <v>100</v>
      </c>
      <c r="I356" s="10">
        <v>100</v>
      </c>
      <c r="J356" s="21">
        <f>IF(OR(C356&lt;&gt;N356,COUNT(H356:I356)&lt;&gt;2,H356&lt;=0,I356&lt;=0),"",IF(AND(IF(COUNTIFS(资产清单!$A$6:$A$25,A356)&lt;&gt;1,"",IF(INDEX(资产清单!$H$6:$H$25,MATCH(A356,资产清单!$A$6:$A$25,0))="","",INDEX(资产清单!$H$6:$H$25,MATCH(A356,资产清单!$A$6:$A$25,0))))&lt;&gt;"场地",IF(COUNTIFS(资产清单!$A$6:$A$25,A356)&lt;&gt;1,"",IF(INDEX(资产清单!$H$6:$H$25,MATCH(A356,资产清单!$A$6:$A$25,0))="","",INDEX(资产清单!$H$6:$H$25,MATCH(A356,资产清单!$A$6:$A$25,0))))&lt;&gt;"车位",IF(COUNTIFS(资产清单!$A$6:$A$25,A356)&lt;&gt;1,"",IF(INDEX(资产清单!$H$6:$H$25,MATCH(A356,资产清单!$A$6:$A$25,0))="","",INDEX(资产清单!$H$6:$H$25,MATCH(A356,资产清单!$A$6:$A$25,0))))&lt;&gt;"通信基站"),H356/I356,H356/H356))</f>
        <v>1</v>
      </c>
      <c r="K356" s="16" t="s">
        <v>240</v>
      </c>
      <c r="L356" s="16" t="s">
        <v>215</v>
      </c>
      <c r="M356" s="16" t="str">
        <f t="shared" si="45"/>
        <v>模拟评分记录完整</v>
      </c>
      <c r="N356" s="8" t="s">
        <v>168</v>
      </c>
    </row>
    <row r="357" spans="1:14" ht="46.05" customHeight="1">
      <c r="A357" s="16" t="s">
        <v>80</v>
      </c>
      <c r="B357" s="16">
        <v>1</v>
      </c>
      <c r="C357" s="17" t="str">
        <f>三案例选用!B13</f>
        <v>SC-016</v>
      </c>
      <c r="D357" s="16" t="s">
        <v>232</v>
      </c>
      <c r="E357" s="16" t="str">
        <f>IF(TRUE,"适用","不适用采用100/100")</f>
        <v>适用</v>
      </c>
      <c r="F357" s="17" t="str">
        <f>IF(TRUE,IF(COUNTIFS(资产清单!$A$6:$A$25,A357)&lt;&gt;1,"",IF(INDEX(资产清单!$I$6:$I$25,MATCH(A357,资产清单!$A$6:$A$25,0))="","",INDEX(资产清单!$I$6:$I$25,MATCH(A357,资产清单!$A$6:$A$25,0)))),"不适用")</f>
        <v>工业厂房</v>
      </c>
      <c r="G357" s="17" t="str">
        <f>IF(TRUE,IF(COUNTIFS(市场案例库!$A$6:$A$35,C357)&lt;&gt;1,"",IF(INDEX(市场案例库!$O$6:$O$35,MATCH(C357,市场案例库!$A$6:$A$35,0))="","",INDEX(市场案例库!$O$6:$O$35,MATCH(C357,市场案例库!$A$6:$A$35,0)))),"不适用")</f>
        <v>工业厂房</v>
      </c>
      <c r="H357" s="19">
        <f>测算参数!$B$6</f>
        <v>100</v>
      </c>
      <c r="I357" s="10">
        <v>100</v>
      </c>
      <c r="J357" s="20">
        <f>IF(OR(C357&lt;&gt;N357,COUNT(H357:I357)&lt;&gt;2,H357&lt;=0,I357&lt;=0),"",IF(TRUE,H357/I357,H357/H357))</f>
        <v>1</v>
      </c>
      <c r="K357" s="16" t="s">
        <v>240</v>
      </c>
      <c r="L357" s="16" t="s">
        <v>215</v>
      </c>
      <c r="M357" s="16" t="str">
        <f t="shared" si="45"/>
        <v>模拟评分记录完整</v>
      </c>
      <c r="N357" s="8" t="s">
        <v>168</v>
      </c>
    </row>
    <row r="358" spans="1:14" ht="46.05" customHeight="1">
      <c r="A358" s="16" t="s">
        <v>80</v>
      </c>
      <c r="B358" s="16">
        <v>2</v>
      </c>
      <c r="C358" s="17" t="str">
        <f>三案例选用!C13</f>
        <v>SC-017</v>
      </c>
      <c r="D358" s="16" t="s">
        <v>209</v>
      </c>
      <c r="E358" s="16" t="str">
        <f>IF(TRUE,"适用","不适用采用100/100")</f>
        <v>适用</v>
      </c>
      <c r="F358" s="17" t="str">
        <f>IF(TRUE,IF(COUNTIFS(资产清单!$A$6:$A$25,A358)&lt;&gt;1,"",IF(INDEX(资产清单!$I$6:$I$25,MATCH(A358,资产清单!$A$6:$A$25,0))="","",INDEX(资产清单!$I$6:$I$25,MATCH(A358,资产清单!$A$6:$A$25,0)))),"不适用")</f>
        <v>工业厂房</v>
      </c>
      <c r="G358" s="17" t="str">
        <f>IF(TRUE,IF(COUNTIFS(市场案例库!$A$6:$A$35,C358)&lt;&gt;1,"",IF(INDEX(市场案例库!$O$6:$O$35,MATCH(C358,市场案例库!$A$6:$A$35,0))="","",INDEX(市场案例库!$O$6:$O$35,MATCH(C358,市场案例库!$A$6:$A$35,0)))),"不适用")</f>
        <v>工业厂房</v>
      </c>
      <c r="H358" s="19">
        <f>测算参数!$B$6</f>
        <v>100</v>
      </c>
      <c r="I358" s="19">
        <f>IF(OR(COUNTIFS(市场案例库!$A$6:$A$35,C358)&lt;&gt;1),"",IF(COUNTIFS(市场案例库!$A$6:$A$35,C358)&lt;&gt;1,"",IF(COUNT(INDEX(市场案例库!$M$6:$M$35,MATCH(C358,市场案例库!$A$6:$A$35,0)))&lt;&gt;1,"",INDEX(市场案例库!$M$6:$M$35,MATCH(C358,市场案例库!$A$6:$A$35,0)))))</f>
        <v>102</v>
      </c>
      <c r="J358" s="20">
        <f>IF(OR(C358&lt;&gt;N358,COUNT(H358:I358)&lt;&gt;2,H358&lt;=0,I358&lt;=0),"",IF(TRUE,H358/I358,H358/H358))</f>
        <v>0.98039215686274506</v>
      </c>
      <c r="K358" s="16" t="s">
        <v>240</v>
      </c>
      <c r="L358" s="16" t="s">
        <v>211</v>
      </c>
      <c r="M358" s="16" t="str">
        <f t="shared" si="45"/>
        <v>模拟评分记录完整</v>
      </c>
      <c r="N358" s="8" t="s">
        <v>169</v>
      </c>
    </row>
    <row r="359" spans="1:14" ht="46.05" customHeight="1">
      <c r="A359" s="16" t="s">
        <v>80</v>
      </c>
      <c r="B359" s="16">
        <v>2</v>
      </c>
      <c r="C359" s="17" t="str">
        <f>三案例选用!C13</f>
        <v>SC-017</v>
      </c>
      <c r="D359" s="16" t="s">
        <v>212</v>
      </c>
      <c r="E359" s="16" t="str">
        <f>IF(TRUE,"适用","不适用采用100/100")</f>
        <v>适用</v>
      </c>
      <c r="F359" s="17" t="str">
        <f>IF(TRUE,IF(COUNTIFS(资产清单!$A$6:$A$25,A359)&lt;&gt;1,"",IF(INDEX(资产清单!$I$6:$I$25,MATCH(A359,资产清单!$A$6:$A$25,0))="","",INDEX(资产清单!$I$6:$I$25,MATCH(A359,资产清单!$A$6:$A$25,0)))),"不适用")</f>
        <v>工业厂房</v>
      </c>
      <c r="G359" s="17" t="str">
        <f>IF(TRUE,IF(COUNTIFS(市场案例库!$A$6:$A$35,C359)&lt;&gt;1,"",IF(INDEX(市场案例库!$O$6:$O$35,MATCH(C359,市场案例库!$A$6:$A$35,0))="","",INDEX(市场案例库!$O$6:$O$35,MATCH(C359,市场案例库!$A$6:$A$35,0)))),"不适用")</f>
        <v>工业厂房</v>
      </c>
      <c r="H359" s="19">
        <f>测算参数!$B$6</f>
        <v>100</v>
      </c>
      <c r="I359" s="19">
        <f>IF(OR(COUNTIFS(市场案例库!$A$6:$A$35,C359)&lt;&gt;1),"",IF(COUNTIFS(市场案例库!$A$6:$A$35,C359)&lt;&gt;1,"",IF(COUNT(INDEX(市场案例库!$N$6:$N$35,MATCH(C359,市场案例库!$A$6:$A$35,0)))&lt;&gt;1,"",INDEX(市场案例库!$N$6:$N$35,MATCH(C359,市场案例库!$A$6:$A$35,0)))))</f>
        <v>100</v>
      </c>
      <c r="J359" s="20">
        <f>IF(OR(C359&lt;&gt;N359,COUNT(H359:I359)&lt;&gt;2,H359&lt;=0,I359&lt;=0),"",IF(TRUE,H359/I359,H359/H359))</f>
        <v>1</v>
      </c>
      <c r="K359" s="16" t="s">
        <v>240</v>
      </c>
      <c r="L359" s="16" t="s">
        <v>213</v>
      </c>
      <c r="M359" s="16" t="str">
        <f t="shared" si="45"/>
        <v>模拟评分记录完整</v>
      </c>
      <c r="N359" s="8" t="s">
        <v>169</v>
      </c>
    </row>
    <row r="360" spans="1:14" ht="46.05" customHeight="1">
      <c r="A360" s="16" t="s">
        <v>80</v>
      </c>
      <c r="B360" s="16">
        <v>2</v>
      </c>
      <c r="C360" s="17" t="str">
        <f>三案例选用!C13</f>
        <v>SC-017</v>
      </c>
      <c r="D360" s="16" t="s">
        <v>214</v>
      </c>
      <c r="E360" s="16" t="str">
        <f>IF(TRUE,"适用","不适用采用100/100")</f>
        <v>适用</v>
      </c>
      <c r="F360" s="17" t="str">
        <f>IF(TRUE,IF(COUNTIFS(资产清单!$A$6:$A$25,A360)&lt;&gt;1,"",IF(INDEX(资产清单!$I$6:$I$25,MATCH(A360,资产清单!$A$6:$A$25,0))="","",INDEX(资产清单!$I$6:$I$25,MATCH(A360,资产清单!$A$6:$A$25,0)))),"不适用")</f>
        <v>工业厂房</v>
      </c>
      <c r="G360" s="17" t="str">
        <f>IF(TRUE,IF(COUNTIFS(市场案例库!$A$6:$A$35,C360)&lt;&gt;1,"",IF(INDEX(市场案例库!$O$6:$O$35,MATCH(C360,市场案例库!$A$6:$A$35,0))="","",INDEX(市场案例库!$O$6:$O$35,MATCH(C360,市场案例库!$A$6:$A$35,0)))),"不适用")</f>
        <v>工业厂房</v>
      </c>
      <c r="H360" s="19">
        <f>测算参数!$B$6</f>
        <v>100</v>
      </c>
      <c r="I360" s="10">
        <v>103</v>
      </c>
      <c r="J360" s="20">
        <f>IF(OR(C360&lt;&gt;N360,COUNT(H360:I360)&lt;&gt;2,H360&lt;=0,I360&lt;=0),"",IF(TRUE,H360/I360,H360/H360))</f>
        <v>0.970873786407767</v>
      </c>
      <c r="K360" s="16" t="s">
        <v>240</v>
      </c>
      <c r="L360" s="16" t="s">
        <v>241</v>
      </c>
      <c r="M360" s="16" t="str">
        <f t="shared" si="45"/>
        <v>模拟评分记录完整</v>
      </c>
      <c r="N360" s="8" t="s">
        <v>169</v>
      </c>
    </row>
    <row r="361" spans="1:14" ht="46.05" customHeight="1">
      <c r="A361" s="16" t="s">
        <v>80</v>
      </c>
      <c r="B361" s="16">
        <v>2</v>
      </c>
      <c r="C361" s="17" t="str">
        <f>三案例选用!C13</f>
        <v>SC-017</v>
      </c>
      <c r="D361" s="16" t="s">
        <v>216</v>
      </c>
      <c r="E361" s="16" t="str">
        <f>IF(TRUE,"适用","不适用采用100/100")</f>
        <v>适用</v>
      </c>
      <c r="F361" s="17" t="str">
        <f>IF(TRUE,IF(COUNTIFS(资产清单!$A$6:$A$25,A361)&lt;&gt;1,"",IF(INDEX(资产清单!$I$6:$I$25,MATCH(A361,资产清单!$A$6:$A$25,0))="","",INDEX(资产清单!$I$6:$I$25,MATCH(A361,资产清单!$A$6:$A$25,0)))),"不适用")</f>
        <v>工业厂房</v>
      </c>
      <c r="G361" s="17" t="str">
        <f>IF(TRUE,IF(COUNTIFS(市场案例库!$A$6:$A$35,C361)&lt;&gt;1,"",IF(INDEX(市场案例库!$O$6:$O$35,MATCH(C361,市场案例库!$A$6:$A$35,0))="","",INDEX(市场案例库!$O$6:$O$35,MATCH(C361,市场案例库!$A$6:$A$35,0)))),"不适用")</f>
        <v>工业厂房</v>
      </c>
      <c r="H361" s="19">
        <f>测算参数!$B$6</f>
        <v>100</v>
      </c>
      <c r="I361" s="10">
        <v>102</v>
      </c>
      <c r="J361" s="20">
        <f>IF(OR(C361&lt;&gt;N361,COUNT(H361:I361)&lt;&gt;2,H361&lt;=0,I361&lt;=0),"",IF(TRUE,H361/I361,H361/H361))</f>
        <v>0.98039215686274506</v>
      </c>
      <c r="K361" s="16" t="s">
        <v>240</v>
      </c>
      <c r="L361" s="16" t="s">
        <v>242</v>
      </c>
      <c r="M361" s="16" t="str">
        <f t="shared" si="45"/>
        <v>模拟评分记录完整</v>
      </c>
      <c r="N361" s="8" t="s">
        <v>169</v>
      </c>
    </row>
    <row r="362" spans="1:14" ht="46.05" customHeight="1">
      <c r="A362" s="16" t="s">
        <v>80</v>
      </c>
      <c r="B362" s="16">
        <v>2</v>
      </c>
      <c r="C362" s="17" t="str">
        <f>三案例选用!C13</f>
        <v>SC-017</v>
      </c>
      <c r="D362" s="16" t="s">
        <v>217</v>
      </c>
      <c r="E362" s="17" t="str">
        <f>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"适用","不适用采用100/100")</f>
        <v>不适用采用100/100</v>
      </c>
      <c r="F362" s="17" t="str">
        <f>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IF(COUNTIFS(资产清单!$A$6:$A$25,A362)&lt;&gt;1,"",IF(COUNT(INDEX(资产清单!$M$6:$M$25,MATCH(A362,资产清单!$A$6:$A$25,0)))&lt;&gt;1,"",INDEX(资产清单!$M$6:$M$25,MATCH(A362,资产清单!$A$6:$A$25,0)))),"不适用")</f>
        <v>不适用</v>
      </c>
      <c r="G362" s="17" t="str">
        <f>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IF(COUNTIFS(市场案例库!$A$6:$A$35,C362)&lt;&gt;1,"",IF(COUNT(INDEX(市场案例库!$H$6:$H$35,MATCH(C362,市场案例库!$A$6:$A$35,0)))&lt;&gt;1,"",INDEX(市场案例库!$H$6:$H$35,MATCH(C362,市场案例库!$A$6:$A$35,0)))),"不适用")</f>
        <v>不适用</v>
      </c>
      <c r="H362" s="19">
        <f>测算参数!$B$6</f>
        <v>100</v>
      </c>
      <c r="I362" s="19">
        <f>IF(OR(COUNTIFS(市场案例库!$A$6:$A$35,C362)&lt;&gt;1,AND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COUNT(IF(COUNTIFS(资产清单!$A$6:$A$25,A362)&lt;&gt;1,"",IF(COUNT(INDEX(资产清单!$M$6:$M$25,MATCH(A362,资产清单!$A$6:$A$25,0)))&lt;&gt;1,"",INDEX(资产清单!$M$6:$M$25,MATCH(A362,资产清单!$A$6:$A$25,0)))),IF(COUNTIFS(市场案例库!$A$6:$A$35,C362)&lt;&gt;1,"",IF(COUNT(INDEX(市场案例库!$H$6:$H$35,MATCH(C362,市场案例库!$A$6:$A$35,0)))&lt;&gt;1,"",INDEX(市场案例库!$H$6:$H$35,MATCH(C362,市场案例库!$A$6:$A$35,0)))))&lt;&gt;2)),"",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INDEX(测算参数!$B$25:$B$31,MATCH(MAX(-测算参数!$B$11,MIN(测算参数!$B$11,IF(COUNTIFS(资产清单!$A$6:$A$25,A362)&lt;&gt;1,"",IF(COUNT(INDEX(资产清单!$M$6:$M$25,MATCH(A362,资产清单!$A$6:$A$25,0)))&lt;&gt;1,"",INDEX(资产清单!$M$6:$M$25,MATCH(A362,资产清单!$A$6:$A$25,0))))-IF(COUNTIFS(市场案例库!$A$6:$A$35,C362)&lt;&gt;1,"",IF(COUNT(INDEX(市场案例库!$H$6:$H$35,MATCH(C362,市场案例库!$A$6:$A$35,0)))&lt;&gt;1,"",INDEX(市场案例库!$H$6:$H$35,MATCH(C362,市场案例库!$A$6:$A$35,0)))))),测算参数!$A$25:$A$31,0)),测算参数!$B$6))</f>
        <v>100</v>
      </c>
      <c r="J362" s="21">
        <f>IF(OR(C362&lt;&gt;N362,COUNT(H362:I362)&lt;&gt;2,H362&lt;=0,I362&lt;=0),"",IF(OR(IF(COUNTIFS(资产清单!$A$6:$A$25,A362)&lt;&gt;1,"",IF(INDEX(资产清单!$H$6:$H$25,MATCH(A362,资产清单!$A$6:$A$25,0))="","",INDEX(资产清单!$H$6:$H$25,MATCH(A362,资产清单!$A$6:$A$25,0))))="商业",IF(COUNTIFS(资产清单!$A$6:$A$25,A362)&lt;&gt;1,"",IF(INDEX(资产清单!$H$6:$H$25,MATCH(A362,资产清单!$A$6:$A$25,0))="","",INDEX(资产清单!$H$6:$H$25,MATCH(A362,资产清单!$A$6:$A$25,0))))="办公",IF(COUNTIFS(资产清单!$A$6:$A$25,A362)&lt;&gt;1,"",IF(INDEX(资产清单!$H$6:$H$25,MATCH(A362,资产清单!$A$6:$A$25,0))="","",INDEX(资产清单!$H$6:$H$25,MATCH(A362,资产清单!$A$6:$A$25,0))))="住宅"),H362/I362,H362/H362))</f>
        <v>1</v>
      </c>
      <c r="K362" s="16" t="s">
        <v>240</v>
      </c>
      <c r="L362" s="16" t="s">
        <v>218</v>
      </c>
      <c r="M362" s="16" t="str">
        <f t="shared" si="45"/>
        <v>模拟评分记录完整</v>
      </c>
      <c r="N362" s="8" t="s">
        <v>169</v>
      </c>
    </row>
    <row r="363" spans="1:14" ht="46.05" customHeight="1">
      <c r="A363" s="16" t="s">
        <v>80</v>
      </c>
      <c r="B363" s="16">
        <v>2</v>
      </c>
      <c r="C363" s="17" t="str">
        <f>三案例选用!C13</f>
        <v>SC-017</v>
      </c>
      <c r="D363" s="16" t="s">
        <v>219</v>
      </c>
      <c r="E363" s="17" t="str">
        <f>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"适用","不适用采用100/100")</f>
        <v>适用</v>
      </c>
      <c r="F363" s="17">
        <f>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IF(COUNTIFS(资产清单!$A$6:$A$25,A363)&lt;&gt;1,"",IF(COUNT(INDEX(资产清单!$L$6:$L$25,MATCH(A363,资产清单!$A$6:$A$25,0)))&lt;&gt;1,"",INDEX(资产清单!$L$6:$L$25,MATCH(A363,资产清单!$A$6:$A$25,0)))),"不适用")</f>
        <v>1200</v>
      </c>
      <c r="G363" s="17">
        <f>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IF(COUNTIFS(市场案例库!$A$6:$A$35,C363)&lt;&gt;1,"",IF(COUNT(INDEX(市场案例库!$G$6:$G$35,MATCH(C363,市场案例库!$A$6:$A$35,0)))&lt;&gt;1,"",INDEX(市场案例库!$G$6:$G$35,MATCH(C363,市场案例库!$A$6:$A$35,0)))),"不适用")</f>
        <v>1500</v>
      </c>
      <c r="H363" s="19">
        <f>测算参数!$B$6</f>
        <v>100</v>
      </c>
      <c r="I363" s="19">
        <f>IF(OR(COUNTIFS(市场案例库!$A$6:$A$35,C363)&lt;&gt;1,AND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OR(COUNT(IF(COUNTIFS(资产清单!$A$6:$A$25,A363)&lt;&gt;1,"",IF(COUNT(INDEX(资产清单!$L$6:$L$25,MATCH(A363,资产清单!$A$6:$A$25,0)))&lt;&gt;1,"",INDEX(资产清单!$L$6:$L$25,MATCH(A363,资产清单!$A$6:$A$25,0)))),IF(COUNTIFS(市场案例库!$A$6:$A$35,C363)&lt;&gt;1,"",IF(COUNT(INDEX(市场案例库!$G$6:$G$35,MATCH(C363,市场案例库!$A$6:$A$35,0)))&lt;&gt;1,"",INDEX(市场案例库!$G$6:$G$35,MATCH(C363,市场案例库!$A$6:$A$35,0)))))&lt;&gt;2,IF(COUNTIFS(资产清单!$A$6:$A$25,A363)&lt;&gt;1,"",IF(COUNT(INDEX(资产清单!$L$6:$L$25,MATCH(A363,资产清单!$A$6:$A$25,0)))&lt;&gt;1,"",INDEX(资产清单!$L$6:$L$25,MATCH(A363,资产清单!$A$6:$A$25,0))))&lt;=0,IF(COUNTIFS(市场案例库!$A$6:$A$35,C363)&lt;&gt;1,"",IF(COUNT(INDEX(市场案例库!$G$6:$G$35,MATCH(C363,市场案例库!$A$6:$A$35,0)))&lt;&gt;1,"",INDEX(市场案例库!$G$6:$G$35,MATCH(C363,市场案例库!$A$6:$A$35,0))))&lt;=0))),"",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LOOKUP(IF(COUNTIFS(市场案例库!$A$6:$A$35,C363)&lt;&gt;1,"",IF(COUNT(INDEX(市场案例库!$G$6:$G$35,MATCH(C363,市场案例库!$A$6:$A$35,0)))&lt;&gt;1,"",INDEX(市场案例库!$G$6:$G$35,MATCH(C363,市场案例库!$A$6:$A$35,0))))/IF(COUNTIFS(资产清单!$A$6:$A$25,A363)&lt;&gt;1,"",IF(COUNT(INDEX(资产清单!$L$6:$L$25,MATCH(A363,资产清单!$A$6:$A$25,0)))&lt;&gt;1,"",INDEX(资产清单!$L$6:$L$25,MATCH(A363,资产清单!$A$6:$A$25,0)))),测算参数!$A$15:$A$21,测算参数!$C$15:$C$21),测算参数!$B$6))</f>
        <v>98</v>
      </c>
      <c r="J363" s="21">
        <f>IF(OR(C363&lt;&gt;N363,COUNT(H363:I363)&lt;&gt;2,H363&lt;=0,I363&lt;=0),"",IF(AND(IF(COUNTIFS(资产清单!$A$6:$A$25,A363)&lt;&gt;1,"",IF(INDEX(资产清单!$J$6:$J$25,MATCH(A363,资产清单!$A$6:$A$25,0))="","",INDEX(资产清单!$J$6:$J$25,MATCH(A363,资产清单!$A$6:$A$25,0))))="元/㎡/月",IF(COUNTIFS(资产清单!$A$6:$A$25,A363)&lt;&gt;1,"",IF(INDEX(资产清单!$H$6:$H$25,MATCH(A363,资产清单!$A$6:$A$25,0))="","",INDEX(资产清单!$H$6:$H$25,MATCH(A363,资产清单!$A$6:$A$25,0))))&lt;&gt;"场地"),H363/I363,H363/H363))</f>
        <v>1.0204081632653061</v>
      </c>
      <c r="K363" s="16" t="s">
        <v>240</v>
      </c>
      <c r="L363" s="16" t="s">
        <v>220</v>
      </c>
      <c r="M363" s="16" t="str">
        <f t="shared" si="45"/>
        <v>模拟评分记录完整</v>
      </c>
      <c r="N363" s="8" t="s">
        <v>169</v>
      </c>
    </row>
    <row r="364" spans="1:14" ht="46.05" customHeight="1">
      <c r="A364" s="16" t="s">
        <v>80</v>
      </c>
      <c r="B364" s="16">
        <v>2</v>
      </c>
      <c r="C364" s="17" t="str">
        <f>三案例选用!C13</f>
        <v>SC-017</v>
      </c>
      <c r="D364" s="16" t="s">
        <v>221</v>
      </c>
      <c r="E364" s="16" t="str">
        <f t="shared" ref="E364:E369" si="50">IF(TRUE,"适用","不适用采用100/100")</f>
        <v>适用</v>
      </c>
      <c r="F364" s="17" t="str">
        <f>IF(TRUE,IF(COUNTIFS(资产清单!$A$6:$A$25,A364)&lt;&gt;1,"",IF(INDEX(资产清单!$I$6:$I$25,MATCH(A364,资产清单!$A$6:$A$25,0))="","",INDEX(资产清单!$I$6:$I$25,MATCH(A364,资产清单!$A$6:$A$25,0)))),"不适用")</f>
        <v>工业厂房</v>
      </c>
      <c r="G364" s="17" t="str">
        <f>IF(TRUE,IF(COUNTIFS(市场案例库!$A$6:$A$35,C364)&lt;&gt;1,"",IF(INDEX(市场案例库!$O$6:$O$35,MATCH(C364,市场案例库!$A$6:$A$35,0))="","",INDEX(市场案例库!$O$6:$O$35,MATCH(C364,市场案例库!$A$6:$A$35,0)))),"不适用")</f>
        <v>工业厂房</v>
      </c>
      <c r="H364" s="19">
        <f>测算参数!$B$6</f>
        <v>100</v>
      </c>
      <c r="I364" s="10">
        <v>100</v>
      </c>
      <c r="J364" s="20">
        <f t="shared" ref="J364:J369" si="51">IF(OR(C364&lt;&gt;N364,COUNT(H364:I364)&lt;&gt;2,H364&lt;=0,I364&lt;=0),"",IF(TRUE,H364/I364,H364/H364))</f>
        <v>1</v>
      </c>
      <c r="K364" s="16" t="s">
        <v>240</v>
      </c>
      <c r="L364" s="16" t="s">
        <v>215</v>
      </c>
      <c r="M364" s="16" t="str">
        <f t="shared" si="45"/>
        <v>模拟评分记录完整</v>
      </c>
      <c r="N364" s="8" t="s">
        <v>169</v>
      </c>
    </row>
    <row r="365" spans="1:14" ht="46.05" customHeight="1">
      <c r="A365" s="16" t="s">
        <v>80</v>
      </c>
      <c r="B365" s="16">
        <v>2</v>
      </c>
      <c r="C365" s="17" t="str">
        <f>三案例选用!C13</f>
        <v>SC-017</v>
      </c>
      <c r="D365" s="16" t="s">
        <v>222</v>
      </c>
      <c r="E365" s="16" t="str">
        <f t="shared" si="50"/>
        <v>适用</v>
      </c>
      <c r="F365" s="17" t="str">
        <f>IF(TRUE,IF(COUNTIFS(资产清单!$A$6:$A$25,A365)&lt;&gt;1,"",IF(INDEX(资产清单!$I$6:$I$25,MATCH(A365,资产清单!$A$6:$A$25,0))="","",INDEX(资产清单!$I$6:$I$25,MATCH(A365,资产清单!$A$6:$A$25,0)))),"不适用")</f>
        <v>工业厂房</v>
      </c>
      <c r="G365" s="17" t="str">
        <f>IF(TRUE,IF(COUNTIFS(市场案例库!$A$6:$A$35,C365)&lt;&gt;1,"",IF(INDEX(市场案例库!$O$6:$O$35,MATCH(C365,市场案例库!$A$6:$A$35,0))="","",INDEX(市场案例库!$O$6:$O$35,MATCH(C365,市场案例库!$A$6:$A$35,0)))),"不适用")</f>
        <v>工业厂房</v>
      </c>
      <c r="H365" s="19">
        <f>测算参数!$B$6</f>
        <v>100</v>
      </c>
      <c r="I365" s="10">
        <v>100</v>
      </c>
      <c r="J365" s="20">
        <f t="shared" si="51"/>
        <v>1</v>
      </c>
      <c r="K365" s="16" t="s">
        <v>240</v>
      </c>
      <c r="L365" s="16" t="s">
        <v>215</v>
      </c>
      <c r="M365" s="16" t="str">
        <f t="shared" si="45"/>
        <v>模拟评分记录完整</v>
      </c>
      <c r="N365" s="8" t="s">
        <v>169</v>
      </c>
    </row>
    <row r="366" spans="1:14" ht="46.05" customHeight="1">
      <c r="A366" s="16" t="s">
        <v>80</v>
      </c>
      <c r="B366" s="16">
        <v>2</v>
      </c>
      <c r="C366" s="17" t="str">
        <f>三案例选用!C13</f>
        <v>SC-017</v>
      </c>
      <c r="D366" s="16" t="s">
        <v>224</v>
      </c>
      <c r="E366" s="16" t="str">
        <f t="shared" si="50"/>
        <v>适用</v>
      </c>
      <c r="F366" s="17" t="str">
        <f>IF(TRUE,IF(COUNTIFS(资产清单!$A$6:$A$25,A366)&lt;&gt;1,"",IF(INDEX(资产清单!$I$6:$I$25,MATCH(A366,资产清单!$A$6:$A$25,0))="","",INDEX(资产清单!$I$6:$I$25,MATCH(A366,资产清单!$A$6:$A$25,0)))),"不适用")</f>
        <v>工业厂房</v>
      </c>
      <c r="G366" s="17" t="str">
        <f>IF(TRUE,IF(COUNTIFS(市场案例库!$A$6:$A$35,C366)&lt;&gt;1,"",IF(INDEX(市场案例库!$O$6:$O$35,MATCH(C366,市场案例库!$A$6:$A$35,0))="","",INDEX(市场案例库!$O$6:$O$35,MATCH(C366,市场案例库!$A$6:$A$35,0)))),"不适用")</f>
        <v>工业厂房</v>
      </c>
      <c r="H366" s="19">
        <f>测算参数!$B$6</f>
        <v>100</v>
      </c>
      <c r="I366" s="10">
        <v>100</v>
      </c>
      <c r="J366" s="20">
        <f t="shared" si="51"/>
        <v>1</v>
      </c>
      <c r="K366" s="16" t="s">
        <v>240</v>
      </c>
      <c r="L366" s="16" t="s">
        <v>215</v>
      </c>
      <c r="M366" s="16" t="str">
        <f t="shared" si="45"/>
        <v>模拟评分记录完整</v>
      </c>
      <c r="N366" s="8" t="s">
        <v>169</v>
      </c>
    </row>
    <row r="367" spans="1:14" ht="46.05" customHeight="1">
      <c r="A367" s="16" t="s">
        <v>80</v>
      </c>
      <c r="B367" s="16">
        <v>2</v>
      </c>
      <c r="C367" s="17" t="str">
        <f>三案例选用!C13</f>
        <v>SC-017</v>
      </c>
      <c r="D367" s="16" t="s">
        <v>225</v>
      </c>
      <c r="E367" s="16" t="str">
        <f t="shared" si="50"/>
        <v>适用</v>
      </c>
      <c r="F367" s="17" t="str">
        <f>IF(TRUE,IF(COUNTIFS(资产清单!$A$6:$A$25,A367)&lt;&gt;1,"",IF(INDEX(资产清单!$I$6:$I$25,MATCH(A367,资产清单!$A$6:$A$25,0))="","",INDEX(资产清单!$I$6:$I$25,MATCH(A367,资产清单!$A$6:$A$25,0)))),"不适用")</f>
        <v>工业厂房</v>
      </c>
      <c r="G367" s="17" t="str">
        <f>IF(TRUE,IF(COUNTIFS(市场案例库!$A$6:$A$35,C367)&lt;&gt;1,"",IF(INDEX(市场案例库!$O$6:$O$35,MATCH(C367,市场案例库!$A$6:$A$35,0))="","",INDEX(市场案例库!$O$6:$O$35,MATCH(C367,市场案例库!$A$6:$A$35,0)))),"不适用")</f>
        <v>工业厂房</v>
      </c>
      <c r="H367" s="19">
        <f>测算参数!$B$6</f>
        <v>100</v>
      </c>
      <c r="I367" s="10">
        <v>100</v>
      </c>
      <c r="J367" s="20">
        <f t="shared" si="51"/>
        <v>1</v>
      </c>
      <c r="K367" s="16" t="s">
        <v>240</v>
      </c>
      <c r="L367" s="16" t="s">
        <v>215</v>
      </c>
      <c r="M367" s="16" t="str">
        <f t="shared" si="45"/>
        <v>模拟评分记录完整</v>
      </c>
      <c r="N367" s="8" t="s">
        <v>169</v>
      </c>
    </row>
    <row r="368" spans="1:14" ht="46.05" customHeight="1">
      <c r="A368" s="16" t="s">
        <v>80</v>
      </c>
      <c r="B368" s="16">
        <v>2</v>
      </c>
      <c r="C368" s="17" t="str">
        <f>三案例选用!C13</f>
        <v>SC-017</v>
      </c>
      <c r="D368" s="16" t="s">
        <v>226</v>
      </c>
      <c r="E368" s="16" t="str">
        <f t="shared" si="50"/>
        <v>适用</v>
      </c>
      <c r="F368" s="17" t="str">
        <f>IF(TRUE,IF(COUNTIFS(资产清单!$A$6:$A$25,A368)&lt;&gt;1,"",IF(INDEX(资产清单!$I$6:$I$25,MATCH(A368,资产清单!$A$6:$A$25,0))="","",INDEX(资产清单!$I$6:$I$25,MATCH(A368,资产清单!$A$6:$A$25,0)))),"不适用")</f>
        <v>工业厂房</v>
      </c>
      <c r="G368" s="17" t="str">
        <f>IF(TRUE,IF(COUNTIFS(市场案例库!$A$6:$A$35,C368)&lt;&gt;1,"",IF(INDEX(市场案例库!$O$6:$O$35,MATCH(C368,市场案例库!$A$6:$A$35,0))="","",INDEX(市场案例库!$O$6:$O$35,MATCH(C368,市场案例库!$A$6:$A$35,0)))),"不适用")</f>
        <v>工业厂房</v>
      </c>
      <c r="H368" s="19">
        <f>测算参数!$B$6</f>
        <v>100</v>
      </c>
      <c r="I368" s="10">
        <v>102</v>
      </c>
      <c r="J368" s="20">
        <f t="shared" si="51"/>
        <v>0.98039215686274506</v>
      </c>
      <c r="K368" s="16" t="s">
        <v>240</v>
      </c>
      <c r="L368" s="16" t="s">
        <v>243</v>
      </c>
      <c r="M368" s="16" t="str">
        <f t="shared" si="45"/>
        <v>模拟评分记录完整</v>
      </c>
      <c r="N368" s="8" t="s">
        <v>169</v>
      </c>
    </row>
    <row r="369" spans="1:14" ht="46.05" customHeight="1">
      <c r="A369" s="16" t="s">
        <v>80</v>
      </c>
      <c r="B369" s="16">
        <v>2</v>
      </c>
      <c r="C369" s="17" t="str">
        <f>三案例选用!C13</f>
        <v>SC-017</v>
      </c>
      <c r="D369" s="16" t="s">
        <v>227</v>
      </c>
      <c r="E369" s="16" t="str">
        <f t="shared" si="50"/>
        <v>适用</v>
      </c>
      <c r="F369" s="17" t="str">
        <f>IF(TRUE,IF(COUNTIFS(资产清单!$A$6:$A$25,A369)&lt;&gt;1,"",IF(INDEX(资产清单!$I$6:$I$25,MATCH(A369,资产清单!$A$6:$A$25,0))="","",INDEX(资产清单!$I$6:$I$25,MATCH(A369,资产清单!$A$6:$A$25,0)))),"不适用")</f>
        <v>工业厂房</v>
      </c>
      <c r="G369" s="17" t="str">
        <f>IF(TRUE,IF(COUNTIFS(市场案例库!$A$6:$A$35,C369)&lt;&gt;1,"",IF(INDEX(市场案例库!$O$6:$O$35,MATCH(C369,市场案例库!$A$6:$A$35,0))="","",INDEX(市场案例库!$O$6:$O$35,MATCH(C369,市场案例库!$A$6:$A$35,0)))),"不适用")</f>
        <v>工业厂房</v>
      </c>
      <c r="H369" s="19">
        <f>测算参数!$B$6</f>
        <v>100</v>
      </c>
      <c r="I369" s="10">
        <v>100</v>
      </c>
      <c r="J369" s="20">
        <f t="shared" si="51"/>
        <v>1</v>
      </c>
      <c r="K369" s="16" t="s">
        <v>240</v>
      </c>
      <c r="L369" s="16" t="s">
        <v>215</v>
      </c>
      <c r="M369" s="16" t="str">
        <f t="shared" si="45"/>
        <v>模拟评分记录完整</v>
      </c>
      <c r="N369" s="8" t="s">
        <v>169</v>
      </c>
    </row>
    <row r="370" spans="1:14" ht="46.05" customHeight="1">
      <c r="A370" s="16" t="s">
        <v>80</v>
      </c>
      <c r="B370" s="16">
        <v>2</v>
      </c>
      <c r="C370" s="17" t="str">
        <f>三案例选用!C13</f>
        <v>SC-017</v>
      </c>
      <c r="D370" s="16" t="s">
        <v>228</v>
      </c>
      <c r="E370" s="17" t="str">
        <f>IF(AND(IF(COUNTIFS(资产清单!$A$6:$A$25,A370)&lt;&gt;1,"",IF(INDEX(资产清单!$H$6:$H$25,MATCH(A370,资产清单!$A$6:$A$25,0))="","",INDEX(资产清单!$H$6:$H$25,MATCH(A370,资产清单!$A$6:$A$25,0))))&lt;&gt;"场地",IF(COUNTIFS(资产清单!$A$6:$A$25,A370)&lt;&gt;1,"",IF(INDEX(资产清单!$H$6:$H$25,MATCH(A370,资产清单!$A$6:$A$25,0))="","",INDEX(资产清单!$H$6:$H$25,MATCH(A370,资产清单!$A$6:$A$25,0))))&lt;&gt;"车位",IF(COUNTIFS(资产清单!$A$6:$A$25,A370)&lt;&gt;1,"",IF(INDEX(资产清单!$H$6:$H$25,MATCH(A370,资产清单!$A$6:$A$25,0))="","",INDEX(资产清单!$H$6:$H$25,MATCH(A370,资产清单!$A$6:$A$25,0))))&lt;&gt;"通信基站"),"适用","不适用采用100/100")</f>
        <v>适用</v>
      </c>
      <c r="F370" s="17" t="str">
        <f>IF(AND(IF(COUNTIFS(资产清单!$A$6:$A$25,A370)&lt;&gt;1,"",IF(INDEX(资产清单!$H$6:$H$25,MATCH(A370,资产清单!$A$6:$A$25,0))="","",INDEX(资产清单!$H$6:$H$25,MATCH(A370,资产清单!$A$6:$A$25,0))))&lt;&gt;"场地",IF(COUNTIFS(资产清单!$A$6:$A$25,A370)&lt;&gt;1,"",IF(INDEX(资产清单!$H$6:$H$25,MATCH(A370,资产清单!$A$6:$A$25,0))="","",INDEX(资产清单!$H$6:$H$25,MATCH(A370,资产清单!$A$6:$A$25,0))))&lt;&gt;"车位",IF(COUNTIFS(资产清单!$A$6:$A$25,A370)&lt;&gt;1,"",IF(INDEX(资产清单!$H$6:$H$25,MATCH(A370,资产清单!$A$6:$A$25,0))="","",INDEX(资产清单!$H$6:$H$25,MATCH(A370,资产清单!$A$6:$A$25,0))))&lt;&gt;"通信基站"),IF(COUNTIFS(资产清单!$A$6:$A$25,A370)&lt;&gt;1,"",IF(INDEX(资产清单!$I$6:$I$25,MATCH(A370,资产清单!$A$6:$A$25,0))="","",INDEX(资产清单!$I$6:$I$25,MATCH(A370,资产清单!$A$6:$A$25,0)))),"不适用")</f>
        <v>工业厂房</v>
      </c>
      <c r="G370" s="17" t="str">
        <f>IF(AND(IF(COUNTIFS(资产清单!$A$6:$A$25,A370)&lt;&gt;1,"",IF(INDEX(资产清单!$H$6:$H$25,MATCH(A370,资产清单!$A$6:$A$25,0))="","",INDEX(资产清单!$H$6:$H$25,MATCH(A370,资产清单!$A$6:$A$25,0))))&lt;&gt;"场地",IF(COUNTIFS(资产清单!$A$6:$A$25,A370)&lt;&gt;1,"",IF(INDEX(资产清单!$H$6:$H$25,MATCH(A370,资产清单!$A$6:$A$25,0))="","",INDEX(资产清单!$H$6:$H$25,MATCH(A370,资产清单!$A$6:$A$25,0))))&lt;&gt;"车位",IF(COUNTIFS(资产清单!$A$6:$A$25,A370)&lt;&gt;1,"",IF(INDEX(资产清单!$H$6:$H$25,MATCH(A370,资产清单!$A$6:$A$25,0))="","",INDEX(资产清单!$H$6:$H$25,MATCH(A370,资产清单!$A$6:$A$25,0))))&lt;&gt;"通信基站"),IF(COUNTIFS(市场案例库!$A$6:$A$35,C370)&lt;&gt;1,"",IF(INDEX(市场案例库!$O$6:$O$35,MATCH(C370,市场案例库!$A$6:$A$35,0))="","",INDEX(市场案例库!$O$6:$O$35,MATCH(C370,市场案例库!$A$6:$A$35,0)))),"不适用")</f>
        <v>工业厂房</v>
      </c>
      <c r="H370" s="19">
        <f>测算参数!$B$6</f>
        <v>100</v>
      </c>
      <c r="I370" s="10">
        <v>102</v>
      </c>
      <c r="J370" s="21">
        <f>IF(OR(C370&lt;&gt;N370,COUNT(H370:I370)&lt;&gt;2,H370&lt;=0,I370&lt;=0),"",IF(AND(IF(COUNTIFS(资产清单!$A$6:$A$25,A370)&lt;&gt;1,"",IF(INDEX(资产清单!$H$6:$H$25,MATCH(A370,资产清单!$A$6:$A$25,0))="","",INDEX(资产清单!$H$6:$H$25,MATCH(A370,资产清单!$A$6:$A$25,0))))&lt;&gt;"场地",IF(COUNTIFS(资产清单!$A$6:$A$25,A370)&lt;&gt;1,"",IF(INDEX(资产清单!$H$6:$H$25,MATCH(A370,资产清单!$A$6:$A$25,0))="","",INDEX(资产清单!$H$6:$H$25,MATCH(A370,资产清单!$A$6:$A$25,0))))&lt;&gt;"车位",IF(COUNTIFS(资产清单!$A$6:$A$25,A370)&lt;&gt;1,"",IF(INDEX(资产清单!$H$6:$H$25,MATCH(A370,资产清单!$A$6:$A$25,0))="","",INDEX(资产清单!$H$6:$H$25,MATCH(A370,资产清单!$A$6:$A$25,0))))&lt;&gt;"通信基站"),H370/I370,H370/H370))</f>
        <v>0.98039215686274506</v>
      </c>
      <c r="K370" s="16" t="s">
        <v>240</v>
      </c>
      <c r="L370" s="16" t="s">
        <v>244</v>
      </c>
      <c r="M370" s="16" t="str">
        <f t="shared" si="45"/>
        <v>模拟评分记录完整</v>
      </c>
      <c r="N370" s="8" t="s">
        <v>169</v>
      </c>
    </row>
    <row r="371" spans="1:14" ht="46.05" customHeight="1">
      <c r="A371" s="16" t="s">
        <v>80</v>
      </c>
      <c r="B371" s="16">
        <v>2</v>
      </c>
      <c r="C371" s="17" t="str">
        <f>三案例选用!C13</f>
        <v>SC-017</v>
      </c>
      <c r="D371" s="16" t="s">
        <v>229</v>
      </c>
      <c r="E371" s="17" t="str">
        <f>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"适用","不适用采用100/100")</f>
        <v>适用</v>
      </c>
      <c r="F371" s="17">
        <f>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IF(COUNTIFS(资产清单!$A$6:$A$25,A371)&lt;&gt;1,"",IF(COUNT(INDEX(资产清单!$N$6:$N$25,MATCH(A371,资产清单!$A$6:$A$25,0)))&lt;&gt;1,"",INDEX(资产清单!$N$6:$N$25,MATCH(A371,资产清单!$A$6:$A$25,0)))),"不适用")</f>
        <v>1</v>
      </c>
      <c r="G371" s="17">
        <f>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IF(COUNTIFS(市场案例库!$A$6:$A$35,C371)&lt;&gt;1,"",IF(COUNT(INDEX(市场案例库!$I$6:$I$35,MATCH(C371,市场案例库!$A$6:$A$35,0)))&lt;&gt;1,"",INDEX(市场案例库!$I$6:$I$35,MATCH(C371,市场案例库!$A$6:$A$35,0)))),"不适用")</f>
        <v>2</v>
      </c>
      <c r="H371" s="19">
        <f>测算参数!$B$6</f>
        <v>100</v>
      </c>
      <c r="I371" s="19">
        <f>IF(OR(COUNTIFS(市场案例库!$A$6:$A$35,C371)&lt;&gt;1,AND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OR(COUNT(IF(COUNTIFS(资产清单!$A$6:$A$25,A371)&lt;&gt;1,"",IF(COUNT(INDEX(资产清单!$N$6:$N$25,MATCH(A371,资产清单!$A$6:$A$25,0)))&lt;&gt;1,"",INDEX(资产清单!$N$6:$N$25,MATCH(A371,资产清单!$A$6:$A$25,0)))),IF(COUNTIFS(市场案例库!$A$6:$A$35,C371)&lt;&gt;1,"",IF(COUNT(INDEX(市场案例库!$I$6:$I$35,MATCH(C371,市场案例库!$A$6:$A$35,0)))&lt;&gt;1,"",INDEX(市场案例库!$I$6:$I$35,MATCH(C371,市场案例库!$A$6:$A$35,0)))))&lt;&gt;2,IF(COUNTIFS(资产清单!$A$6:$A$25,A371)&lt;&gt;1,"",IF(COUNT(INDEX(资产清单!$N$6:$N$25,MATCH(A371,资产清单!$A$6:$A$25,0)))&lt;&gt;1,"",INDEX(资产清单!$N$6:$N$25,MATCH(A371,资产清单!$A$6:$A$25,0))))&lt;1,IF(COUNTIFS(资产清单!$A$6:$A$25,A371)&lt;&gt;1,"",IF(COUNT(INDEX(资产清单!$N$6:$N$25,MATCH(A371,资产清单!$A$6:$A$25,0)))&lt;&gt;1,"",INDEX(资产清单!$N$6:$N$25,MATCH(A371,资产清单!$A$6:$A$25,0))))&gt;4,IF(COUNTIFS(市场案例库!$A$6:$A$35,C371)&lt;&gt;1,"",IF(COUNT(INDEX(市场案例库!$I$6:$I$35,MATCH(C371,市场案例库!$A$6:$A$35,0)))&lt;&gt;1,"",INDEX(市场案例库!$I$6:$I$35,MATCH(C371,市场案例库!$A$6:$A$35,0))))&lt;1,IF(COUNTIFS(市场案例库!$A$6:$A$35,C371)&lt;&gt;1,"",IF(COUNT(INDEX(市场案例库!$I$6:$I$35,MATCH(C371,市场案例库!$A$6:$A$35,0)))&lt;&gt;1,"",INDEX(市场案例库!$I$6:$I$35,MATCH(C371,市场案例库!$A$6:$A$35,0))))&gt;4))),"",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INDEX(测算参数!$B$35:$B$41,MATCH(IF(COUNTIFS(市场案例库!$A$6:$A$35,C371)&lt;&gt;1,"",IF(COUNT(INDEX(市场案例库!$I$6:$I$35,MATCH(C371,市场案例库!$A$6:$A$35,0)))&lt;&gt;1,"",INDEX(市场案例库!$I$6:$I$35,MATCH(C371,市场案例库!$A$6:$A$35,0))))-IF(COUNTIFS(资产清单!$A$6:$A$25,A371)&lt;&gt;1,"",IF(COUNT(INDEX(资产清单!$N$6:$N$25,MATCH(A371,资产清单!$A$6:$A$25,0)))&lt;&gt;1,"",INDEX(资产清单!$N$6:$N$25,MATCH(A371,资产清单!$A$6:$A$25,0)))),测算参数!$A$35:$A$41,0)),测算参数!$B$6))</f>
        <v>102</v>
      </c>
      <c r="J371" s="21">
        <f>IF(OR(C371&lt;&gt;N371,COUNT(H371:I371)&lt;&gt;2,H371&lt;=0,I371&lt;=0),"",IF(AND(IF(COUNTIFS(资产清单!$A$6:$A$25,A371)&lt;&gt;1,"",IF(INDEX(资产清单!$H$6:$H$25,MATCH(A371,资产清单!$A$6:$A$25,0))="","",INDEX(资产清单!$H$6:$H$25,MATCH(A371,资产清单!$A$6:$A$25,0))))&lt;&gt;"场地",IF(COUNTIFS(资产清单!$A$6:$A$25,A371)&lt;&gt;1,"",IF(INDEX(资产清单!$H$6:$H$25,MATCH(A371,资产清单!$A$6:$A$25,0))="","",INDEX(资产清单!$H$6:$H$25,MATCH(A371,资产清单!$A$6:$A$25,0))))&lt;&gt;"车位",IF(COUNTIFS(资产清单!$A$6:$A$25,A371)&lt;&gt;1,"",IF(INDEX(资产清单!$H$6:$H$25,MATCH(A371,资产清单!$A$6:$A$25,0))="","",INDEX(资产清单!$H$6:$H$25,MATCH(A371,资产清单!$A$6:$A$25,0))))&lt;&gt;"通信基站"),H371/I371,H371/H371))</f>
        <v>0.98039215686274506</v>
      </c>
      <c r="K371" s="16" t="s">
        <v>240</v>
      </c>
      <c r="L371" s="16" t="s">
        <v>230</v>
      </c>
      <c r="M371" s="16" t="str">
        <f t="shared" si="45"/>
        <v>模拟评分记录完整</v>
      </c>
      <c r="N371" s="8" t="s">
        <v>169</v>
      </c>
    </row>
    <row r="372" spans="1:14" ht="46.05" customHeight="1">
      <c r="A372" s="16" t="s">
        <v>80</v>
      </c>
      <c r="B372" s="16">
        <v>2</v>
      </c>
      <c r="C372" s="17" t="str">
        <f>三案例选用!C13</f>
        <v>SC-017</v>
      </c>
      <c r="D372" s="16" t="s">
        <v>231</v>
      </c>
      <c r="E372" s="17" t="str">
        <f>IF(AND(IF(COUNTIFS(资产清单!$A$6:$A$25,A372)&lt;&gt;1,"",IF(INDEX(资产清单!$H$6:$H$25,MATCH(A372,资产清单!$A$6:$A$25,0))="","",INDEX(资产清单!$H$6:$H$25,MATCH(A372,资产清单!$A$6:$A$25,0))))&lt;&gt;"场地",IF(COUNTIFS(资产清单!$A$6:$A$25,A372)&lt;&gt;1,"",IF(INDEX(资产清单!$H$6:$H$25,MATCH(A372,资产清单!$A$6:$A$25,0))="","",INDEX(资产清单!$H$6:$H$25,MATCH(A372,资产清单!$A$6:$A$25,0))))&lt;&gt;"车位",IF(COUNTIFS(资产清单!$A$6:$A$25,A372)&lt;&gt;1,"",IF(INDEX(资产清单!$H$6:$H$25,MATCH(A372,资产清单!$A$6:$A$25,0))="","",INDEX(资产清单!$H$6:$H$25,MATCH(A372,资产清单!$A$6:$A$25,0))))&lt;&gt;"通信基站"),"适用","不适用采用100/100")</f>
        <v>适用</v>
      </c>
      <c r="F372" s="17" t="str">
        <f>IF(AND(IF(COUNTIFS(资产清单!$A$6:$A$25,A372)&lt;&gt;1,"",IF(INDEX(资产清单!$H$6:$H$25,MATCH(A372,资产清单!$A$6:$A$25,0))="","",INDEX(资产清单!$H$6:$H$25,MATCH(A372,资产清单!$A$6:$A$25,0))))&lt;&gt;"场地",IF(COUNTIFS(资产清单!$A$6:$A$25,A372)&lt;&gt;1,"",IF(INDEX(资产清单!$H$6:$H$25,MATCH(A372,资产清单!$A$6:$A$25,0))="","",INDEX(资产清单!$H$6:$H$25,MATCH(A372,资产清单!$A$6:$A$25,0))))&lt;&gt;"车位",IF(COUNTIFS(资产清单!$A$6:$A$25,A372)&lt;&gt;1,"",IF(INDEX(资产清单!$H$6:$H$25,MATCH(A372,资产清单!$A$6:$A$25,0))="","",INDEX(资产清单!$H$6:$H$25,MATCH(A372,资产清单!$A$6:$A$25,0))))&lt;&gt;"通信基站"),IF(COUNTIFS(资产清单!$A$6:$A$25,A372)&lt;&gt;1,"",IF(INDEX(资产清单!$I$6:$I$25,MATCH(A372,资产清单!$A$6:$A$25,0))="","",INDEX(资产清单!$I$6:$I$25,MATCH(A372,资产清单!$A$6:$A$25,0)))),"不适用")</f>
        <v>工业厂房</v>
      </c>
      <c r="G372" s="17" t="str">
        <f>IF(AND(IF(COUNTIFS(资产清单!$A$6:$A$25,A372)&lt;&gt;1,"",IF(INDEX(资产清单!$H$6:$H$25,MATCH(A372,资产清单!$A$6:$A$25,0))="","",INDEX(资产清单!$H$6:$H$25,MATCH(A372,资产清单!$A$6:$A$25,0))))&lt;&gt;"场地",IF(COUNTIFS(资产清单!$A$6:$A$25,A372)&lt;&gt;1,"",IF(INDEX(资产清单!$H$6:$H$25,MATCH(A372,资产清单!$A$6:$A$25,0))="","",INDEX(资产清单!$H$6:$H$25,MATCH(A372,资产清单!$A$6:$A$25,0))))&lt;&gt;"车位",IF(COUNTIFS(资产清单!$A$6:$A$25,A372)&lt;&gt;1,"",IF(INDEX(资产清单!$H$6:$H$25,MATCH(A372,资产清单!$A$6:$A$25,0))="","",INDEX(资产清单!$H$6:$H$25,MATCH(A372,资产清单!$A$6:$A$25,0))))&lt;&gt;"通信基站"),IF(COUNTIFS(市场案例库!$A$6:$A$35,C372)&lt;&gt;1,"",IF(INDEX(市场案例库!$O$6:$O$35,MATCH(C372,市场案例库!$A$6:$A$35,0))="","",INDEX(市场案例库!$O$6:$O$35,MATCH(C372,市场案例库!$A$6:$A$35,0)))),"不适用")</f>
        <v>工业厂房</v>
      </c>
      <c r="H372" s="19">
        <f>测算参数!$B$6</f>
        <v>100</v>
      </c>
      <c r="I372" s="10">
        <v>100</v>
      </c>
      <c r="J372" s="21">
        <f>IF(OR(C372&lt;&gt;N372,COUNT(H372:I372)&lt;&gt;2,H372&lt;=0,I372&lt;=0),"",IF(AND(IF(COUNTIFS(资产清单!$A$6:$A$25,A372)&lt;&gt;1,"",IF(INDEX(资产清单!$H$6:$H$25,MATCH(A372,资产清单!$A$6:$A$25,0))="","",INDEX(资产清单!$H$6:$H$25,MATCH(A372,资产清单!$A$6:$A$25,0))))&lt;&gt;"场地",IF(COUNTIFS(资产清单!$A$6:$A$25,A372)&lt;&gt;1,"",IF(INDEX(资产清单!$H$6:$H$25,MATCH(A372,资产清单!$A$6:$A$25,0))="","",INDEX(资产清单!$H$6:$H$25,MATCH(A372,资产清单!$A$6:$A$25,0))))&lt;&gt;"车位",IF(COUNTIFS(资产清单!$A$6:$A$25,A372)&lt;&gt;1,"",IF(INDEX(资产清单!$H$6:$H$25,MATCH(A372,资产清单!$A$6:$A$25,0))="","",INDEX(资产清单!$H$6:$H$25,MATCH(A372,资产清单!$A$6:$A$25,0))))&lt;&gt;"通信基站"),H372/I372,H372/H372))</f>
        <v>1</v>
      </c>
      <c r="K372" s="16" t="s">
        <v>240</v>
      </c>
      <c r="L372" s="16" t="s">
        <v>215</v>
      </c>
      <c r="M372" s="16" t="str">
        <f t="shared" si="45"/>
        <v>模拟评分记录完整</v>
      </c>
      <c r="N372" s="8" t="s">
        <v>169</v>
      </c>
    </row>
    <row r="373" spans="1:14" ht="46.05" customHeight="1">
      <c r="A373" s="16" t="s">
        <v>80</v>
      </c>
      <c r="B373" s="16">
        <v>2</v>
      </c>
      <c r="C373" s="17" t="str">
        <f>三案例选用!C13</f>
        <v>SC-017</v>
      </c>
      <c r="D373" s="16" t="s">
        <v>232</v>
      </c>
      <c r="E373" s="16" t="str">
        <f>IF(TRUE,"适用","不适用采用100/100")</f>
        <v>适用</v>
      </c>
      <c r="F373" s="17" t="str">
        <f>IF(TRUE,IF(COUNTIFS(资产清单!$A$6:$A$25,A373)&lt;&gt;1,"",IF(INDEX(资产清单!$I$6:$I$25,MATCH(A373,资产清单!$A$6:$A$25,0))="","",INDEX(资产清单!$I$6:$I$25,MATCH(A373,资产清单!$A$6:$A$25,0)))),"不适用")</f>
        <v>工业厂房</v>
      </c>
      <c r="G373" s="17" t="str">
        <f>IF(TRUE,IF(COUNTIFS(市场案例库!$A$6:$A$35,C373)&lt;&gt;1,"",IF(INDEX(市场案例库!$O$6:$O$35,MATCH(C373,市场案例库!$A$6:$A$35,0))="","",INDEX(市场案例库!$O$6:$O$35,MATCH(C373,市场案例库!$A$6:$A$35,0)))),"不适用")</f>
        <v>工业厂房</v>
      </c>
      <c r="H373" s="19">
        <f>测算参数!$B$6</f>
        <v>100</v>
      </c>
      <c r="I373" s="10">
        <v>100</v>
      </c>
      <c r="J373" s="20">
        <f>IF(OR(C373&lt;&gt;N373,COUNT(H373:I373)&lt;&gt;2,H373&lt;=0,I373&lt;=0),"",IF(TRUE,H373/I373,H373/H373))</f>
        <v>1</v>
      </c>
      <c r="K373" s="16" t="s">
        <v>240</v>
      </c>
      <c r="L373" s="16" t="s">
        <v>215</v>
      </c>
      <c r="M373" s="16" t="str">
        <f t="shared" si="45"/>
        <v>模拟评分记录完整</v>
      </c>
      <c r="N373" s="8" t="s">
        <v>169</v>
      </c>
    </row>
    <row r="374" spans="1:14" ht="46.05" customHeight="1">
      <c r="A374" s="16" t="s">
        <v>80</v>
      </c>
      <c r="B374" s="16">
        <v>3</v>
      </c>
      <c r="C374" s="17" t="str">
        <f>三案例选用!D13</f>
        <v>SC-018</v>
      </c>
      <c r="D374" s="16" t="s">
        <v>209</v>
      </c>
      <c r="E374" s="16" t="str">
        <f>IF(TRUE,"适用","不适用采用100/100")</f>
        <v>适用</v>
      </c>
      <c r="F374" s="17" t="str">
        <f>IF(TRUE,IF(COUNTIFS(资产清单!$A$6:$A$25,A374)&lt;&gt;1,"",IF(INDEX(资产清单!$I$6:$I$25,MATCH(A374,资产清单!$A$6:$A$25,0))="","",INDEX(资产清单!$I$6:$I$25,MATCH(A374,资产清单!$A$6:$A$25,0)))),"不适用")</f>
        <v>工业厂房</v>
      </c>
      <c r="G374" s="17" t="str">
        <f>IF(TRUE,IF(COUNTIFS(市场案例库!$A$6:$A$35,C374)&lt;&gt;1,"",IF(INDEX(市场案例库!$O$6:$O$35,MATCH(C374,市场案例库!$A$6:$A$35,0))="","",INDEX(市场案例库!$O$6:$O$35,MATCH(C374,市场案例库!$A$6:$A$35,0)))),"不适用")</f>
        <v>工业厂房</v>
      </c>
      <c r="H374" s="19">
        <f>测算参数!$B$6</f>
        <v>100</v>
      </c>
      <c r="I374" s="19">
        <f>IF(OR(COUNTIFS(市场案例库!$A$6:$A$35,C374)&lt;&gt;1),"",IF(COUNTIFS(市场案例库!$A$6:$A$35,C374)&lt;&gt;1,"",IF(COUNT(INDEX(市场案例库!$M$6:$M$35,MATCH(C374,市场案例库!$A$6:$A$35,0)))&lt;&gt;1,"",INDEX(市场案例库!$M$6:$M$35,MATCH(C374,市场案例库!$A$6:$A$35,0)))))</f>
        <v>102</v>
      </c>
      <c r="J374" s="20">
        <f>IF(OR(C374&lt;&gt;N374,COUNT(H374:I374)&lt;&gt;2,H374&lt;=0,I374&lt;=0),"",IF(TRUE,H374/I374,H374/H374))</f>
        <v>0.98039215686274506</v>
      </c>
      <c r="K374" s="16" t="s">
        <v>240</v>
      </c>
      <c r="L374" s="16" t="s">
        <v>211</v>
      </c>
      <c r="M374" s="16" t="str">
        <f t="shared" si="45"/>
        <v>模拟评分记录完整</v>
      </c>
      <c r="N374" s="8" t="s">
        <v>170</v>
      </c>
    </row>
    <row r="375" spans="1:14" ht="46.05" customHeight="1">
      <c r="A375" s="16" t="s">
        <v>80</v>
      </c>
      <c r="B375" s="16">
        <v>3</v>
      </c>
      <c r="C375" s="17" t="str">
        <f>三案例选用!D13</f>
        <v>SC-018</v>
      </c>
      <c r="D375" s="16" t="s">
        <v>212</v>
      </c>
      <c r="E375" s="16" t="str">
        <f>IF(TRUE,"适用","不适用采用100/100")</f>
        <v>适用</v>
      </c>
      <c r="F375" s="17" t="str">
        <f>IF(TRUE,IF(COUNTIFS(资产清单!$A$6:$A$25,A375)&lt;&gt;1,"",IF(INDEX(资产清单!$I$6:$I$25,MATCH(A375,资产清单!$A$6:$A$25,0))="","",INDEX(资产清单!$I$6:$I$25,MATCH(A375,资产清单!$A$6:$A$25,0)))),"不适用")</f>
        <v>工业厂房</v>
      </c>
      <c r="G375" s="17" t="str">
        <f>IF(TRUE,IF(COUNTIFS(市场案例库!$A$6:$A$35,C375)&lt;&gt;1,"",IF(INDEX(市场案例库!$O$6:$O$35,MATCH(C375,市场案例库!$A$6:$A$35,0))="","",INDEX(市场案例库!$O$6:$O$35,MATCH(C375,市场案例库!$A$6:$A$35,0)))),"不适用")</f>
        <v>工业厂房</v>
      </c>
      <c r="H375" s="19">
        <f>测算参数!$B$6</f>
        <v>100</v>
      </c>
      <c r="I375" s="19">
        <f>IF(OR(COUNTIFS(市场案例库!$A$6:$A$35,C375)&lt;&gt;1),"",IF(COUNTIFS(市场案例库!$A$6:$A$35,C375)&lt;&gt;1,"",IF(COUNT(INDEX(市场案例库!$N$6:$N$35,MATCH(C375,市场案例库!$A$6:$A$35,0)))&lt;&gt;1,"",INDEX(市场案例库!$N$6:$N$35,MATCH(C375,市场案例库!$A$6:$A$35,0)))))</f>
        <v>100</v>
      </c>
      <c r="J375" s="20">
        <f>IF(OR(C375&lt;&gt;N375,COUNT(H375:I375)&lt;&gt;2,H375&lt;=0,I375&lt;=0),"",IF(TRUE,H375/I375,H375/H375))</f>
        <v>1</v>
      </c>
      <c r="K375" s="16" t="s">
        <v>240</v>
      </c>
      <c r="L375" s="16" t="s">
        <v>213</v>
      </c>
      <c r="M375" s="16" t="str">
        <f t="shared" si="45"/>
        <v>模拟评分记录完整</v>
      </c>
      <c r="N375" s="8" t="s">
        <v>170</v>
      </c>
    </row>
    <row r="376" spans="1:14" ht="46.05" customHeight="1">
      <c r="A376" s="16" t="s">
        <v>80</v>
      </c>
      <c r="B376" s="16">
        <v>3</v>
      </c>
      <c r="C376" s="17" t="str">
        <f>三案例选用!D13</f>
        <v>SC-018</v>
      </c>
      <c r="D376" s="16" t="s">
        <v>214</v>
      </c>
      <c r="E376" s="16" t="str">
        <f>IF(TRUE,"适用","不适用采用100/100")</f>
        <v>适用</v>
      </c>
      <c r="F376" s="17" t="str">
        <f>IF(TRUE,IF(COUNTIFS(资产清单!$A$6:$A$25,A376)&lt;&gt;1,"",IF(INDEX(资产清单!$I$6:$I$25,MATCH(A376,资产清单!$A$6:$A$25,0))="","",INDEX(资产清单!$I$6:$I$25,MATCH(A376,资产清单!$A$6:$A$25,0)))),"不适用")</f>
        <v>工业厂房</v>
      </c>
      <c r="G376" s="17" t="str">
        <f>IF(TRUE,IF(COUNTIFS(市场案例库!$A$6:$A$35,C376)&lt;&gt;1,"",IF(INDEX(市场案例库!$O$6:$O$35,MATCH(C376,市场案例库!$A$6:$A$35,0))="","",INDEX(市场案例库!$O$6:$O$35,MATCH(C376,市场案例库!$A$6:$A$35,0)))),"不适用")</f>
        <v>工业厂房</v>
      </c>
      <c r="H376" s="19">
        <f>测算参数!$B$6</f>
        <v>100</v>
      </c>
      <c r="I376" s="10">
        <v>103</v>
      </c>
      <c r="J376" s="20">
        <f>IF(OR(C376&lt;&gt;N376,COUNT(H376:I376)&lt;&gt;2,H376&lt;=0,I376&lt;=0),"",IF(TRUE,H376/I376,H376/H376))</f>
        <v>0.970873786407767</v>
      </c>
      <c r="K376" s="16" t="s">
        <v>240</v>
      </c>
      <c r="L376" s="16" t="s">
        <v>241</v>
      </c>
      <c r="M376" s="16" t="str">
        <f t="shared" si="45"/>
        <v>模拟评分记录完整</v>
      </c>
      <c r="N376" s="8" t="s">
        <v>170</v>
      </c>
    </row>
    <row r="377" spans="1:14" ht="46.05" customHeight="1">
      <c r="A377" s="16" t="s">
        <v>80</v>
      </c>
      <c r="B377" s="16">
        <v>3</v>
      </c>
      <c r="C377" s="17" t="str">
        <f>三案例选用!D13</f>
        <v>SC-018</v>
      </c>
      <c r="D377" s="16" t="s">
        <v>216</v>
      </c>
      <c r="E377" s="16" t="str">
        <f>IF(TRUE,"适用","不适用采用100/100")</f>
        <v>适用</v>
      </c>
      <c r="F377" s="17" t="str">
        <f>IF(TRUE,IF(COUNTIFS(资产清单!$A$6:$A$25,A377)&lt;&gt;1,"",IF(INDEX(资产清单!$I$6:$I$25,MATCH(A377,资产清单!$A$6:$A$25,0))="","",INDEX(资产清单!$I$6:$I$25,MATCH(A377,资产清单!$A$6:$A$25,0)))),"不适用")</f>
        <v>工业厂房</v>
      </c>
      <c r="G377" s="17" t="str">
        <f>IF(TRUE,IF(COUNTIFS(市场案例库!$A$6:$A$35,C377)&lt;&gt;1,"",IF(INDEX(市场案例库!$O$6:$O$35,MATCH(C377,市场案例库!$A$6:$A$35,0))="","",INDEX(市场案例库!$O$6:$O$35,MATCH(C377,市场案例库!$A$6:$A$35,0)))),"不适用")</f>
        <v>工业厂房</v>
      </c>
      <c r="H377" s="19">
        <f>测算参数!$B$6</f>
        <v>100</v>
      </c>
      <c r="I377" s="10">
        <v>102</v>
      </c>
      <c r="J377" s="20">
        <f>IF(OR(C377&lt;&gt;N377,COUNT(H377:I377)&lt;&gt;2,H377&lt;=0,I377&lt;=0),"",IF(TRUE,H377/I377,H377/H377))</f>
        <v>0.98039215686274506</v>
      </c>
      <c r="K377" s="16" t="s">
        <v>240</v>
      </c>
      <c r="L377" s="16" t="s">
        <v>242</v>
      </c>
      <c r="M377" s="16" t="str">
        <f t="shared" si="45"/>
        <v>模拟评分记录完整</v>
      </c>
      <c r="N377" s="8" t="s">
        <v>170</v>
      </c>
    </row>
    <row r="378" spans="1:14" ht="46.05" customHeight="1">
      <c r="A378" s="16" t="s">
        <v>80</v>
      </c>
      <c r="B378" s="16">
        <v>3</v>
      </c>
      <c r="C378" s="17" t="str">
        <f>三案例选用!D13</f>
        <v>SC-018</v>
      </c>
      <c r="D378" s="16" t="s">
        <v>217</v>
      </c>
      <c r="E378" s="17" t="str">
        <f>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"适用","不适用采用100/100")</f>
        <v>不适用采用100/100</v>
      </c>
      <c r="F378" s="17" t="str">
        <f>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IF(COUNTIFS(资产清单!$A$6:$A$25,A378)&lt;&gt;1,"",IF(COUNT(INDEX(资产清单!$M$6:$M$25,MATCH(A378,资产清单!$A$6:$A$25,0)))&lt;&gt;1,"",INDEX(资产清单!$M$6:$M$25,MATCH(A378,资产清单!$A$6:$A$25,0)))),"不适用")</f>
        <v>不适用</v>
      </c>
      <c r="G378" s="17" t="str">
        <f>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IF(COUNTIFS(市场案例库!$A$6:$A$35,C378)&lt;&gt;1,"",IF(COUNT(INDEX(市场案例库!$H$6:$H$35,MATCH(C378,市场案例库!$A$6:$A$35,0)))&lt;&gt;1,"",INDEX(市场案例库!$H$6:$H$35,MATCH(C378,市场案例库!$A$6:$A$35,0)))),"不适用")</f>
        <v>不适用</v>
      </c>
      <c r="H378" s="19">
        <f>测算参数!$B$6</f>
        <v>100</v>
      </c>
      <c r="I378" s="19">
        <f>IF(OR(COUNTIFS(市场案例库!$A$6:$A$35,C378)&lt;&gt;1,AND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COUNT(IF(COUNTIFS(资产清单!$A$6:$A$25,A378)&lt;&gt;1,"",IF(COUNT(INDEX(资产清单!$M$6:$M$25,MATCH(A378,资产清单!$A$6:$A$25,0)))&lt;&gt;1,"",INDEX(资产清单!$M$6:$M$25,MATCH(A378,资产清单!$A$6:$A$25,0)))),IF(COUNTIFS(市场案例库!$A$6:$A$35,C378)&lt;&gt;1,"",IF(COUNT(INDEX(市场案例库!$H$6:$H$35,MATCH(C378,市场案例库!$A$6:$A$35,0)))&lt;&gt;1,"",INDEX(市场案例库!$H$6:$H$35,MATCH(C378,市场案例库!$A$6:$A$35,0)))))&lt;&gt;2)),"",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INDEX(测算参数!$B$25:$B$31,MATCH(MAX(-测算参数!$B$11,MIN(测算参数!$B$11,IF(COUNTIFS(资产清单!$A$6:$A$25,A378)&lt;&gt;1,"",IF(COUNT(INDEX(资产清单!$M$6:$M$25,MATCH(A378,资产清单!$A$6:$A$25,0)))&lt;&gt;1,"",INDEX(资产清单!$M$6:$M$25,MATCH(A378,资产清单!$A$6:$A$25,0))))-IF(COUNTIFS(市场案例库!$A$6:$A$35,C378)&lt;&gt;1,"",IF(COUNT(INDEX(市场案例库!$H$6:$H$35,MATCH(C378,市场案例库!$A$6:$A$35,0)))&lt;&gt;1,"",INDEX(市场案例库!$H$6:$H$35,MATCH(C378,市场案例库!$A$6:$A$35,0)))))),测算参数!$A$25:$A$31,0)),测算参数!$B$6))</f>
        <v>100</v>
      </c>
      <c r="J378" s="21">
        <f>IF(OR(C378&lt;&gt;N378,COUNT(H378:I378)&lt;&gt;2,H378&lt;=0,I378&lt;=0),"",IF(OR(IF(COUNTIFS(资产清单!$A$6:$A$25,A378)&lt;&gt;1,"",IF(INDEX(资产清单!$H$6:$H$25,MATCH(A378,资产清单!$A$6:$A$25,0))="","",INDEX(资产清单!$H$6:$H$25,MATCH(A378,资产清单!$A$6:$A$25,0))))="商业",IF(COUNTIFS(资产清单!$A$6:$A$25,A378)&lt;&gt;1,"",IF(INDEX(资产清单!$H$6:$H$25,MATCH(A378,资产清单!$A$6:$A$25,0))="","",INDEX(资产清单!$H$6:$H$25,MATCH(A378,资产清单!$A$6:$A$25,0))))="办公",IF(COUNTIFS(资产清单!$A$6:$A$25,A378)&lt;&gt;1,"",IF(INDEX(资产清单!$H$6:$H$25,MATCH(A378,资产清单!$A$6:$A$25,0))="","",INDEX(资产清单!$H$6:$H$25,MATCH(A378,资产清单!$A$6:$A$25,0))))="住宅"),H378/I378,H378/H378))</f>
        <v>1</v>
      </c>
      <c r="K378" s="16" t="s">
        <v>240</v>
      </c>
      <c r="L378" s="16" t="s">
        <v>218</v>
      </c>
      <c r="M378" s="16" t="str">
        <f t="shared" si="45"/>
        <v>模拟评分记录完整</v>
      </c>
      <c r="N378" s="8" t="s">
        <v>170</v>
      </c>
    </row>
    <row r="379" spans="1:14" ht="46.05" customHeight="1">
      <c r="A379" s="16" t="s">
        <v>80</v>
      </c>
      <c r="B379" s="16">
        <v>3</v>
      </c>
      <c r="C379" s="17" t="str">
        <f>三案例选用!D13</f>
        <v>SC-018</v>
      </c>
      <c r="D379" s="16" t="s">
        <v>219</v>
      </c>
      <c r="E379" s="17" t="str">
        <f>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"适用","不适用采用100/100")</f>
        <v>适用</v>
      </c>
      <c r="F379" s="17">
        <f>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IF(COUNTIFS(资产清单!$A$6:$A$25,A379)&lt;&gt;1,"",IF(COUNT(INDEX(资产清单!$L$6:$L$25,MATCH(A379,资产清单!$A$6:$A$25,0)))&lt;&gt;1,"",INDEX(资产清单!$L$6:$L$25,MATCH(A379,资产清单!$A$6:$A$25,0)))),"不适用")</f>
        <v>1200</v>
      </c>
      <c r="G379" s="17">
        <f>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IF(COUNTIFS(市场案例库!$A$6:$A$35,C379)&lt;&gt;1,"",IF(COUNT(INDEX(市场案例库!$G$6:$G$35,MATCH(C379,市场案例库!$A$6:$A$35,0)))&lt;&gt;1,"",INDEX(市场案例库!$G$6:$G$35,MATCH(C379,市场案例库!$A$6:$A$35,0)))),"不适用")</f>
        <v>1300</v>
      </c>
      <c r="H379" s="19">
        <f>测算参数!$B$6</f>
        <v>100</v>
      </c>
      <c r="I379" s="19">
        <f>IF(OR(COUNTIFS(市场案例库!$A$6:$A$35,C379)&lt;&gt;1,AND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OR(COUNT(IF(COUNTIFS(资产清单!$A$6:$A$25,A379)&lt;&gt;1,"",IF(COUNT(INDEX(资产清单!$L$6:$L$25,MATCH(A379,资产清单!$A$6:$A$25,0)))&lt;&gt;1,"",INDEX(资产清单!$L$6:$L$25,MATCH(A379,资产清单!$A$6:$A$25,0)))),IF(COUNTIFS(市场案例库!$A$6:$A$35,C379)&lt;&gt;1,"",IF(COUNT(INDEX(市场案例库!$G$6:$G$35,MATCH(C379,市场案例库!$A$6:$A$35,0)))&lt;&gt;1,"",INDEX(市场案例库!$G$6:$G$35,MATCH(C379,市场案例库!$A$6:$A$35,0)))))&lt;&gt;2,IF(COUNTIFS(资产清单!$A$6:$A$25,A379)&lt;&gt;1,"",IF(COUNT(INDEX(资产清单!$L$6:$L$25,MATCH(A379,资产清单!$A$6:$A$25,0)))&lt;&gt;1,"",INDEX(资产清单!$L$6:$L$25,MATCH(A379,资产清单!$A$6:$A$25,0))))&lt;=0,IF(COUNTIFS(市场案例库!$A$6:$A$35,C379)&lt;&gt;1,"",IF(COUNT(INDEX(市场案例库!$G$6:$G$35,MATCH(C379,市场案例库!$A$6:$A$35,0)))&lt;&gt;1,"",INDEX(市场案例库!$G$6:$G$35,MATCH(C379,市场案例库!$A$6:$A$35,0))))&lt;=0))),"",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LOOKUP(IF(COUNTIFS(市场案例库!$A$6:$A$35,C379)&lt;&gt;1,"",IF(COUNT(INDEX(市场案例库!$G$6:$G$35,MATCH(C379,市场案例库!$A$6:$A$35,0)))&lt;&gt;1,"",INDEX(市场案例库!$G$6:$G$35,MATCH(C379,市场案例库!$A$6:$A$35,0))))/IF(COUNTIFS(资产清单!$A$6:$A$25,A379)&lt;&gt;1,"",IF(COUNT(INDEX(资产清单!$L$6:$L$25,MATCH(A379,资产清单!$A$6:$A$25,0)))&lt;&gt;1,"",INDEX(资产清单!$L$6:$L$25,MATCH(A379,资产清单!$A$6:$A$25,0)))),测算参数!$A$15:$A$21,测算参数!$C$15:$C$21),测算参数!$B$6))</f>
        <v>100</v>
      </c>
      <c r="J379" s="21">
        <f>IF(OR(C379&lt;&gt;N379,COUNT(H379:I379)&lt;&gt;2,H379&lt;=0,I379&lt;=0),"",IF(AND(IF(COUNTIFS(资产清单!$A$6:$A$25,A379)&lt;&gt;1,"",IF(INDEX(资产清单!$J$6:$J$25,MATCH(A379,资产清单!$A$6:$A$25,0))="","",INDEX(资产清单!$J$6:$J$25,MATCH(A379,资产清单!$A$6:$A$25,0))))="元/㎡/月",IF(COUNTIFS(资产清单!$A$6:$A$25,A379)&lt;&gt;1,"",IF(INDEX(资产清单!$H$6:$H$25,MATCH(A379,资产清单!$A$6:$A$25,0))="","",INDEX(资产清单!$H$6:$H$25,MATCH(A379,资产清单!$A$6:$A$25,0))))&lt;&gt;"场地"),H379/I379,H379/H379))</f>
        <v>1</v>
      </c>
      <c r="K379" s="16" t="s">
        <v>240</v>
      </c>
      <c r="L379" s="16" t="s">
        <v>220</v>
      </c>
      <c r="M379" s="16" t="str">
        <f t="shared" si="45"/>
        <v>模拟评分记录完整</v>
      </c>
      <c r="N379" s="8" t="s">
        <v>170</v>
      </c>
    </row>
    <row r="380" spans="1:14" ht="46.05" customHeight="1">
      <c r="A380" s="16" t="s">
        <v>80</v>
      </c>
      <c r="B380" s="16">
        <v>3</v>
      </c>
      <c r="C380" s="17" t="str">
        <f>三案例选用!D13</f>
        <v>SC-018</v>
      </c>
      <c r="D380" s="16" t="s">
        <v>221</v>
      </c>
      <c r="E380" s="16" t="str">
        <f t="shared" ref="E380:E385" si="52">IF(TRUE,"适用","不适用采用100/100")</f>
        <v>适用</v>
      </c>
      <c r="F380" s="17" t="str">
        <f>IF(TRUE,IF(COUNTIFS(资产清单!$A$6:$A$25,A380)&lt;&gt;1,"",IF(INDEX(资产清单!$I$6:$I$25,MATCH(A380,资产清单!$A$6:$A$25,0))="","",INDEX(资产清单!$I$6:$I$25,MATCH(A380,资产清单!$A$6:$A$25,0)))),"不适用")</f>
        <v>工业厂房</v>
      </c>
      <c r="G380" s="17" t="str">
        <f>IF(TRUE,IF(COUNTIFS(市场案例库!$A$6:$A$35,C380)&lt;&gt;1,"",IF(INDEX(市场案例库!$O$6:$O$35,MATCH(C380,市场案例库!$A$6:$A$35,0))="","",INDEX(市场案例库!$O$6:$O$35,MATCH(C380,市场案例库!$A$6:$A$35,0)))),"不适用")</f>
        <v>工业厂房</v>
      </c>
      <c r="H380" s="19">
        <f>测算参数!$B$6</f>
        <v>100</v>
      </c>
      <c r="I380" s="10">
        <v>100</v>
      </c>
      <c r="J380" s="20">
        <f t="shared" ref="J380:J385" si="53">IF(OR(C380&lt;&gt;N380,COUNT(H380:I380)&lt;&gt;2,H380&lt;=0,I380&lt;=0),"",IF(TRUE,H380/I380,H380/H380))</f>
        <v>1</v>
      </c>
      <c r="K380" s="16" t="s">
        <v>240</v>
      </c>
      <c r="L380" s="16" t="s">
        <v>215</v>
      </c>
      <c r="M380" s="16" t="str">
        <f t="shared" si="45"/>
        <v>模拟评分记录完整</v>
      </c>
      <c r="N380" s="8" t="s">
        <v>170</v>
      </c>
    </row>
    <row r="381" spans="1:14" ht="46.05" customHeight="1">
      <c r="A381" s="16" t="s">
        <v>80</v>
      </c>
      <c r="B381" s="16">
        <v>3</v>
      </c>
      <c r="C381" s="17" t="str">
        <f>三案例选用!D13</f>
        <v>SC-018</v>
      </c>
      <c r="D381" s="16" t="s">
        <v>222</v>
      </c>
      <c r="E381" s="16" t="str">
        <f t="shared" si="52"/>
        <v>适用</v>
      </c>
      <c r="F381" s="17" t="str">
        <f>IF(TRUE,IF(COUNTIFS(资产清单!$A$6:$A$25,A381)&lt;&gt;1,"",IF(INDEX(资产清单!$I$6:$I$25,MATCH(A381,资产清单!$A$6:$A$25,0))="","",INDEX(资产清单!$I$6:$I$25,MATCH(A381,资产清单!$A$6:$A$25,0)))),"不适用")</f>
        <v>工业厂房</v>
      </c>
      <c r="G381" s="17" t="str">
        <f>IF(TRUE,IF(COUNTIFS(市场案例库!$A$6:$A$35,C381)&lt;&gt;1,"",IF(INDEX(市场案例库!$O$6:$O$35,MATCH(C381,市场案例库!$A$6:$A$35,0))="","",INDEX(市场案例库!$O$6:$O$35,MATCH(C381,市场案例库!$A$6:$A$35,0)))),"不适用")</f>
        <v>工业厂房</v>
      </c>
      <c r="H381" s="19">
        <f>测算参数!$B$6</f>
        <v>100</v>
      </c>
      <c r="I381" s="10">
        <v>100</v>
      </c>
      <c r="J381" s="20">
        <f t="shared" si="53"/>
        <v>1</v>
      </c>
      <c r="K381" s="16" t="s">
        <v>240</v>
      </c>
      <c r="L381" s="16" t="s">
        <v>215</v>
      </c>
      <c r="M381" s="16" t="str">
        <f t="shared" si="45"/>
        <v>模拟评分记录完整</v>
      </c>
      <c r="N381" s="8" t="s">
        <v>170</v>
      </c>
    </row>
    <row r="382" spans="1:14" ht="46.05" customHeight="1">
      <c r="A382" s="16" t="s">
        <v>80</v>
      </c>
      <c r="B382" s="16">
        <v>3</v>
      </c>
      <c r="C382" s="17" t="str">
        <f>三案例选用!D13</f>
        <v>SC-018</v>
      </c>
      <c r="D382" s="16" t="s">
        <v>224</v>
      </c>
      <c r="E382" s="16" t="str">
        <f t="shared" si="52"/>
        <v>适用</v>
      </c>
      <c r="F382" s="17" t="str">
        <f>IF(TRUE,IF(COUNTIFS(资产清单!$A$6:$A$25,A382)&lt;&gt;1,"",IF(INDEX(资产清单!$I$6:$I$25,MATCH(A382,资产清单!$A$6:$A$25,0))="","",INDEX(资产清单!$I$6:$I$25,MATCH(A382,资产清单!$A$6:$A$25,0)))),"不适用")</f>
        <v>工业厂房</v>
      </c>
      <c r="G382" s="17" t="str">
        <f>IF(TRUE,IF(COUNTIFS(市场案例库!$A$6:$A$35,C382)&lt;&gt;1,"",IF(INDEX(市场案例库!$O$6:$O$35,MATCH(C382,市场案例库!$A$6:$A$35,0))="","",INDEX(市场案例库!$O$6:$O$35,MATCH(C382,市场案例库!$A$6:$A$35,0)))),"不适用")</f>
        <v>工业厂房</v>
      </c>
      <c r="H382" s="19">
        <f>测算参数!$B$6</f>
        <v>100</v>
      </c>
      <c r="I382" s="10">
        <v>100</v>
      </c>
      <c r="J382" s="20">
        <f t="shared" si="53"/>
        <v>1</v>
      </c>
      <c r="K382" s="16" t="s">
        <v>240</v>
      </c>
      <c r="L382" s="16" t="s">
        <v>215</v>
      </c>
      <c r="M382" s="16" t="str">
        <f t="shared" si="45"/>
        <v>模拟评分记录完整</v>
      </c>
      <c r="N382" s="8" t="s">
        <v>170</v>
      </c>
    </row>
    <row r="383" spans="1:14" ht="46.05" customHeight="1">
      <c r="A383" s="16" t="s">
        <v>80</v>
      </c>
      <c r="B383" s="16">
        <v>3</v>
      </c>
      <c r="C383" s="17" t="str">
        <f>三案例选用!D13</f>
        <v>SC-018</v>
      </c>
      <c r="D383" s="16" t="s">
        <v>225</v>
      </c>
      <c r="E383" s="16" t="str">
        <f t="shared" si="52"/>
        <v>适用</v>
      </c>
      <c r="F383" s="17" t="str">
        <f>IF(TRUE,IF(COUNTIFS(资产清单!$A$6:$A$25,A383)&lt;&gt;1,"",IF(INDEX(资产清单!$I$6:$I$25,MATCH(A383,资产清单!$A$6:$A$25,0))="","",INDEX(资产清单!$I$6:$I$25,MATCH(A383,资产清单!$A$6:$A$25,0)))),"不适用")</f>
        <v>工业厂房</v>
      </c>
      <c r="G383" s="17" t="str">
        <f>IF(TRUE,IF(COUNTIFS(市场案例库!$A$6:$A$35,C383)&lt;&gt;1,"",IF(INDEX(市场案例库!$O$6:$O$35,MATCH(C383,市场案例库!$A$6:$A$35,0))="","",INDEX(市场案例库!$O$6:$O$35,MATCH(C383,市场案例库!$A$6:$A$35,0)))),"不适用")</f>
        <v>工业厂房</v>
      </c>
      <c r="H383" s="19">
        <f>测算参数!$B$6</f>
        <v>100</v>
      </c>
      <c r="I383" s="10">
        <v>100</v>
      </c>
      <c r="J383" s="20">
        <f t="shared" si="53"/>
        <v>1</v>
      </c>
      <c r="K383" s="16" t="s">
        <v>240</v>
      </c>
      <c r="L383" s="16" t="s">
        <v>215</v>
      </c>
      <c r="M383" s="16" t="str">
        <f t="shared" si="45"/>
        <v>模拟评分记录完整</v>
      </c>
      <c r="N383" s="8" t="s">
        <v>170</v>
      </c>
    </row>
    <row r="384" spans="1:14" ht="46.05" customHeight="1">
      <c r="A384" s="16" t="s">
        <v>80</v>
      </c>
      <c r="B384" s="16">
        <v>3</v>
      </c>
      <c r="C384" s="17" t="str">
        <f>三案例选用!D13</f>
        <v>SC-018</v>
      </c>
      <c r="D384" s="16" t="s">
        <v>226</v>
      </c>
      <c r="E384" s="16" t="str">
        <f t="shared" si="52"/>
        <v>适用</v>
      </c>
      <c r="F384" s="17" t="str">
        <f>IF(TRUE,IF(COUNTIFS(资产清单!$A$6:$A$25,A384)&lt;&gt;1,"",IF(INDEX(资产清单!$I$6:$I$25,MATCH(A384,资产清单!$A$6:$A$25,0))="","",INDEX(资产清单!$I$6:$I$25,MATCH(A384,资产清单!$A$6:$A$25,0)))),"不适用")</f>
        <v>工业厂房</v>
      </c>
      <c r="G384" s="17" t="str">
        <f>IF(TRUE,IF(COUNTIFS(市场案例库!$A$6:$A$35,C384)&lt;&gt;1,"",IF(INDEX(市场案例库!$O$6:$O$35,MATCH(C384,市场案例库!$A$6:$A$35,0))="","",INDEX(市场案例库!$O$6:$O$35,MATCH(C384,市场案例库!$A$6:$A$35,0)))),"不适用")</f>
        <v>工业厂房</v>
      </c>
      <c r="H384" s="19">
        <f>测算参数!$B$6</f>
        <v>100</v>
      </c>
      <c r="I384" s="10">
        <v>102</v>
      </c>
      <c r="J384" s="20">
        <f t="shared" si="53"/>
        <v>0.98039215686274506</v>
      </c>
      <c r="K384" s="16" t="s">
        <v>240</v>
      </c>
      <c r="L384" s="16" t="s">
        <v>243</v>
      </c>
      <c r="M384" s="16" t="str">
        <f t="shared" si="45"/>
        <v>模拟评分记录完整</v>
      </c>
      <c r="N384" s="8" t="s">
        <v>170</v>
      </c>
    </row>
    <row r="385" spans="1:14" ht="46.05" customHeight="1">
      <c r="A385" s="16" t="s">
        <v>80</v>
      </c>
      <c r="B385" s="16">
        <v>3</v>
      </c>
      <c r="C385" s="17" t="str">
        <f>三案例选用!D13</f>
        <v>SC-018</v>
      </c>
      <c r="D385" s="16" t="s">
        <v>227</v>
      </c>
      <c r="E385" s="16" t="str">
        <f t="shared" si="52"/>
        <v>适用</v>
      </c>
      <c r="F385" s="17" t="str">
        <f>IF(TRUE,IF(COUNTIFS(资产清单!$A$6:$A$25,A385)&lt;&gt;1,"",IF(INDEX(资产清单!$I$6:$I$25,MATCH(A385,资产清单!$A$6:$A$25,0))="","",INDEX(资产清单!$I$6:$I$25,MATCH(A385,资产清单!$A$6:$A$25,0)))),"不适用")</f>
        <v>工业厂房</v>
      </c>
      <c r="G385" s="17" t="str">
        <f>IF(TRUE,IF(COUNTIFS(市场案例库!$A$6:$A$35,C385)&lt;&gt;1,"",IF(INDEX(市场案例库!$O$6:$O$35,MATCH(C385,市场案例库!$A$6:$A$35,0))="","",INDEX(市场案例库!$O$6:$O$35,MATCH(C385,市场案例库!$A$6:$A$35,0)))),"不适用")</f>
        <v>工业厂房</v>
      </c>
      <c r="H385" s="19">
        <f>测算参数!$B$6</f>
        <v>100</v>
      </c>
      <c r="I385" s="10">
        <v>100</v>
      </c>
      <c r="J385" s="20">
        <f t="shared" si="53"/>
        <v>1</v>
      </c>
      <c r="K385" s="16" t="s">
        <v>240</v>
      </c>
      <c r="L385" s="16" t="s">
        <v>215</v>
      </c>
      <c r="M385" s="16" t="str">
        <f t="shared" si="45"/>
        <v>模拟评分记录完整</v>
      </c>
      <c r="N385" s="8" t="s">
        <v>170</v>
      </c>
    </row>
    <row r="386" spans="1:14" ht="46.05" customHeight="1">
      <c r="A386" s="16" t="s">
        <v>80</v>
      </c>
      <c r="B386" s="16">
        <v>3</v>
      </c>
      <c r="C386" s="17" t="str">
        <f>三案例选用!D13</f>
        <v>SC-018</v>
      </c>
      <c r="D386" s="16" t="s">
        <v>228</v>
      </c>
      <c r="E386" s="17" t="str">
        <f>IF(AND(IF(COUNTIFS(资产清单!$A$6:$A$25,A386)&lt;&gt;1,"",IF(INDEX(资产清单!$H$6:$H$25,MATCH(A386,资产清单!$A$6:$A$25,0))="","",INDEX(资产清单!$H$6:$H$25,MATCH(A386,资产清单!$A$6:$A$25,0))))&lt;&gt;"场地",IF(COUNTIFS(资产清单!$A$6:$A$25,A386)&lt;&gt;1,"",IF(INDEX(资产清单!$H$6:$H$25,MATCH(A386,资产清单!$A$6:$A$25,0))="","",INDEX(资产清单!$H$6:$H$25,MATCH(A386,资产清单!$A$6:$A$25,0))))&lt;&gt;"车位",IF(COUNTIFS(资产清单!$A$6:$A$25,A386)&lt;&gt;1,"",IF(INDEX(资产清单!$H$6:$H$25,MATCH(A386,资产清单!$A$6:$A$25,0))="","",INDEX(资产清单!$H$6:$H$25,MATCH(A386,资产清单!$A$6:$A$25,0))))&lt;&gt;"通信基站"),"适用","不适用采用100/100")</f>
        <v>适用</v>
      </c>
      <c r="F386" s="17" t="str">
        <f>IF(AND(IF(COUNTIFS(资产清单!$A$6:$A$25,A386)&lt;&gt;1,"",IF(INDEX(资产清单!$H$6:$H$25,MATCH(A386,资产清单!$A$6:$A$25,0))="","",INDEX(资产清单!$H$6:$H$25,MATCH(A386,资产清单!$A$6:$A$25,0))))&lt;&gt;"场地",IF(COUNTIFS(资产清单!$A$6:$A$25,A386)&lt;&gt;1,"",IF(INDEX(资产清单!$H$6:$H$25,MATCH(A386,资产清单!$A$6:$A$25,0))="","",INDEX(资产清单!$H$6:$H$25,MATCH(A386,资产清单!$A$6:$A$25,0))))&lt;&gt;"车位",IF(COUNTIFS(资产清单!$A$6:$A$25,A386)&lt;&gt;1,"",IF(INDEX(资产清单!$H$6:$H$25,MATCH(A386,资产清单!$A$6:$A$25,0))="","",INDEX(资产清单!$H$6:$H$25,MATCH(A386,资产清单!$A$6:$A$25,0))))&lt;&gt;"通信基站"),IF(COUNTIFS(资产清单!$A$6:$A$25,A386)&lt;&gt;1,"",IF(INDEX(资产清单!$I$6:$I$25,MATCH(A386,资产清单!$A$6:$A$25,0))="","",INDEX(资产清单!$I$6:$I$25,MATCH(A386,资产清单!$A$6:$A$25,0)))),"不适用")</f>
        <v>工业厂房</v>
      </c>
      <c r="G386" s="17" t="str">
        <f>IF(AND(IF(COUNTIFS(资产清单!$A$6:$A$25,A386)&lt;&gt;1,"",IF(INDEX(资产清单!$H$6:$H$25,MATCH(A386,资产清单!$A$6:$A$25,0))="","",INDEX(资产清单!$H$6:$H$25,MATCH(A386,资产清单!$A$6:$A$25,0))))&lt;&gt;"场地",IF(COUNTIFS(资产清单!$A$6:$A$25,A386)&lt;&gt;1,"",IF(INDEX(资产清单!$H$6:$H$25,MATCH(A386,资产清单!$A$6:$A$25,0))="","",INDEX(资产清单!$H$6:$H$25,MATCH(A386,资产清单!$A$6:$A$25,0))))&lt;&gt;"车位",IF(COUNTIFS(资产清单!$A$6:$A$25,A386)&lt;&gt;1,"",IF(INDEX(资产清单!$H$6:$H$25,MATCH(A386,资产清单!$A$6:$A$25,0))="","",INDEX(资产清单!$H$6:$H$25,MATCH(A386,资产清单!$A$6:$A$25,0))))&lt;&gt;"通信基站"),IF(COUNTIFS(市场案例库!$A$6:$A$35,C386)&lt;&gt;1,"",IF(INDEX(市场案例库!$O$6:$O$35,MATCH(C386,市场案例库!$A$6:$A$35,0))="","",INDEX(市场案例库!$O$6:$O$35,MATCH(C386,市场案例库!$A$6:$A$35,0)))),"不适用")</f>
        <v>工业厂房</v>
      </c>
      <c r="H386" s="19">
        <f>测算参数!$B$6</f>
        <v>100</v>
      </c>
      <c r="I386" s="10">
        <v>102</v>
      </c>
      <c r="J386" s="21">
        <f>IF(OR(C386&lt;&gt;N386,COUNT(H386:I386)&lt;&gt;2,H386&lt;=0,I386&lt;=0),"",IF(AND(IF(COUNTIFS(资产清单!$A$6:$A$25,A386)&lt;&gt;1,"",IF(INDEX(资产清单!$H$6:$H$25,MATCH(A386,资产清单!$A$6:$A$25,0))="","",INDEX(资产清单!$H$6:$H$25,MATCH(A386,资产清单!$A$6:$A$25,0))))&lt;&gt;"场地",IF(COUNTIFS(资产清单!$A$6:$A$25,A386)&lt;&gt;1,"",IF(INDEX(资产清单!$H$6:$H$25,MATCH(A386,资产清单!$A$6:$A$25,0))="","",INDEX(资产清单!$H$6:$H$25,MATCH(A386,资产清单!$A$6:$A$25,0))))&lt;&gt;"车位",IF(COUNTIFS(资产清单!$A$6:$A$25,A386)&lt;&gt;1,"",IF(INDEX(资产清单!$H$6:$H$25,MATCH(A386,资产清单!$A$6:$A$25,0))="","",INDEX(资产清单!$H$6:$H$25,MATCH(A386,资产清单!$A$6:$A$25,0))))&lt;&gt;"通信基站"),H386/I386,H386/H386))</f>
        <v>0.98039215686274506</v>
      </c>
      <c r="K386" s="16" t="s">
        <v>240</v>
      </c>
      <c r="L386" s="16" t="s">
        <v>244</v>
      </c>
      <c r="M386" s="16" t="str">
        <f t="shared" si="45"/>
        <v>模拟评分记录完整</v>
      </c>
      <c r="N386" s="8" t="s">
        <v>170</v>
      </c>
    </row>
    <row r="387" spans="1:14" ht="46.05" customHeight="1">
      <c r="A387" s="16" t="s">
        <v>80</v>
      </c>
      <c r="B387" s="16">
        <v>3</v>
      </c>
      <c r="C387" s="17" t="str">
        <f>三案例选用!D13</f>
        <v>SC-018</v>
      </c>
      <c r="D387" s="16" t="s">
        <v>229</v>
      </c>
      <c r="E387" s="17" t="str">
        <f>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"适用","不适用采用100/100")</f>
        <v>适用</v>
      </c>
      <c r="F387" s="17">
        <f>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IF(COUNTIFS(资产清单!$A$6:$A$25,A387)&lt;&gt;1,"",IF(COUNT(INDEX(资产清单!$N$6:$N$25,MATCH(A387,资产清单!$A$6:$A$25,0)))&lt;&gt;1,"",INDEX(资产清单!$N$6:$N$25,MATCH(A387,资产清单!$A$6:$A$25,0)))),"不适用")</f>
        <v>1</v>
      </c>
      <c r="G387" s="17">
        <f>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IF(COUNTIFS(市场案例库!$A$6:$A$35,C387)&lt;&gt;1,"",IF(COUNT(INDEX(市场案例库!$I$6:$I$35,MATCH(C387,市场案例库!$A$6:$A$35,0)))&lt;&gt;1,"",INDEX(市场案例库!$I$6:$I$35,MATCH(C387,市场案例库!$A$6:$A$35,0)))),"不适用")</f>
        <v>1</v>
      </c>
      <c r="H387" s="19">
        <f>测算参数!$B$6</f>
        <v>100</v>
      </c>
      <c r="I387" s="19">
        <f>IF(OR(COUNTIFS(市场案例库!$A$6:$A$35,C387)&lt;&gt;1,AND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OR(COUNT(IF(COUNTIFS(资产清单!$A$6:$A$25,A387)&lt;&gt;1,"",IF(COUNT(INDEX(资产清单!$N$6:$N$25,MATCH(A387,资产清单!$A$6:$A$25,0)))&lt;&gt;1,"",INDEX(资产清单!$N$6:$N$25,MATCH(A387,资产清单!$A$6:$A$25,0)))),IF(COUNTIFS(市场案例库!$A$6:$A$35,C387)&lt;&gt;1,"",IF(COUNT(INDEX(市场案例库!$I$6:$I$35,MATCH(C387,市场案例库!$A$6:$A$35,0)))&lt;&gt;1,"",INDEX(市场案例库!$I$6:$I$35,MATCH(C387,市场案例库!$A$6:$A$35,0)))))&lt;&gt;2,IF(COUNTIFS(资产清单!$A$6:$A$25,A387)&lt;&gt;1,"",IF(COUNT(INDEX(资产清单!$N$6:$N$25,MATCH(A387,资产清单!$A$6:$A$25,0)))&lt;&gt;1,"",INDEX(资产清单!$N$6:$N$25,MATCH(A387,资产清单!$A$6:$A$25,0))))&lt;1,IF(COUNTIFS(资产清单!$A$6:$A$25,A387)&lt;&gt;1,"",IF(COUNT(INDEX(资产清单!$N$6:$N$25,MATCH(A387,资产清单!$A$6:$A$25,0)))&lt;&gt;1,"",INDEX(资产清单!$N$6:$N$25,MATCH(A387,资产清单!$A$6:$A$25,0))))&gt;4,IF(COUNTIFS(市场案例库!$A$6:$A$35,C387)&lt;&gt;1,"",IF(COUNT(INDEX(市场案例库!$I$6:$I$35,MATCH(C387,市场案例库!$A$6:$A$35,0)))&lt;&gt;1,"",INDEX(市场案例库!$I$6:$I$35,MATCH(C387,市场案例库!$A$6:$A$35,0))))&lt;1,IF(COUNTIFS(市场案例库!$A$6:$A$35,C387)&lt;&gt;1,"",IF(COUNT(INDEX(市场案例库!$I$6:$I$35,MATCH(C387,市场案例库!$A$6:$A$35,0)))&lt;&gt;1,"",INDEX(市场案例库!$I$6:$I$35,MATCH(C387,市场案例库!$A$6:$A$35,0))))&gt;4))),"",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INDEX(测算参数!$B$35:$B$41,MATCH(IF(COUNTIFS(市场案例库!$A$6:$A$35,C387)&lt;&gt;1,"",IF(COUNT(INDEX(市场案例库!$I$6:$I$35,MATCH(C387,市场案例库!$A$6:$A$35,0)))&lt;&gt;1,"",INDEX(市场案例库!$I$6:$I$35,MATCH(C387,市场案例库!$A$6:$A$35,0))))-IF(COUNTIFS(资产清单!$A$6:$A$25,A387)&lt;&gt;1,"",IF(COUNT(INDEX(资产清单!$N$6:$N$25,MATCH(A387,资产清单!$A$6:$A$25,0)))&lt;&gt;1,"",INDEX(资产清单!$N$6:$N$25,MATCH(A387,资产清单!$A$6:$A$25,0)))),测算参数!$A$35:$A$41,0)),测算参数!$B$6))</f>
        <v>100</v>
      </c>
      <c r="J387" s="21">
        <f>IF(OR(C387&lt;&gt;N387,COUNT(H387:I387)&lt;&gt;2,H387&lt;=0,I387&lt;=0),"",IF(AND(IF(COUNTIFS(资产清单!$A$6:$A$25,A387)&lt;&gt;1,"",IF(INDEX(资产清单!$H$6:$H$25,MATCH(A387,资产清单!$A$6:$A$25,0))="","",INDEX(资产清单!$H$6:$H$25,MATCH(A387,资产清单!$A$6:$A$25,0))))&lt;&gt;"场地",IF(COUNTIFS(资产清单!$A$6:$A$25,A387)&lt;&gt;1,"",IF(INDEX(资产清单!$H$6:$H$25,MATCH(A387,资产清单!$A$6:$A$25,0))="","",INDEX(资产清单!$H$6:$H$25,MATCH(A387,资产清单!$A$6:$A$25,0))))&lt;&gt;"车位",IF(COUNTIFS(资产清单!$A$6:$A$25,A387)&lt;&gt;1,"",IF(INDEX(资产清单!$H$6:$H$25,MATCH(A387,资产清单!$A$6:$A$25,0))="","",INDEX(资产清单!$H$6:$H$25,MATCH(A387,资产清单!$A$6:$A$25,0))))&lt;&gt;"通信基站"),H387/I387,H387/H387))</f>
        <v>1</v>
      </c>
      <c r="K387" s="16" t="s">
        <v>240</v>
      </c>
      <c r="L387" s="16" t="s">
        <v>230</v>
      </c>
      <c r="M387" s="16" t="str">
        <f t="shared" si="45"/>
        <v>模拟评分记录完整</v>
      </c>
      <c r="N387" s="8" t="s">
        <v>170</v>
      </c>
    </row>
    <row r="388" spans="1:14" ht="46.05" customHeight="1">
      <c r="A388" s="16" t="s">
        <v>80</v>
      </c>
      <c r="B388" s="16">
        <v>3</v>
      </c>
      <c r="C388" s="17" t="str">
        <f>三案例选用!D13</f>
        <v>SC-018</v>
      </c>
      <c r="D388" s="16" t="s">
        <v>231</v>
      </c>
      <c r="E388" s="17" t="str">
        <f>IF(AND(IF(COUNTIFS(资产清单!$A$6:$A$25,A388)&lt;&gt;1,"",IF(INDEX(资产清单!$H$6:$H$25,MATCH(A388,资产清单!$A$6:$A$25,0))="","",INDEX(资产清单!$H$6:$H$25,MATCH(A388,资产清单!$A$6:$A$25,0))))&lt;&gt;"场地",IF(COUNTIFS(资产清单!$A$6:$A$25,A388)&lt;&gt;1,"",IF(INDEX(资产清单!$H$6:$H$25,MATCH(A388,资产清单!$A$6:$A$25,0))="","",INDEX(资产清单!$H$6:$H$25,MATCH(A388,资产清单!$A$6:$A$25,0))))&lt;&gt;"车位",IF(COUNTIFS(资产清单!$A$6:$A$25,A388)&lt;&gt;1,"",IF(INDEX(资产清单!$H$6:$H$25,MATCH(A388,资产清单!$A$6:$A$25,0))="","",INDEX(资产清单!$H$6:$H$25,MATCH(A388,资产清单!$A$6:$A$25,0))))&lt;&gt;"通信基站"),"适用","不适用采用100/100")</f>
        <v>适用</v>
      </c>
      <c r="F388" s="17" t="str">
        <f>IF(AND(IF(COUNTIFS(资产清单!$A$6:$A$25,A388)&lt;&gt;1,"",IF(INDEX(资产清单!$H$6:$H$25,MATCH(A388,资产清单!$A$6:$A$25,0))="","",INDEX(资产清单!$H$6:$H$25,MATCH(A388,资产清单!$A$6:$A$25,0))))&lt;&gt;"场地",IF(COUNTIFS(资产清单!$A$6:$A$25,A388)&lt;&gt;1,"",IF(INDEX(资产清单!$H$6:$H$25,MATCH(A388,资产清单!$A$6:$A$25,0))="","",INDEX(资产清单!$H$6:$H$25,MATCH(A388,资产清单!$A$6:$A$25,0))))&lt;&gt;"车位",IF(COUNTIFS(资产清单!$A$6:$A$25,A388)&lt;&gt;1,"",IF(INDEX(资产清单!$H$6:$H$25,MATCH(A388,资产清单!$A$6:$A$25,0))="","",INDEX(资产清单!$H$6:$H$25,MATCH(A388,资产清单!$A$6:$A$25,0))))&lt;&gt;"通信基站"),IF(COUNTIFS(资产清单!$A$6:$A$25,A388)&lt;&gt;1,"",IF(INDEX(资产清单!$I$6:$I$25,MATCH(A388,资产清单!$A$6:$A$25,0))="","",INDEX(资产清单!$I$6:$I$25,MATCH(A388,资产清单!$A$6:$A$25,0)))),"不适用")</f>
        <v>工业厂房</v>
      </c>
      <c r="G388" s="17" t="str">
        <f>IF(AND(IF(COUNTIFS(资产清单!$A$6:$A$25,A388)&lt;&gt;1,"",IF(INDEX(资产清单!$H$6:$H$25,MATCH(A388,资产清单!$A$6:$A$25,0))="","",INDEX(资产清单!$H$6:$H$25,MATCH(A388,资产清单!$A$6:$A$25,0))))&lt;&gt;"场地",IF(COUNTIFS(资产清单!$A$6:$A$25,A388)&lt;&gt;1,"",IF(INDEX(资产清单!$H$6:$H$25,MATCH(A388,资产清单!$A$6:$A$25,0))="","",INDEX(资产清单!$H$6:$H$25,MATCH(A388,资产清单!$A$6:$A$25,0))))&lt;&gt;"车位",IF(COUNTIFS(资产清单!$A$6:$A$25,A388)&lt;&gt;1,"",IF(INDEX(资产清单!$H$6:$H$25,MATCH(A388,资产清单!$A$6:$A$25,0))="","",INDEX(资产清单!$H$6:$H$25,MATCH(A388,资产清单!$A$6:$A$25,0))))&lt;&gt;"通信基站"),IF(COUNTIFS(市场案例库!$A$6:$A$35,C388)&lt;&gt;1,"",IF(INDEX(市场案例库!$O$6:$O$35,MATCH(C388,市场案例库!$A$6:$A$35,0))="","",INDEX(市场案例库!$O$6:$O$35,MATCH(C388,市场案例库!$A$6:$A$35,0)))),"不适用")</f>
        <v>工业厂房</v>
      </c>
      <c r="H388" s="19">
        <f>测算参数!$B$6</f>
        <v>100</v>
      </c>
      <c r="I388" s="10">
        <v>100</v>
      </c>
      <c r="J388" s="21">
        <f>IF(OR(C388&lt;&gt;N388,COUNT(H388:I388)&lt;&gt;2,H388&lt;=0,I388&lt;=0),"",IF(AND(IF(COUNTIFS(资产清单!$A$6:$A$25,A388)&lt;&gt;1,"",IF(INDEX(资产清单!$H$6:$H$25,MATCH(A388,资产清单!$A$6:$A$25,0))="","",INDEX(资产清单!$H$6:$H$25,MATCH(A388,资产清单!$A$6:$A$25,0))))&lt;&gt;"场地",IF(COUNTIFS(资产清单!$A$6:$A$25,A388)&lt;&gt;1,"",IF(INDEX(资产清单!$H$6:$H$25,MATCH(A388,资产清单!$A$6:$A$25,0))="","",INDEX(资产清单!$H$6:$H$25,MATCH(A388,资产清单!$A$6:$A$25,0))))&lt;&gt;"车位",IF(COUNTIFS(资产清单!$A$6:$A$25,A388)&lt;&gt;1,"",IF(INDEX(资产清单!$H$6:$H$25,MATCH(A388,资产清单!$A$6:$A$25,0))="","",INDEX(资产清单!$H$6:$H$25,MATCH(A388,资产清单!$A$6:$A$25,0))))&lt;&gt;"通信基站"),H388/I388,H388/H388))</f>
        <v>1</v>
      </c>
      <c r="K388" s="16" t="s">
        <v>240</v>
      </c>
      <c r="L388" s="16" t="s">
        <v>215</v>
      </c>
      <c r="M388" s="16" t="str">
        <f t="shared" si="45"/>
        <v>模拟评分记录完整</v>
      </c>
      <c r="N388" s="8" t="s">
        <v>170</v>
      </c>
    </row>
    <row r="389" spans="1:14" ht="46.05" customHeight="1">
      <c r="A389" s="16" t="s">
        <v>80</v>
      </c>
      <c r="B389" s="16">
        <v>3</v>
      </c>
      <c r="C389" s="17" t="str">
        <f>三案例选用!D13</f>
        <v>SC-018</v>
      </c>
      <c r="D389" s="16" t="s">
        <v>232</v>
      </c>
      <c r="E389" s="16" t="str">
        <f>IF(TRUE,"适用","不适用采用100/100")</f>
        <v>适用</v>
      </c>
      <c r="F389" s="17" t="str">
        <f>IF(TRUE,IF(COUNTIFS(资产清单!$A$6:$A$25,A389)&lt;&gt;1,"",IF(INDEX(资产清单!$I$6:$I$25,MATCH(A389,资产清单!$A$6:$A$25,0))="","",INDEX(资产清单!$I$6:$I$25,MATCH(A389,资产清单!$A$6:$A$25,0)))),"不适用")</f>
        <v>工业厂房</v>
      </c>
      <c r="G389" s="17" t="str">
        <f>IF(TRUE,IF(COUNTIFS(市场案例库!$A$6:$A$35,C389)&lt;&gt;1,"",IF(INDEX(市场案例库!$O$6:$O$35,MATCH(C389,市场案例库!$A$6:$A$35,0))="","",INDEX(市场案例库!$O$6:$O$35,MATCH(C389,市场案例库!$A$6:$A$35,0)))),"不适用")</f>
        <v>工业厂房</v>
      </c>
      <c r="H389" s="19">
        <f>测算参数!$B$6</f>
        <v>100</v>
      </c>
      <c r="I389" s="10">
        <v>100</v>
      </c>
      <c r="J389" s="20">
        <f>IF(OR(C389&lt;&gt;N389,COUNT(H389:I389)&lt;&gt;2,H389&lt;=0,I389&lt;=0),"",IF(TRUE,H389/I389,H389/H389))</f>
        <v>1</v>
      </c>
      <c r="K389" s="16" t="s">
        <v>240</v>
      </c>
      <c r="L389" s="16" t="s">
        <v>215</v>
      </c>
      <c r="M389" s="16" t="str">
        <f t="shared" si="45"/>
        <v>模拟评分记录完整</v>
      </c>
      <c r="N389" s="8" t="s">
        <v>170</v>
      </c>
    </row>
    <row r="390" spans="1:14" ht="46.05" customHeight="1">
      <c r="A390" s="16" t="s">
        <v>81</v>
      </c>
      <c r="B390" s="16">
        <v>1</v>
      </c>
      <c r="C390" s="17" t="str">
        <f>三案例选用!B14</f>
        <v>SC-019</v>
      </c>
      <c r="D390" s="16" t="s">
        <v>209</v>
      </c>
      <c r="E390" s="16" t="str">
        <f>IF(TRUE,"适用","不适用采用100/100")</f>
        <v>适用</v>
      </c>
      <c r="F390" s="17" t="str">
        <f>IF(TRUE,IF(COUNTIFS(资产清单!$A$6:$A$25,A390)&lt;&gt;1,"",IF(INDEX(资产清单!$I$6:$I$25,MATCH(A390,资产清单!$A$6:$A$25,0))="","",INDEX(资产清单!$I$6:$I$25,MATCH(A390,资产清单!$A$6:$A$25,0)))),"不适用")</f>
        <v>露天场地</v>
      </c>
      <c r="G390" s="17" t="str">
        <f>IF(TRUE,IF(COUNTIFS(市场案例库!$A$6:$A$35,C390)&lt;&gt;1,"",IF(INDEX(市场案例库!$O$6:$O$35,MATCH(C390,市场案例库!$A$6:$A$35,0))="","",INDEX(市场案例库!$O$6:$O$35,MATCH(C390,市场案例库!$A$6:$A$35,0)))),"不适用")</f>
        <v>露天场地</v>
      </c>
      <c r="H390" s="19">
        <f>测算参数!$B$6</f>
        <v>100</v>
      </c>
      <c r="I390" s="19">
        <f>IF(OR(COUNTIFS(市场案例库!$A$6:$A$35,C390)&lt;&gt;1),"",IF(COUNTIFS(市场案例库!$A$6:$A$35,C390)&lt;&gt;1,"",IF(COUNT(INDEX(市场案例库!$M$6:$M$35,MATCH(C390,市场案例库!$A$6:$A$35,0)))&lt;&gt;1,"",INDEX(市场案例库!$M$6:$M$35,MATCH(C390,市场案例库!$A$6:$A$35,0)))))</f>
        <v>102</v>
      </c>
      <c r="J390" s="20">
        <f>IF(OR(C390&lt;&gt;N390,COUNT(H390:I390)&lt;&gt;2,H390&lt;=0,I390&lt;=0),"",IF(TRUE,H390/I390,H390/H390))</f>
        <v>0.98039215686274506</v>
      </c>
      <c r="K390" s="16" t="s">
        <v>245</v>
      </c>
      <c r="L390" s="16" t="s">
        <v>211</v>
      </c>
      <c r="M390" s="16" t="str">
        <f t="shared" ref="M390:M453" si="54">IF(C390&lt;&gt;N390,"待重判评分",IF(COUNT(J390)&lt;&gt;1,"待补评分",IF(OR(K390="",L390=""),"待补依据","模拟评分记录完整")))</f>
        <v>模拟评分记录完整</v>
      </c>
      <c r="N390" s="8" t="s">
        <v>171</v>
      </c>
    </row>
    <row r="391" spans="1:14" ht="46.05" customHeight="1">
      <c r="A391" s="16" t="s">
        <v>81</v>
      </c>
      <c r="B391" s="16">
        <v>1</v>
      </c>
      <c r="C391" s="17" t="str">
        <f>三案例选用!B14</f>
        <v>SC-019</v>
      </c>
      <c r="D391" s="16" t="s">
        <v>212</v>
      </c>
      <c r="E391" s="16" t="str">
        <f>IF(TRUE,"适用","不适用采用100/100")</f>
        <v>适用</v>
      </c>
      <c r="F391" s="17" t="str">
        <f>IF(TRUE,IF(COUNTIFS(资产清单!$A$6:$A$25,A391)&lt;&gt;1,"",IF(INDEX(资产清单!$I$6:$I$25,MATCH(A391,资产清单!$A$6:$A$25,0))="","",INDEX(资产清单!$I$6:$I$25,MATCH(A391,资产清单!$A$6:$A$25,0)))),"不适用")</f>
        <v>露天场地</v>
      </c>
      <c r="G391" s="17" t="str">
        <f>IF(TRUE,IF(COUNTIFS(市场案例库!$A$6:$A$35,C391)&lt;&gt;1,"",IF(INDEX(市场案例库!$O$6:$O$35,MATCH(C391,市场案例库!$A$6:$A$35,0))="","",INDEX(市场案例库!$O$6:$O$35,MATCH(C391,市场案例库!$A$6:$A$35,0)))),"不适用")</f>
        <v>露天场地</v>
      </c>
      <c r="H391" s="19">
        <f>测算参数!$B$6</f>
        <v>100</v>
      </c>
      <c r="I391" s="19">
        <f>IF(OR(COUNTIFS(市场案例库!$A$6:$A$35,C391)&lt;&gt;1),"",IF(COUNTIFS(市场案例库!$A$6:$A$35,C391)&lt;&gt;1,"",IF(COUNT(INDEX(市场案例库!$N$6:$N$35,MATCH(C391,市场案例库!$A$6:$A$35,0)))&lt;&gt;1,"",INDEX(市场案例库!$N$6:$N$35,MATCH(C391,市场案例库!$A$6:$A$35,0)))))</f>
        <v>100</v>
      </c>
      <c r="J391" s="20">
        <f>IF(OR(C391&lt;&gt;N391,COUNT(H391:I391)&lt;&gt;2,H391&lt;=0,I391&lt;=0),"",IF(TRUE,H391/I391,H391/H391))</f>
        <v>1</v>
      </c>
      <c r="K391" s="16" t="s">
        <v>245</v>
      </c>
      <c r="L391" s="16" t="s">
        <v>213</v>
      </c>
      <c r="M391" s="16" t="str">
        <f t="shared" si="54"/>
        <v>模拟评分记录完整</v>
      </c>
      <c r="N391" s="8" t="s">
        <v>171</v>
      </c>
    </row>
    <row r="392" spans="1:14" ht="46.05" customHeight="1">
      <c r="A392" s="16" t="s">
        <v>81</v>
      </c>
      <c r="B392" s="16">
        <v>1</v>
      </c>
      <c r="C392" s="17" t="str">
        <f>三案例选用!B14</f>
        <v>SC-019</v>
      </c>
      <c r="D392" s="16" t="s">
        <v>214</v>
      </c>
      <c r="E392" s="16" t="str">
        <f>IF(TRUE,"适用","不适用采用100/100")</f>
        <v>适用</v>
      </c>
      <c r="F392" s="17" t="str">
        <f>IF(TRUE,IF(COUNTIFS(资产清单!$A$6:$A$25,A392)&lt;&gt;1,"",IF(INDEX(资产清单!$I$6:$I$25,MATCH(A392,资产清单!$A$6:$A$25,0))="","",INDEX(资产清单!$I$6:$I$25,MATCH(A392,资产清单!$A$6:$A$25,0)))),"不适用")</f>
        <v>露天场地</v>
      </c>
      <c r="G392" s="17" t="str">
        <f>IF(TRUE,IF(COUNTIFS(市场案例库!$A$6:$A$35,C392)&lt;&gt;1,"",IF(INDEX(市场案例库!$O$6:$O$35,MATCH(C392,市场案例库!$A$6:$A$35,0))="","",INDEX(市场案例库!$O$6:$O$35,MATCH(C392,市场案例库!$A$6:$A$35,0)))),"不适用")</f>
        <v>露天场地</v>
      </c>
      <c r="H392" s="19">
        <f>测算参数!$B$6</f>
        <v>100</v>
      </c>
      <c r="I392" s="10">
        <v>100</v>
      </c>
      <c r="J392" s="20">
        <f>IF(OR(C392&lt;&gt;N392,COUNT(H392:I392)&lt;&gt;2,H392&lt;=0,I392&lt;=0),"",IF(TRUE,H392/I392,H392/H392))</f>
        <v>1</v>
      </c>
      <c r="K392" s="16" t="s">
        <v>245</v>
      </c>
      <c r="L392" s="16" t="s">
        <v>215</v>
      </c>
      <c r="M392" s="16" t="str">
        <f t="shared" si="54"/>
        <v>模拟评分记录完整</v>
      </c>
      <c r="N392" s="8" t="s">
        <v>171</v>
      </c>
    </row>
    <row r="393" spans="1:14" ht="46.05" customHeight="1">
      <c r="A393" s="16" t="s">
        <v>81</v>
      </c>
      <c r="B393" s="16">
        <v>1</v>
      </c>
      <c r="C393" s="17" t="str">
        <f>三案例选用!B14</f>
        <v>SC-019</v>
      </c>
      <c r="D393" s="16" t="s">
        <v>216</v>
      </c>
      <c r="E393" s="16" t="str">
        <f>IF(TRUE,"适用","不适用采用100/100")</f>
        <v>适用</v>
      </c>
      <c r="F393" s="17" t="str">
        <f>IF(TRUE,IF(COUNTIFS(资产清单!$A$6:$A$25,A393)&lt;&gt;1,"",IF(INDEX(资产清单!$I$6:$I$25,MATCH(A393,资产清单!$A$6:$A$25,0))="","",INDEX(资产清单!$I$6:$I$25,MATCH(A393,资产清单!$A$6:$A$25,0)))),"不适用")</f>
        <v>露天场地</v>
      </c>
      <c r="G393" s="17" t="str">
        <f>IF(TRUE,IF(COUNTIFS(市场案例库!$A$6:$A$35,C393)&lt;&gt;1,"",IF(INDEX(市场案例库!$O$6:$O$35,MATCH(C393,市场案例库!$A$6:$A$35,0))="","",INDEX(市场案例库!$O$6:$O$35,MATCH(C393,市场案例库!$A$6:$A$35,0)))),"不适用")</f>
        <v>露天场地</v>
      </c>
      <c r="H393" s="19">
        <f>测算参数!$B$6</f>
        <v>100</v>
      </c>
      <c r="I393" s="10">
        <v>100</v>
      </c>
      <c r="J393" s="20">
        <f>IF(OR(C393&lt;&gt;N393,COUNT(H393:I393)&lt;&gt;2,H393&lt;=0,I393&lt;=0),"",IF(TRUE,H393/I393,H393/H393))</f>
        <v>1</v>
      </c>
      <c r="K393" s="16" t="s">
        <v>245</v>
      </c>
      <c r="L393" s="16" t="s">
        <v>215</v>
      </c>
      <c r="M393" s="16" t="str">
        <f t="shared" si="54"/>
        <v>模拟评分记录完整</v>
      </c>
      <c r="N393" s="8" t="s">
        <v>171</v>
      </c>
    </row>
    <row r="394" spans="1:14" ht="46.05" customHeight="1">
      <c r="A394" s="16" t="s">
        <v>81</v>
      </c>
      <c r="B394" s="16">
        <v>1</v>
      </c>
      <c r="C394" s="17" t="str">
        <f>三案例选用!B14</f>
        <v>SC-019</v>
      </c>
      <c r="D394" s="16" t="s">
        <v>217</v>
      </c>
      <c r="E394" s="17" t="str">
        <f>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"适用","不适用采用100/100")</f>
        <v>不适用采用100/100</v>
      </c>
      <c r="F394" s="17" t="str">
        <f>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IF(COUNTIFS(资产清单!$A$6:$A$25,A394)&lt;&gt;1,"",IF(COUNT(INDEX(资产清单!$M$6:$M$25,MATCH(A394,资产清单!$A$6:$A$25,0)))&lt;&gt;1,"",INDEX(资产清单!$M$6:$M$25,MATCH(A394,资产清单!$A$6:$A$25,0)))),"不适用")</f>
        <v>不适用</v>
      </c>
      <c r="G394" s="17" t="str">
        <f>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IF(COUNTIFS(市场案例库!$A$6:$A$35,C394)&lt;&gt;1,"",IF(COUNT(INDEX(市场案例库!$H$6:$H$35,MATCH(C394,市场案例库!$A$6:$A$35,0)))&lt;&gt;1,"",INDEX(市场案例库!$H$6:$H$35,MATCH(C394,市场案例库!$A$6:$A$35,0)))),"不适用")</f>
        <v>不适用</v>
      </c>
      <c r="H394" s="19">
        <f>测算参数!$B$6</f>
        <v>100</v>
      </c>
      <c r="I394" s="19">
        <f>IF(OR(COUNTIFS(市场案例库!$A$6:$A$35,C394)&lt;&gt;1,AND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COUNT(IF(COUNTIFS(资产清单!$A$6:$A$25,A394)&lt;&gt;1,"",IF(COUNT(INDEX(资产清单!$M$6:$M$25,MATCH(A394,资产清单!$A$6:$A$25,0)))&lt;&gt;1,"",INDEX(资产清单!$M$6:$M$25,MATCH(A394,资产清单!$A$6:$A$25,0)))),IF(COUNTIFS(市场案例库!$A$6:$A$35,C394)&lt;&gt;1,"",IF(COUNT(INDEX(市场案例库!$H$6:$H$35,MATCH(C394,市场案例库!$A$6:$A$35,0)))&lt;&gt;1,"",INDEX(市场案例库!$H$6:$H$35,MATCH(C394,市场案例库!$A$6:$A$35,0)))))&lt;&gt;2)),"",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INDEX(测算参数!$B$25:$B$31,MATCH(MAX(-测算参数!$B$11,MIN(测算参数!$B$11,IF(COUNTIFS(资产清单!$A$6:$A$25,A394)&lt;&gt;1,"",IF(COUNT(INDEX(资产清单!$M$6:$M$25,MATCH(A394,资产清单!$A$6:$A$25,0)))&lt;&gt;1,"",INDEX(资产清单!$M$6:$M$25,MATCH(A394,资产清单!$A$6:$A$25,0))))-IF(COUNTIFS(市场案例库!$A$6:$A$35,C394)&lt;&gt;1,"",IF(COUNT(INDEX(市场案例库!$H$6:$H$35,MATCH(C394,市场案例库!$A$6:$A$35,0)))&lt;&gt;1,"",INDEX(市场案例库!$H$6:$H$35,MATCH(C394,市场案例库!$A$6:$A$35,0)))))),测算参数!$A$25:$A$31,0)),测算参数!$B$6))</f>
        <v>100</v>
      </c>
      <c r="J394" s="21">
        <f>IF(OR(C394&lt;&gt;N394,COUNT(H394:I394)&lt;&gt;2,H394&lt;=0,I394&lt;=0),"",IF(OR(IF(COUNTIFS(资产清单!$A$6:$A$25,A394)&lt;&gt;1,"",IF(INDEX(资产清单!$H$6:$H$25,MATCH(A394,资产清单!$A$6:$A$25,0))="","",INDEX(资产清单!$H$6:$H$25,MATCH(A394,资产清单!$A$6:$A$25,0))))="商业",IF(COUNTIFS(资产清单!$A$6:$A$25,A394)&lt;&gt;1,"",IF(INDEX(资产清单!$H$6:$H$25,MATCH(A394,资产清单!$A$6:$A$25,0))="","",INDEX(资产清单!$H$6:$H$25,MATCH(A394,资产清单!$A$6:$A$25,0))))="办公",IF(COUNTIFS(资产清单!$A$6:$A$25,A394)&lt;&gt;1,"",IF(INDEX(资产清单!$H$6:$H$25,MATCH(A394,资产清单!$A$6:$A$25,0))="","",INDEX(资产清单!$H$6:$H$25,MATCH(A394,资产清单!$A$6:$A$25,0))))="住宅"),H394/I394,H394/H394))</f>
        <v>1</v>
      </c>
      <c r="K394" s="16" t="s">
        <v>245</v>
      </c>
      <c r="L394" s="16" t="s">
        <v>218</v>
      </c>
      <c r="M394" s="16" t="str">
        <f t="shared" si="54"/>
        <v>模拟评分记录完整</v>
      </c>
      <c r="N394" s="8" t="s">
        <v>171</v>
      </c>
    </row>
    <row r="395" spans="1:14" ht="46.05" customHeight="1">
      <c r="A395" s="16" t="s">
        <v>81</v>
      </c>
      <c r="B395" s="16">
        <v>1</v>
      </c>
      <c r="C395" s="17" t="str">
        <f>三案例选用!B14</f>
        <v>SC-019</v>
      </c>
      <c r="D395" s="16" t="s">
        <v>219</v>
      </c>
      <c r="E395" s="17" t="str">
        <f>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"适用","不适用采用100/100")</f>
        <v>不适用采用100/100</v>
      </c>
      <c r="F395" s="17" t="str">
        <f>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IF(COUNTIFS(资产清单!$A$6:$A$25,A395)&lt;&gt;1,"",IF(COUNT(INDEX(资产清单!$L$6:$L$25,MATCH(A395,资产清单!$A$6:$A$25,0)))&lt;&gt;1,"",INDEX(资产清单!$L$6:$L$25,MATCH(A395,资产清单!$A$6:$A$25,0)))),"不适用")</f>
        <v>不适用</v>
      </c>
      <c r="G395" s="17" t="str">
        <f>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IF(COUNTIFS(市场案例库!$A$6:$A$35,C395)&lt;&gt;1,"",IF(COUNT(INDEX(市场案例库!$G$6:$G$35,MATCH(C395,市场案例库!$A$6:$A$35,0)))&lt;&gt;1,"",INDEX(市场案例库!$G$6:$G$35,MATCH(C395,市场案例库!$A$6:$A$35,0)))),"不适用")</f>
        <v>不适用</v>
      </c>
      <c r="H395" s="19">
        <f>测算参数!$B$6</f>
        <v>100</v>
      </c>
      <c r="I395" s="19">
        <f>IF(OR(COUNTIFS(市场案例库!$A$6:$A$35,C395)&lt;&gt;1,AND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OR(COUNT(IF(COUNTIFS(资产清单!$A$6:$A$25,A395)&lt;&gt;1,"",IF(COUNT(INDEX(资产清单!$L$6:$L$25,MATCH(A395,资产清单!$A$6:$A$25,0)))&lt;&gt;1,"",INDEX(资产清单!$L$6:$L$25,MATCH(A395,资产清单!$A$6:$A$25,0)))),IF(COUNTIFS(市场案例库!$A$6:$A$35,C395)&lt;&gt;1,"",IF(COUNT(INDEX(市场案例库!$G$6:$G$35,MATCH(C395,市场案例库!$A$6:$A$35,0)))&lt;&gt;1,"",INDEX(市场案例库!$G$6:$G$35,MATCH(C395,市场案例库!$A$6:$A$35,0)))))&lt;&gt;2,IF(COUNTIFS(资产清单!$A$6:$A$25,A395)&lt;&gt;1,"",IF(COUNT(INDEX(资产清单!$L$6:$L$25,MATCH(A395,资产清单!$A$6:$A$25,0)))&lt;&gt;1,"",INDEX(资产清单!$L$6:$L$25,MATCH(A395,资产清单!$A$6:$A$25,0))))&lt;=0,IF(COUNTIFS(市场案例库!$A$6:$A$35,C395)&lt;&gt;1,"",IF(COUNT(INDEX(市场案例库!$G$6:$G$35,MATCH(C395,市场案例库!$A$6:$A$35,0)))&lt;&gt;1,"",INDEX(市场案例库!$G$6:$G$35,MATCH(C395,市场案例库!$A$6:$A$35,0))))&lt;=0))),"",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LOOKUP(IF(COUNTIFS(市场案例库!$A$6:$A$35,C395)&lt;&gt;1,"",IF(COUNT(INDEX(市场案例库!$G$6:$G$35,MATCH(C395,市场案例库!$A$6:$A$35,0)))&lt;&gt;1,"",INDEX(市场案例库!$G$6:$G$35,MATCH(C395,市场案例库!$A$6:$A$35,0))))/IF(COUNTIFS(资产清单!$A$6:$A$25,A395)&lt;&gt;1,"",IF(COUNT(INDEX(资产清单!$L$6:$L$25,MATCH(A395,资产清单!$A$6:$A$25,0)))&lt;&gt;1,"",INDEX(资产清单!$L$6:$L$25,MATCH(A395,资产清单!$A$6:$A$25,0)))),测算参数!$A$15:$A$21,测算参数!$C$15:$C$21),测算参数!$B$6))</f>
        <v>100</v>
      </c>
      <c r="J395" s="21">
        <f>IF(OR(C395&lt;&gt;N395,COUNT(H395:I395)&lt;&gt;2,H395&lt;=0,I395&lt;=0),"",IF(AND(IF(COUNTIFS(资产清单!$A$6:$A$25,A395)&lt;&gt;1,"",IF(INDEX(资产清单!$J$6:$J$25,MATCH(A395,资产清单!$A$6:$A$25,0))="","",INDEX(资产清单!$J$6:$J$25,MATCH(A395,资产清单!$A$6:$A$25,0))))="元/㎡/月",IF(COUNTIFS(资产清单!$A$6:$A$25,A395)&lt;&gt;1,"",IF(INDEX(资产清单!$H$6:$H$25,MATCH(A395,资产清单!$A$6:$A$25,0))="","",INDEX(资产清单!$H$6:$H$25,MATCH(A395,资产清单!$A$6:$A$25,0))))&lt;&gt;"场地"),H395/I395,H395/H395))</f>
        <v>1</v>
      </c>
      <c r="K395" s="16" t="s">
        <v>245</v>
      </c>
      <c r="L395" s="16" t="s">
        <v>220</v>
      </c>
      <c r="M395" s="16" t="str">
        <f t="shared" si="54"/>
        <v>模拟评分记录完整</v>
      </c>
      <c r="N395" s="8" t="s">
        <v>171</v>
      </c>
    </row>
    <row r="396" spans="1:14" ht="46.05" customHeight="1">
      <c r="A396" s="16" t="s">
        <v>81</v>
      </c>
      <c r="B396" s="16">
        <v>1</v>
      </c>
      <c r="C396" s="17" t="str">
        <f>三案例选用!B14</f>
        <v>SC-019</v>
      </c>
      <c r="D396" s="16" t="s">
        <v>221</v>
      </c>
      <c r="E396" s="16" t="str">
        <f t="shared" ref="E396:E401" si="55">IF(TRUE,"适用","不适用采用100/100")</f>
        <v>适用</v>
      </c>
      <c r="F396" s="17" t="str">
        <f>IF(TRUE,IF(COUNTIFS(资产清单!$A$6:$A$25,A396)&lt;&gt;1,"",IF(INDEX(资产清单!$I$6:$I$25,MATCH(A396,资产清单!$A$6:$A$25,0))="","",INDEX(资产清单!$I$6:$I$25,MATCH(A396,资产清单!$A$6:$A$25,0)))),"不适用")</f>
        <v>露天场地</v>
      </c>
      <c r="G396" s="17" t="str">
        <f>IF(TRUE,IF(COUNTIFS(市场案例库!$A$6:$A$35,C396)&lt;&gt;1,"",IF(INDEX(市场案例库!$O$6:$O$35,MATCH(C396,市场案例库!$A$6:$A$35,0))="","",INDEX(市场案例库!$O$6:$O$35,MATCH(C396,市场案例库!$A$6:$A$35,0)))),"不适用")</f>
        <v>露天场地</v>
      </c>
      <c r="H396" s="19">
        <f>测算参数!$B$6</f>
        <v>100</v>
      </c>
      <c r="I396" s="10">
        <v>100</v>
      </c>
      <c r="J396" s="20">
        <f t="shared" ref="J396:J401" si="56">IF(OR(C396&lt;&gt;N396,COUNT(H396:I396)&lt;&gt;2,H396&lt;=0,I396&lt;=0),"",IF(TRUE,H396/I396,H396/H396))</f>
        <v>1</v>
      </c>
      <c r="K396" s="16" t="s">
        <v>245</v>
      </c>
      <c r="L396" s="16" t="s">
        <v>215</v>
      </c>
      <c r="M396" s="16" t="str">
        <f t="shared" si="54"/>
        <v>模拟评分记录完整</v>
      </c>
      <c r="N396" s="8" t="s">
        <v>171</v>
      </c>
    </row>
    <row r="397" spans="1:14" ht="46.05" customHeight="1">
      <c r="A397" s="16" t="s">
        <v>81</v>
      </c>
      <c r="B397" s="16">
        <v>1</v>
      </c>
      <c r="C397" s="17" t="str">
        <f>三案例选用!B14</f>
        <v>SC-019</v>
      </c>
      <c r="D397" s="16" t="s">
        <v>222</v>
      </c>
      <c r="E397" s="16" t="str">
        <f t="shared" si="55"/>
        <v>适用</v>
      </c>
      <c r="F397" s="17" t="str">
        <f>IF(TRUE,IF(COUNTIFS(资产清单!$A$6:$A$25,A397)&lt;&gt;1,"",IF(INDEX(资产清单!$I$6:$I$25,MATCH(A397,资产清单!$A$6:$A$25,0))="","",INDEX(资产清单!$I$6:$I$25,MATCH(A397,资产清单!$A$6:$A$25,0)))),"不适用")</f>
        <v>露天场地</v>
      </c>
      <c r="G397" s="17" t="str">
        <f>IF(TRUE,IF(COUNTIFS(市场案例库!$A$6:$A$35,C397)&lt;&gt;1,"",IF(INDEX(市场案例库!$O$6:$O$35,MATCH(C397,市场案例库!$A$6:$A$35,0))="","",INDEX(市场案例库!$O$6:$O$35,MATCH(C397,市场案例库!$A$6:$A$35,0)))),"不适用")</f>
        <v>露天场地</v>
      </c>
      <c r="H397" s="19">
        <f>测算参数!$B$6</f>
        <v>100</v>
      </c>
      <c r="I397" s="10">
        <v>100</v>
      </c>
      <c r="J397" s="20">
        <f t="shared" si="56"/>
        <v>1</v>
      </c>
      <c r="K397" s="16" t="s">
        <v>245</v>
      </c>
      <c r="L397" s="16" t="s">
        <v>215</v>
      </c>
      <c r="M397" s="16" t="str">
        <f t="shared" si="54"/>
        <v>模拟评分记录完整</v>
      </c>
      <c r="N397" s="8" t="s">
        <v>171</v>
      </c>
    </row>
    <row r="398" spans="1:14" ht="46.05" customHeight="1">
      <c r="A398" s="16" t="s">
        <v>81</v>
      </c>
      <c r="B398" s="16">
        <v>1</v>
      </c>
      <c r="C398" s="17" t="str">
        <f>三案例选用!B14</f>
        <v>SC-019</v>
      </c>
      <c r="D398" s="16" t="s">
        <v>224</v>
      </c>
      <c r="E398" s="16" t="str">
        <f t="shared" si="55"/>
        <v>适用</v>
      </c>
      <c r="F398" s="17" t="str">
        <f>IF(TRUE,IF(COUNTIFS(资产清单!$A$6:$A$25,A398)&lt;&gt;1,"",IF(INDEX(资产清单!$I$6:$I$25,MATCH(A398,资产清单!$A$6:$A$25,0))="","",INDEX(资产清单!$I$6:$I$25,MATCH(A398,资产清单!$A$6:$A$25,0)))),"不适用")</f>
        <v>露天场地</v>
      </c>
      <c r="G398" s="17" t="str">
        <f>IF(TRUE,IF(COUNTIFS(市场案例库!$A$6:$A$35,C398)&lt;&gt;1,"",IF(INDEX(市场案例库!$O$6:$O$35,MATCH(C398,市场案例库!$A$6:$A$35,0))="","",INDEX(市场案例库!$O$6:$O$35,MATCH(C398,市场案例库!$A$6:$A$35,0)))),"不适用")</f>
        <v>露天场地</v>
      </c>
      <c r="H398" s="19">
        <f>测算参数!$B$6</f>
        <v>100</v>
      </c>
      <c r="I398" s="10">
        <v>100</v>
      </c>
      <c r="J398" s="20">
        <f t="shared" si="56"/>
        <v>1</v>
      </c>
      <c r="K398" s="16" t="s">
        <v>245</v>
      </c>
      <c r="L398" s="16" t="s">
        <v>215</v>
      </c>
      <c r="M398" s="16" t="str">
        <f t="shared" si="54"/>
        <v>模拟评分记录完整</v>
      </c>
      <c r="N398" s="8" t="s">
        <v>171</v>
      </c>
    </row>
    <row r="399" spans="1:14" ht="46.05" customHeight="1">
      <c r="A399" s="16" t="s">
        <v>81</v>
      </c>
      <c r="B399" s="16">
        <v>1</v>
      </c>
      <c r="C399" s="17" t="str">
        <f>三案例选用!B14</f>
        <v>SC-019</v>
      </c>
      <c r="D399" s="16" t="s">
        <v>225</v>
      </c>
      <c r="E399" s="16" t="str">
        <f t="shared" si="55"/>
        <v>适用</v>
      </c>
      <c r="F399" s="17" t="str">
        <f>IF(TRUE,IF(COUNTIFS(资产清单!$A$6:$A$25,A399)&lt;&gt;1,"",IF(INDEX(资产清单!$I$6:$I$25,MATCH(A399,资产清单!$A$6:$A$25,0))="","",INDEX(资产清单!$I$6:$I$25,MATCH(A399,资产清单!$A$6:$A$25,0)))),"不适用")</f>
        <v>露天场地</v>
      </c>
      <c r="G399" s="17" t="str">
        <f>IF(TRUE,IF(COUNTIFS(市场案例库!$A$6:$A$35,C399)&lt;&gt;1,"",IF(INDEX(市场案例库!$O$6:$O$35,MATCH(C399,市场案例库!$A$6:$A$35,0))="","",INDEX(市场案例库!$O$6:$O$35,MATCH(C399,市场案例库!$A$6:$A$35,0)))),"不适用")</f>
        <v>露天场地</v>
      </c>
      <c r="H399" s="19">
        <f>测算参数!$B$6</f>
        <v>100</v>
      </c>
      <c r="I399" s="10">
        <v>100</v>
      </c>
      <c r="J399" s="20">
        <f t="shared" si="56"/>
        <v>1</v>
      </c>
      <c r="K399" s="16" t="s">
        <v>245</v>
      </c>
      <c r="L399" s="16" t="s">
        <v>215</v>
      </c>
      <c r="M399" s="16" t="str">
        <f t="shared" si="54"/>
        <v>模拟评分记录完整</v>
      </c>
      <c r="N399" s="8" t="s">
        <v>171</v>
      </c>
    </row>
    <row r="400" spans="1:14" ht="46.05" customHeight="1">
      <c r="A400" s="16" t="s">
        <v>81</v>
      </c>
      <c r="B400" s="16">
        <v>1</v>
      </c>
      <c r="C400" s="17" t="str">
        <f>三案例选用!B14</f>
        <v>SC-019</v>
      </c>
      <c r="D400" s="16" t="s">
        <v>226</v>
      </c>
      <c r="E400" s="16" t="str">
        <f t="shared" si="55"/>
        <v>适用</v>
      </c>
      <c r="F400" s="17" t="str">
        <f>IF(TRUE,IF(COUNTIFS(资产清单!$A$6:$A$25,A400)&lt;&gt;1,"",IF(INDEX(资产清单!$I$6:$I$25,MATCH(A400,资产清单!$A$6:$A$25,0))="","",INDEX(资产清单!$I$6:$I$25,MATCH(A400,资产清单!$A$6:$A$25,0)))),"不适用")</f>
        <v>露天场地</v>
      </c>
      <c r="G400" s="17" t="str">
        <f>IF(TRUE,IF(COUNTIFS(市场案例库!$A$6:$A$35,C400)&lt;&gt;1,"",IF(INDEX(市场案例库!$O$6:$O$35,MATCH(C400,市场案例库!$A$6:$A$35,0))="","",INDEX(市场案例库!$O$6:$O$35,MATCH(C400,市场案例库!$A$6:$A$35,0)))),"不适用")</f>
        <v>露天场地</v>
      </c>
      <c r="H400" s="19">
        <f>测算参数!$B$6</f>
        <v>100</v>
      </c>
      <c r="I400" s="10">
        <v>100</v>
      </c>
      <c r="J400" s="20">
        <f t="shared" si="56"/>
        <v>1</v>
      </c>
      <c r="K400" s="16" t="s">
        <v>245</v>
      </c>
      <c r="L400" s="16" t="s">
        <v>215</v>
      </c>
      <c r="M400" s="16" t="str">
        <f t="shared" si="54"/>
        <v>模拟评分记录完整</v>
      </c>
      <c r="N400" s="8" t="s">
        <v>171</v>
      </c>
    </row>
    <row r="401" spans="1:14" ht="46.05" customHeight="1">
      <c r="A401" s="16" t="s">
        <v>81</v>
      </c>
      <c r="B401" s="16">
        <v>1</v>
      </c>
      <c r="C401" s="17" t="str">
        <f>三案例选用!B14</f>
        <v>SC-019</v>
      </c>
      <c r="D401" s="16" t="s">
        <v>227</v>
      </c>
      <c r="E401" s="16" t="str">
        <f t="shared" si="55"/>
        <v>适用</v>
      </c>
      <c r="F401" s="17" t="str">
        <f>IF(TRUE,IF(COUNTIFS(资产清单!$A$6:$A$25,A401)&lt;&gt;1,"",IF(INDEX(资产清单!$I$6:$I$25,MATCH(A401,资产清单!$A$6:$A$25,0))="","",INDEX(资产清单!$I$6:$I$25,MATCH(A401,资产清单!$A$6:$A$25,0)))),"不适用")</f>
        <v>露天场地</v>
      </c>
      <c r="G401" s="17" t="str">
        <f>IF(TRUE,IF(COUNTIFS(市场案例库!$A$6:$A$35,C401)&lt;&gt;1,"",IF(INDEX(市场案例库!$O$6:$O$35,MATCH(C401,市场案例库!$A$6:$A$35,0))="","",INDEX(市场案例库!$O$6:$O$35,MATCH(C401,市场案例库!$A$6:$A$35,0)))),"不适用")</f>
        <v>露天场地</v>
      </c>
      <c r="H401" s="19">
        <f>测算参数!$B$6</f>
        <v>100</v>
      </c>
      <c r="I401" s="10">
        <v>100</v>
      </c>
      <c r="J401" s="20">
        <f t="shared" si="56"/>
        <v>1</v>
      </c>
      <c r="K401" s="16" t="s">
        <v>245</v>
      </c>
      <c r="L401" s="16" t="s">
        <v>215</v>
      </c>
      <c r="M401" s="16" t="str">
        <f t="shared" si="54"/>
        <v>模拟评分记录完整</v>
      </c>
      <c r="N401" s="8" t="s">
        <v>171</v>
      </c>
    </row>
    <row r="402" spans="1:14" ht="46.05" customHeight="1">
      <c r="A402" s="16" t="s">
        <v>81</v>
      </c>
      <c r="B402" s="16">
        <v>1</v>
      </c>
      <c r="C402" s="17" t="str">
        <f>三案例选用!B14</f>
        <v>SC-019</v>
      </c>
      <c r="D402" s="16" t="s">
        <v>228</v>
      </c>
      <c r="E402" s="17" t="str">
        <f>IF(AND(IF(COUNTIFS(资产清单!$A$6:$A$25,A402)&lt;&gt;1,"",IF(INDEX(资产清单!$H$6:$H$25,MATCH(A402,资产清单!$A$6:$A$25,0))="","",INDEX(资产清单!$H$6:$H$25,MATCH(A402,资产清单!$A$6:$A$25,0))))&lt;&gt;"场地",IF(COUNTIFS(资产清单!$A$6:$A$25,A402)&lt;&gt;1,"",IF(INDEX(资产清单!$H$6:$H$25,MATCH(A402,资产清单!$A$6:$A$25,0))="","",INDEX(资产清单!$H$6:$H$25,MATCH(A402,资产清单!$A$6:$A$25,0))))&lt;&gt;"车位",IF(COUNTIFS(资产清单!$A$6:$A$25,A402)&lt;&gt;1,"",IF(INDEX(资产清单!$H$6:$H$25,MATCH(A402,资产清单!$A$6:$A$25,0))="","",INDEX(资产清单!$H$6:$H$25,MATCH(A402,资产清单!$A$6:$A$25,0))))&lt;&gt;"通信基站"),"适用","不适用采用100/100")</f>
        <v>不适用采用100/100</v>
      </c>
      <c r="F402" s="17" t="str">
        <f>IF(AND(IF(COUNTIFS(资产清单!$A$6:$A$25,A402)&lt;&gt;1,"",IF(INDEX(资产清单!$H$6:$H$25,MATCH(A402,资产清单!$A$6:$A$25,0))="","",INDEX(资产清单!$H$6:$H$25,MATCH(A402,资产清单!$A$6:$A$25,0))))&lt;&gt;"场地",IF(COUNTIFS(资产清单!$A$6:$A$25,A402)&lt;&gt;1,"",IF(INDEX(资产清单!$H$6:$H$25,MATCH(A402,资产清单!$A$6:$A$25,0))="","",INDEX(资产清单!$H$6:$H$25,MATCH(A402,资产清单!$A$6:$A$25,0))))&lt;&gt;"车位",IF(COUNTIFS(资产清单!$A$6:$A$25,A402)&lt;&gt;1,"",IF(INDEX(资产清单!$H$6:$H$25,MATCH(A402,资产清单!$A$6:$A$25,0))="","",INDEX(资产清单!$H$6:$H$25,MATCH(A402,资产清单!$A$6:$A$25,0))))&lt;&gt;"通信基站"),IF(COUNTIFS(资产清单!$A$6:$A$25,A402)&lt;&gt;1,"",IF(INDEX(资产清单!$I$6:$I$25,MATCH(A402,资产清单!$A$6:$A$25,0))="","",INDEX(资产清单!$I$6:$I$25,MATCH(A402,资产清单!$A$6:$A$25,0)))),"不适用")</f>
        <v>不适用</v>
      </c>
      <c r="G402" s="17" t="str">
        <f>IF(AND(IF(COUNTIFS(资产清单!$A$6:$A$25,A402)&lt;&gt;1,"",IF(INDEX(资产清单!$H$6:$H$25,MATCH(A402,资产清单!$A$6:$A$25,0))="","",INDEX(资产清单!$H$6:$H$25,MATCH(A402,资产清单!$A$6:$A$25,0))))&lt;&gt;"场地",IF(COUNTIFS(资产清单!$A$6:$A$25,A402)&lt;&gt;1,"",IF(INDEX(资产清单!$H$6:$H$25,MATCH(A402,资产清单!$A$6:$A$25,0))="","",INDEX(资产清单!$H$6:$H$25,MATCH(A402,资产清单!$A$6:$A$25,0))))&lt;&gt;"车位",IF(COUNTIFS(资产清单!$A$6:$A$25,A402)&lt;&gt;1,"",IF(INDEX(资产清单!$H$6:$H$25,MATCH(A402,资产清单!$A$6:$A$25,0))="","",INDEX(资产清单!$H$6:$H$25,MATCH(A402,资产清单!$A$6:$A$25,0))))&lt;&gt;"通信基站"),IF(COUNTIFS(市场案例库!$A$6:$A$35,C402)&lt;&gt;1,"",IF(INDEX(市场案例库!$O$6:$O$35,MATCH(C402,市场案例库!$A$6:$A$35,0))="","",INDEX(市场案例库!$O$6:$O$35,MATCH(C402,市场案例库!$A$6:$A$35,0)))),"不适用")</f>
        <v>不适用</v>
      </c>
      <c r="H402" s="19">
        <f>测算参数!$B$6</f>
        <v>100</v>
      </c>
      <c r="I402" s="10">
        <v>100</v>
      </c>
      <c r="J402" s="21">
        <f>IF(OR(C402&lt;&gt;N402,COUNT(H402:I402)&lt;&gt;2,H402&lt;=0,I402&lt;=0),"",IF(AND(IF(COUNTIFS(资产清单!$A$6:$A$25,A402)&lt;&gt;1,"",IF(INDEX(资产清单!$H$6:$H$25,MATCH(A402,资产清单!$A$6:$A$25,0))="","",INDEX(资产清单!$H$6:$H$25,MATCH(A402,资产清单!$A$6:$A$25,0))))&lt;&gt;"场地",IF(COUNTIFS(资产清单!$A$6:$A$25,A402)&lt;&gt;1,"",IF(INDEX(资产清单!$H$6:$H$25,MATCH(A402,资产清单!$A$6:$A$25,0))="","",INDEX(资产清单!$H$6:$H$25,MATCH(A402,资产清单!$A$6:$A$25,0))))&lt;&gt;"车位",IF(COUNTIFS(资产清单!$A$6:$A$25,A402)&lt;&gt;1,"",IF(INDEX(资产清单!$H$6:$H$25,MATCH(A402,资产清单!$A$6:$A$25,0))="","",INDEX(资产清单!$H$6:$H$25,MATCH(A402,资产清单!$A$6:$A$25,0))))&lt;&gt;"通信基站"),H402/I402,H402/H402))</f>
        <v>1</v>
      </c>
      <c r="K402" s="16" t="s">
        <v>245</v>
      </c>
      <c r="L402" s="16" t="s">
        <v>215</v>
      </c>
      <c r="M402" s="16" t="str">
        <f t="shared" si="54"/>
        <v>模拟评分记录完整</v>
      </c>
      <c r="N402" s="8" t="s">
        <v>171</v>
      </c>
    </row>
    <row r="403" spans="1:14" ht="46.05" customHeight="1">
      <c r="A403" s="16" t="s">
        <v>81</v>
      </c>
      <c r="B403" s="16">
        <v>1</v>
      </c>
      <c r="C403" s="17" t="str">
        <f>三案例选用!B14</f>
        <v>SC-019</v>
      </c>
      <c r="D403" s="16" t="s">
        <v>229</v>
      </c>
      <c r="E403" s="17" t="str">
        <f>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"适用","不适用采用100/100")</f>
        <v>不适用采用100/100</v>
      </c>
      <c r="F403" s="17" t="str">
        <f>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IF(COUNTIFS(资产清单!$A$6:$A$25,A403)&lt;&gt;1,"",IF(COUNT(INDEX(资产清单!$N$6:$N$25,MATCH(A403,资产清单!$A$6:$A$25,0)))&lt;&gt;1,"",INDEX(资产清单!$N$6:$N$25,MATCH(A403,资产清单!$A$6:$A$25,0)))),"不适用")</f>
        <v>不适用</v>
      </c>
      <c r="G403" s="17" t="str">
        <f>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IF(COUNTIFS(市场案例库!$A$6:$A$35,C403)&lt;&gt;1,"",IF(COUNT(INDEX(市场案例库!$I$6:$I$35,MATCH(C403,市场案例库!$A$6:$A$35,0)))&lt;&gt;1,"",INDEX(市场案例库!$I$6:$I$35,MATCH(C403,市场案例库!$A$6:$A$35,0)))),"不适用")</f>
        <v>不适用</v>
      </c>
      <c r="H403" s="19">
        <f>测算参数!$B$6</f>
        <v>100</v>
      </c>
      <c r="I403" s="19">
        <f>IF(OR(COUNTIFS(市场案例库!$A$6:$A$35,C403)&lt;&gt;1,AND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OR(COUNT(IF(COUNTIFS(资产清单!$A$6:$A$25,A403)&lt;&gt;1,"",IF(COUNT(INDEX(资产清单!$N$6:$N$25,MATCH(A403,资产清单!$A$6:$A$25,0)))&lt;&gt;1,"",INDEX(资产清单!$N$6:$N$25,MATCH(A403,资产清单!$A$6:$A$25,0)))),IF(COUNTIFS(市场案例库!$A$6:$A$35,C403)&lt;&gt;1,"",IF(COUNT(INDEX(市场案例库!$I$6:$I$35,MATCH(C403,市场案例库!$A$6:$A$35,0)))&lt;&gt;1,"",INDEX(市场案例库!$I$6:$I$35,MATCH(C403,市场案例库!$A$6:$A$35,0)))))&lt;&gt;2,IF(COUNTIFS(资产清单!$A$6:$A$25,A403)&lt;&gt;1,"",IF(COUNT(INDEX(资产清单!$N$6:$N$25,MATCH(A403,资产清单!$A$6:$A$25,0)))&lt;&gt;1,"",INDEX(资产清单!$N$6:$N$25,MATCH(A403,资产清单!$A$6:$A$25,0))))&lt;1,IF(COUNTIFS(资产清单!$A$6:$A$25,A403)&lt;&gt;1,"",IF(COUNT(INDEX(资产清单!$N$6:$N$25,MATCH(A403,资产清单!$A$6:$A$25,0)))&lt;&gt;1,"",INDEX(资产清单!$N$6:$N$25,MATCH(A403,资产清单!$A$6:$A$25,0))))&gt;4,IF(COUNTIFS(市场案例库!$A$6:$A$35,C403)&lt;&gt;1,"",IF(COUNT(INDEX(市场案例库!$I$6:$I$35,MATCH(C403,市场案例库!$A$6:$A$35,0)))&lt;&gt;1,"",INDEX(市场案例库!$I$6:$I$35,MATCH(C403,市场案例库!$A$6:$A$35,0))))&lt;1,IF(COUNTIFS(市场案例库!$A$6:$A$35,C403)&lt;&gt;1,"",IF(COUNT(INDEX(市场案例库!$I$6:$I$35,MATCH(C403,市场案例库!$A$6:$A$35,0)))&lt;&gt;1,"",INDEX(市场案例库!$I$6:$I$35,MATCH(C403,市场案例库!$A$6:$A$35,0))))&gt;4))),"",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INDEX(测算参数!$B$35:$B$41,MATCH(IF(COUNTIFS(市场案例库!$A$6:$A$35,C403)&lt;&gt;1,"",IF(COUNT(INDEX(市场案例库!$I$6:$I$35,MATCH(C403,市场案例库!$A$6:$A$35,0)))&lt;&gt;1,"",INDEX(市场案例库!$I$6:$I$35,MATCH(C403,市场案例库!$A$6:$A$35,0))))-IF(COUNTIFS(资产清单!$A$6:$A$25,A403)&lt;&gt;1,"",IF(COUNT(INDEX(资产清单!$N$6:$N$25,MATCH(A403,资产清单!$A$6:$A$25,0)))&lt;&gt;1,"",INDEX(资产清单!$N$6:$N$25,MATCH(A403,资产清单!$A$6:$A$25,0)))),测算参数!$A$35:$A$41,0)),测算参数!$B$6))</f>
        <v>100</v>
      </c>
      <c r="J403" s="21">
        <f>IF(OR(C403&lt;&gt;N403,COUNT(H403:I403)&lt;&gt;2,H403&lt;=0,I403&lt;=0),"",IF(AND(IF(COUNTIFS(资产清单!$A$6:$A$25,A403)&lt;&gt;1,"",IF(INDEX(资产清单!$H$6:$H$25,MATCH(A403,资产清单!$A$6:$A$25,0))="","",INDEX(资产清单!$H$6:$H$25,MATCH(A403,资产清单!$A$6:$A$25,0))))&lt;&gt;"场地",IF(COUNTIFS(资产清单!$A$6:$A$25,A403)&lt;&gt;1,"",IF(INDEX(资产清单!$H$6:$H$25,MATCH(A403,资产清单!$A$6:$A$25,0))="","",INDEX(资产清单!$H$6:$H$25,MATCH(A403,资产清单!$A$6:$A$25,0))))&lt;&gt;"车位",IF(COUNTIFS(资产清单!$A$6:$A$25,A403)&lt;&gt;1,"",IF(INDEX(资产清单!$H$6:$H$25,MATCH(A403,资产清单!$A$6:$A$25,0))="","",INDEX(资产清单!$H$6:$H$25,MATCH(A403,资产清单!$A$6:$A$25,0))))&lt;&gt;"通信基站"),H403/I403,H403/H403))</f>
        <v>1</v>
      </c>
      <c r="K403" s="16" t="s">
        <v>245</v>
      </c>
      <c r="L403" s="16" t="s">
        <v>230</v>
      </c>
      <c r="M403" s="16" t="str">
        <f t="shared" si="54"/>
        <v>模拟评分记录完整</v>
      </c>
      <c r="N403" s="8" t="s">
        <v>171</v>
      </c>
    </row>
    <row r="404" spans="1:14" ht="46.05" customHeight="1">
      <c r="A404" s="16" t="s">
        <v>81</v>
      </c>
      <c r="B404" s="16">
        <v>1</v>
      </c>
      <c r="C404" s="17" t="str">
        <f>三案例选用!B14</f>
        <v>SC-019</v>
      </c>
      <c r="D404" s="16" t="s">
        <v>231</v>
      </c>
      <c r="E404" s="17" t="str">
        <f>IF(AND(IF(COUNTIFS(资产清单!$A$6:$A$25,A404)&lt;&gt;1,"",IF(INDEX(资产清单!$H$6:$H$25,MATCH(A404,资产清单!$A$6:$A$25,0))="","",INDEX(资产清单!$H$6:$H$25,MATCH(A404,资产清单!$A$6:$A$25,0))))&lt;&gt;"场地",IF(COUNTIFS(资产清单!$A$6:$A$25,A404)&lt;&gt;1,"",IF(INDEX(资产清单!$H$6:$H$25,MATCH(A404,资产清单!$A$6:$A$25,0))="","",INDEX(资产清单!$H$6:$H$25,MATCH(A404,资产清单!$A$6:$A$25,0))))&lt;&gt;"车位",IF(COUNTIFS(资产清单!$A$6:$A$25,A404)&lt;&gt;1,"",IF(INDEX(资产清单!$H$6:$H$25,MATCH(A404,资产清单!$A$6:$A$25,0))="","",INDEX(资产清单!$H$6:$H$25,MATCH(A404,资产清单!$A$6:$A$25,0))))&lt;&gt;"通信基站"),"适用","不适用采用100/100")</f>
        <v>不适用采用100/100</v>
      </c>
      <c r="F404" s="17" t="str">
        <f>IF(AND(IF(COUNTIFS(资产清单!$A$6:$A$25,A404)&lt;&gt;1,"",IF(INDEX(资产清单!$H$6:$H$25,MATCH(A404,资产清单!$A$6:$A$25,0))="","",INDEX(资产清单!$H$6:$H$25,MATCH(A404,资产清单!$A$6:$A$25,0))))&lt;&gt;"场地",IF(COUNTIFS(资产清单!$A$6:$A$25,A404)&lt;&gt;1,"",IF(INDEX(资产清单!$H$6:$H$25,MATCH(A404,资产清单!$A$6:$A$25,0))="","",INDEX(资产清单!$H$6:$H$25,MATCH(A404,资产清单!$A$6:$A$25,0))))&lt;&gt;"车位",IF(COUNTIFS(资产清单!$A$6:$A$25,A404)&lt;&gt;1,"",IF(INDEX(资产清单!$H$6:$H$25,MATCH(A404,资产清单!$A$6:$A$25,0))="","",INDEX(资产清单!$H$6:$H$25,MATCH(A404,资产清单!$A$6:$A$25,0))))&lt;&gt;"通信基站"),IF(COUNTIFS(资产清单!$A$6:$A$25,A404)&lt;&gt;1,"",IF(INDEX(资产清单!$I$6:$I$25,MATCH(A404,资产清单!$A$6:$A$25,0))="","",INDEX(资产清单!$I$6:$I$25,MATCH(A404,资产清单!$A$6:$A$25,0)))),"不适用")</f>
        <v>不适用</v>
      </c>
      <c r="G404" s="17" t="str">
        <f>IF(AND(IF(COUNTIFS(资产清单!$A$6:$A$25,A404)&lt;&gt;1,"",IF(INDEX(资产清单!$H$6:$H$25,MATCH(A404,资产清单!$A$6:$A$25,0))="","",INDEX(资产清单!$H$6:$H$25,MATCH(A404,资产清单!$A$6:$A$25,0))))&lt;&gt;"场地",IF(COUNTIFS(资产清单!$A$6:$A$25,A404)&lt;&gt;1,"",IF(INDEX(资产清单!$H$6:$H$25,MATCH(A404,资产清单!$A$6:$A$25,0))="","",INDEX(资产清单!$H$6:$H$25,MATCH(A404,资产清单!$A$6:$A$25,0))))&lt;&gt;"车位",IF(COUNTIFS(资产清单!$A$6:$A$25,A404)&lt;&gt;1,"",IF(INDEX(资产清单!$H$6:$H$25,MATCH(A404,资产清单!$A$6:$A$25,0))="","",INDEX(资产清单!$H$6:$H$25,MATCH(A404,资产清单!$A$6:$A$25,0))))&lt;&gt;"通信基站"),IF(COUNTIFS(市场案例库!$A$6:$A$35,C404)&lt;&gt;1,"",IF(INDEX(市场案例库!$O$6:$O$35,MATCH(C404,市场案例库!$A$6:$A$35,0))="","",INDEX(市场案例库!$O$6:$O$35,MATCH(C404,市场案例库!$A$6:$A$35,0)))),"不适用")</f>
        <v>不适用</v>
      </c>
      <c r="H404" s="19">
        <f>测算参数!$B$6</f>
        <v>100</v>
      </c>
      <c r="I404" s="10">
        <v>100</v>
      </c>
      <c r="J404" s="21">
        <f>IF(OR(C404&lt;&gt;N404,COUNT(H404:I404)&lt;&gt;2,H404&lt;=0,I404&lt;=0),"",IF(AND(IF(COUNTIFS(资产清单!$A$6:$A$25,A404)&lt;&gt;1,"",IF(INDEX(资产清单!$H$6:$H$25,MATCH(A404,资产清单!$A$6:$A$25,0))="","",INDEX(资产清单!$H$6:$H$25,MATCH(A404,资产清单!$A$6:$A$25,0))))&lt;&gt;"场地",IF(COUNTIFS(资产清单!$A$6:$A$25,A404)&lt;&gt;1,"",IF(INDEX(资产清单!$H$6:$H$25,MATCH(A404,资产清单!$A$6:$A$25,0))="","",INDEX(资产清单!$H$6:$H$25,MATCH(A404,资产清单!$A$6:$A$25,0))))&lt;&gt;"车位",IF(COUNTIFS(资产清单!$A$6:$A$25,A404)&lt;&gt;1,"",IF(INDEX(资产清单!$H$6:$H$25,MATCH(A404,资产清单!$A$6:$A$25,0))="","",INDEX(资产清单!$H$6:$H$25,MATCH(A404,资产清单!$A$6:$A$25,0))))&lt;&gt;"通信基站"),H404/I404,H404/H404))</f>
        <v>1</v>
      </c>
      <c r="K404" s="16" t="s">
        <v>245</v>
      </c>
      <c r="L404" s="16" t="s">
        <v>215</v>
      </c>
      <c r="M404" s="16" t="str">
        <f t="shared" si="54"/>
        <v>模拟评分记录完整</v>
      </c>
      <c r="N404" s="8" t="s">
        <v>171</v>
      </c>
    </row>
    <row r="405" spans="1:14" ht="46.05" customHeight="1">
      <c r="A405" s="16" t="s">
        <v>81</v>
      </c>
      <c r="B405" s="16">
        <v>1</v>
      </c>
      <c r="C405" s="17" t="str">
        <f>三案例选用!B14</f>
        <v>SC-019</v>
      </c>
      <c r="D405" s="16" t="s">
        <v>232</v>
      </c>
      <c r="E405" s="16" t="str">
        <f>IF(TRUE,"适用","不适用采用100/100")</f>
        <v>适用</v>
      </c>
      <c r="F405" s="17" t="str">
        <f>IF(TRUE,IF(COUNTIFS(资产清单!$A$6:$A$25,A405)&lt;&gt;1,"",IF(INDEX(资产清单!$I$6:$I$25,MATCH(A405,资产清单!$A$6:$A$25,0))="","",INDEX(资产清单!$I$6:$I$25,MATCH(A405,资产清单!$A$6:$A$25,0)))),"不适用")</f>
        <v>露天场地</v>
      </c>
      <c r="G405" s="17" t="str">
        <f>IF(TRUE,IF(COUNTIFS(市场案例库!$A$6:$A$35,C405)&lt;&gt;1,"",IF(INDEX(市场案例库!$O$6:$O$35,MATCH(C405,市场案例库!$A$6:$A$35,0))="","",INDEX(市场案例库!$O$6:$O$35,MATCH(C405,市场案例库!$A$6:$A$35,0)))),"不适用")</f>
        <v>露天场地</v>
      </c>
      <c r="H405" s="19">
        <f>测算参数!$B$6</f>
        <v>100</v>
      </c>
      <c r="I405" s="10">
        <v>100</v>
      </c>
      <c r="J405" s="20">
        <f>IF(OR(C405&lt;&gt;N405,COUNT(H405:I405)&lt;&gt;2,H405&lt;=0,I405&lt;=0),"",IF(TRUE,H405/I405,H405/H405))</f>
        <v>1</v>
      </c>
      <c r="K405" s="16" t="s">
        <v>245</v>
      </c>
      <c r="L405" s="16" t="s">
        <v>215</v>
      </c>
      <c r="M405" s="16" t="str">
        <f t="shared" si="54"/>
        <v>模拟评分记录完整</v>
      </c>
      <c r="N405" s="8" t="s">
        <v>171</v>
      </c>
    </row>
    <row r="406" spans="1:14" ht="46.05" customHeight="1">
      <c r="A406" s="16" t="s">
        <v>81</v>
      </c>
      <c r="B406" s="16">
        <v>2</v>
      </c>
      <c r="C406" s="17" t="str">
        <f>三案例选用!C14</f>
        <v>SC-020</v>
      </c>
      <c r="D406" s="16" t="s">
        <v>209</v>
      </c>
      <c r="E406" s="16" t="str">
        <f>IF(TRUE,"适用","不适用采用100/100")</f>
        <v>适用</v>
      </c>
      <c r="F406" s="17" t="str">
        <f>IF(TRUE,IF(COUNTIFS(资产清单!$A$6:$A$25,A406)&lt;&gt;1,"",IF(INDEX(资产清单!$I$6:$I$25,MATCH(A406,资产清单!$A$6:$A$25,0))="","",INDEX(资产清单!$I$6:$I$25,MATCH(A406,资产清单!$A$6:$A$25,0)))),"不适用")</f>
        <v>露天场地</v>
      </c>
      <c r="G406" s="17" t="str">
        <f>IF(TRUE,IF(COUNTIFS(市场案例库!$A$6:$A$35,C406)&lt;&gt;1,"",IF(INDEX(市场案例库!$O$6:$O$35,MATCH(C406,市场案例库!$A$6:$A$35,0))="","",INDEX(市场案例库!$O$6:$O$35,MATCH(C406,市场案例库!$A$6:$A$35,0)))),"不适用")</f>
        <v>露天场地</v>
      </c>
      <c r="H406" s="19">
        <f>测算参数!$B$6</f>
        <v>100</v>
      </c>
      <c r="I406" s="19">
        <f>IF(OR(COUNTIFS(市场案例库!$A$6:$A$35,C406)&lt;&gt;1),"",IF(COUNTIFS(市场案例库!$A$6:$A$35,C406)&lt;&gt;1,"",IF(COUNT(INDEX(市场案例库!$M$6:$M$35,MATCH(C406,市场案例库!$A$6:$A$35,0)))&lt;&gt;1,"",INDEX(市场案例库!$M$6:$M$35,MATCH(C406,市场案例库!$A$6:$A$35,0)))))</f>
        <v>102</v>
      </c>
      <c r="J406" s="20">
        <f>IF(OR(C406&lt;&gt;N406,COUNT(H406:I406)&lt;&gt;2,H406&lt;=0,I406&lt;=0),"",IF(TRUE,H406/I406,H406/H406))</f>
        <v>0.98039215686274506</v>
      </c>
      <c r="K406" s="16" t="s">
        <v>245</v>
      </c>
      <c r="L406" s="16" t="s">
        <v>211</v>
      </c>
      <c r="M406" s="16" t="str">
        <f t="shared" si="54"/>
        <v>模拟评分记录完整</v>
      </c>
      <c r="N406" s="8" t="s">
        <v>172</v>
      </c>
    </row>
    <row r="407" spans="1:14" ht="46.05" customHeight="1">
      <c r="A407" s="16" t="s">
        <v>81</v>
      </c>
      <c r="B407" s="16">
        <v>2</v>
      </c>
      <c r="C407" s="17" t="str">
        <f>三案例选用!C14</f>
        <v>SC-020</v>
      </c>
      <c r="D407" s="16" t="s">
        <v>212</v>
      </c>
      <c r="E407" s="16" t="str">
        <f>IF(TRUE,"适用","不适用采用100/100")</f>
        <v>适用</v>
      </c>
      <c r="F407" s="17" t="str">
        <f>IF(TRUE,IF(COUNTIFS(资产清单!$A$6:$A$25,A407)&lt;&gt;1,"",IF(INDEX(资产清单!$I$6:$I$25,MATCH(A407,资产清单!$A$6:$A$25,0))="","",INDEX(资产清单!$I$6:$I$25,MATCH(A407,资产清单!$A$6:$A$25,0)))),"不适用")</f>
        <v>露天场地</v>
      </c>
      <c r="G407" s="17" t="str">
        <f>IF(TRUE,IF(COUNTIFS(市场案例库!$A$6:$A$35,C407)&lt;&gt;1,"",IF(INDEX(市场案例库!$O$6:$O$35,MATCH(C407,市场案例库!$A$6:$A$35,0))="","",INDEX(市场案例库!$O$6:$O$35,MATCH(C407,市场案例库!$A$6:$A$35,0)))),"不适用")</f>
        <v>露天场地</v>
      </c>
      <c r="H407" s="19">
        <f>测算参数!$B$6</f>
        <v>100</v>
      </c>
      <c r="I407" s="19">
        <f>IF(OR(COUNTIFS(市场案例库!$A$6:$A$35,C407)&lt;&gt;1),"",IF(COUNTIFS(市场案例库!$A$6:$A$35,C407)&lt;&gt;1,"",IF(COUNT(INDEX(市场案例库!$N$6:$N$35,MATCH(C407,市场案例库!$A$6:$A$35,0)))&lt;&gt;1,"",INDEX(市场案例库!$N$6:$N$35,MATCH(C407,市场案例库!$A$6:$A$35,0)))))</f>
        <v>100</v>
      </c>
      <c r="J407" s="20">
        <f>IF(OR(C407&lt;&gt;N407,COUNT(H407:I407)&lt;&gt;2,H407&lt;=0,I407&lt;=0),"",IF(TRUE,H407/I407,H407/H407))</f>
        <v>1</v>
      </c>
      <c r="K407" s="16" t="s">
        <v>245</v>
      </c>
      <c r="L407" s="16" t="s">
        <v>213</v>
      </c>
      <c r="M407" s="16" t="str">
        <f t="shared" si="54"/>
        <v>模拟评分记录完整</v>
      </c>
      <c r="N407" s="8" t="s">
        <v>172</v>
      </c>
    </row>
    <row r="408" spans="1:14" ht="46.05" customHeight="1">
      <c r="A408" s="16" t="s">
        <v>81</v>
      </c>
      <c r="B408" s="16">
        <v>2</v>
      </c>
      <c r="C408" s="17" t="str">
        <f>三案例选用!C14</f>
        <v>SC-020</v>
      </c>
      <c r="D408" s="16" t="s">
        <v>214</v>
      </c>
      <c r="E408" s="16" t="str">
        <f>IF(TRUE,"适用","不适用采用100/100")</f>
        <v>适用</v>
      </c>
      <c r="F408" s="17" t="str">
        <f>IF(TRUE,IF(COUNTIFS(资产清单!$A$6:$A$25,A408)&lt;&gt;1,"",IF(INDEX(资产清单!$I$6:$I$25,MATCH(A408,资产清单!$A$6:$A$25,0))="","",INDEX(资产清单!$I$6:$I$25,MATCH(A408,资产清单!$A$6:$A$25,0)))),"不适用")</f>
        <v>露天场地</v>
      </c>
      <c r="G408" s="17" t="str">
        <f>IF(TRUE,IF(COUNTIFS(市场案例库!$A$6:$A$35,C408)&lt;&gt;1,"",IF(INDEX(市场案例库!$O$6:$O$35,MATCH(C408,市场案例库!$A$6:$A$35,0))="","",INDEX(市场案例库!$O$6:$O$35,MATCH(C408,市场案例库!$A$6:$A$35,0)))),"不适用")</f>
        <v>露天场地</v>
      </c>
      <c r="H408" s="19">
        <f>测算参数!$B$6</f>
        <v>100</v>
      </c>
      <c r="I408" s="10">
        <v>100</v>
      </c>
      <c r="J408" s="20">
        <f>IF(OR(C408&lt;&gt;N408,COUNT(H408:I408)&lt;&gt;2,H408&lt;=0,I408&lt;=0),"",IF(TRUE,H408/I408,H408/H408))</f>
        <v>1</v>
      </c>
      <c r="K408" s="16" t="s">
        <v>245</v>
      </c>
      <c r="L408" s="16" t="s">
        <v>215</v>
      </c>
      <c r="M408" s="16" t="str">
        <f t="shared" si="54"/>
        <v>模拟评分记录完整</v>
      </c>
      <c r="N408" s="8" t="s">
        <v>172</v>
      </c>
    </row>
    <row r="409" spans="1:14" ht="46.05" customHeight="1">
      <c r="A409" s="16" t="s">
        <v>81</v>
      </c>
      <c r="B409" s="16">
        <v>2</v>
      </c>
      <c r="C409" s="17" t="str">
        <f>三案例选用!C14</f>
        <v>SC-020</v>
      </c>
      <c r="D409" s="16" t="s">
        <v>216</v>
      </c>
      <c r="E409" s="16" t="str">
        <f>IF(TRUE,"适用","不适用采用100/100")</f>
        <v>适用</v>
      </c>
      <c r="F409" s="17" t="str">
        <f>IF(TRUE,IF(COUNTIFS(资产清单!$A$6:$A$25,A409)&lt;&gt;1,"",IF(INDEX(资产清单!$I$6:$I$25,MATCH(A409,资产清单!$A$6:$A$25,0))="","",INDEX(资产清单!$I$6:$I$25,MATCH(A409,资产清单!$A$6:$A$25,0)))),"不适用")</f>
        <v>露天场地</v>
      </c>
      <c r="G409" s="17" t="str">
        <f>IF(TRUE,IF(COUNTIFS(市场案例库!$A$6:$A$35,C409)&lt;&gt;1,"",IF(INDEX(市场案例库!$O$6:$O$35,MATCH(C409,市场案例库!$A$6:$A$35,0))="","",INDEX(市场案例库!$O$6:$O$35,MATCH(C409,市场案例库!$A$6:$A$35,0)))),"不适用")</f>
        <v>露天场地</v>
      </c>
      <c r="H409" s="19">
        <f>测算参数!$B$6</f>
        <v>100</v>
      </c>
      <c r="I409" s="10">
        <v>100</v>
      </c>
      <c r="J409" s="20">
        <f>IF(OR(C409&lt;&gt;N409,COUNT(H409:I409)&lt;&gt;2,H409&lt;=0,I409&lt;=0),"",IF(TRUE,H409/I409,H409/H409))</f>
        <v>1</v>
      </c>
      <c r="K409" s="16" t="s">
        <v>245</v>
      </c>
      <c r="L409" s="16" t="s">
        <v>215</v>
      </c>
      <c r="M409" s="16" t="str">
        <f t="shared" si="54"/>
        <v>模拟评分记录完整</v>
      </c>
      <c r="N409" s="8" t="s">
        <v>172</v>
      </c>
    </row>
    <row r="410" spans="1:14" ht="46.05" customHeight="1">
      <c r="A410" s="16" t="s">
        <v>81</v>
      </c>
      <c r="B410" s="16">
        <v>2</v>
      </c>
      <c r="C410" s="17" t="str">
        <f>三案例选用!C14</f>
        <v>SC-020</v>
      </c>
      <c r="D410" s="16" t="s">
        <v>217</v>
      </c>
      <c r="E410" s="17" t="str">
        <f>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"适用","不适用采用100/100")</f>
        <v>不适用采用100/100</v>
      </c>
      <c r="F410" s="17" t="str">
        <f>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IF(COUNTIFS(资产清单!$A$6:$A$25,A410)&lt;&gt;1,"",IF(COUNT(INDEX(资产清单!$M$6:$M$25,MATCH(A410,资产清单!$A$6:$A$25,0)))&lt;&gt;1,"",INDEX(资产清单!$M$6:$M$25,MATCH(A410,资产清单!$A$6:$A$25,0)))),"不适用")</f>
        <v>不适用</v>
      </c>
      <c r="G410" s="17" t="str">
        <f>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IF(COUNTIFS(市场案例库!$A$6:$A$35,C410)&lt;&gt;1,"",IF(COUNT(INDEX(市场案例库!$H$6:$H$35,MATCH(C410,市场案例库!$A$6:$A$35,0)))&lt;&gt;1,"",INDEX(市场案例库!$H$6:$H$35,MATCH(C410,市场案例库!$A$6:$A$35,0)))),"不适用")</f>
        <v>不适用</v>
      </c>
      <c r="H410" s="19">
        <f>测算参数!$B$6</f>
        <v>100</v>
      </c>
      <c r="I410" s="19">
        <f>IF(OR(COUNTIFS(市场案例库!$A$6:$A$35,C410)&lt;&gt;1,AND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COUNT(IF(COUNTIFS(资产清单!$A$6:$A$25,A410)&lt;&gt;1,"",IF(COUNT(INDEX(资产清单!$M$6:$M$25,MATCH(A410,资产清单!$A$6:$A$25,0)))&lt;&gt;1,"",INDEX(资产清单!$M$6:$M$25,MATCH(A410,资产清单!$A$6:$A$25,0)))),IF(COUNTIFS(市场案例库!$A$6:$A$35,C410)&lt;&gt;1,"",IF(COUNT(INDEX(市场案例库!$H$6:$H$35,MATCH(C410,市场案例库!$A$6:$A$35,0)))&lt;&gt;1,"",INDEX(市场案例库!$H$6:$H$35,MATCH(C410,市场案例库!$A$6:$A$35,0)))))&lt;&gt;2)),"",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INDEX(测算参数!$B$25:$B$31,MATCH(MAX(-测算参数!$B$11,MIN(测算参数!$B$11,IF(COUNTIFS(资产清单!$A$6:$A$25,A410)&lt;&gt;1,"",IF(COUNT(INDEX(资产清单!$M$6:$M$25,MATCH(A410,资产清单!$A$6:$A$25,0)))&lt;&gt;1,"",INDEX(资产清单!$M$6:$M$25,MATCH(A410,资产清单!$A$6:$A$25,0))))-IF(COUNTIFS(市场案例库!$A$6:$A$35,C410)&lt;&gt;1,"",IF(COUNT(INDEX(市场案例库!$H$6:$H$35,MATCH(C410,市场案例库!$A$6:$A$35,0)))&lt;&gt;1,"",INDEX(市场案例库!$H$6:$H$35,MATCH(C410,市场案例库!$A$6:$A$35,0)))))),测算参数!$A$25:$A$31,0)),测算参数!$B$6))</f>
        <v>100</v>
      </c>
      <c r="J410" s="21">
        <f>IF(OR(C410&lt;&gt;N410,COUNT(H410:I410)&lt;&gt;2,H410&lt;=0,I410&lt;=0),"",IF(OR(IF(COUNTIFS(资产清单!$A$6:$A$25,A410)&lt;&gt;1,"",IF(INDEX(资产清单!$H$6:$H$25,MATCH(A410,资产清单!$A$6:$A$25,0))="","",INDEX(资产清单!$H$6:$H$25,MATCH(A410,资产清单!$A$6:$A$25,0))))="商业",IF(COUNTIFS(资产清单!$A$6:$A$25,A410)&lt;&gt;1,"",IF(INDEX(资产清单!$H$6:$H$25,MATCH(A410,资产清单!$A$6:$A$25,0))="","",INDEX(资产清单!$H$6:$H$25,MATCH(A410,资产清单!$A$6:$A$25,0))))="办公",IF(COUNTIFS(资产清单!$A$6:$A$25,A410)&lt;&gt;1,"",IF(INDEX(资产清单!$H$6:$H$25,MATCH(A410,资产清单!$A$6:$A$25,0))="","",INDEX(资产清单!$H$6:$H$25,MATCH(A410,资产清单!$A$6:$A$25,0))))="住宅"),H410/I410,H410/H410))</f>
        <v>1</v>
      </c>
      <c r="K410" s="16" t="s">
        <v>245</v>
      </c>
      <c r="L410" s="16" t="s">
        <v>218</v>
      </c>
      <c r="M410" s="16" t="str">
        <f t="shared" si="54"/>
        <v>模拟评分记录完整</v>
      </c>
      <c r="N410" s="8" t="s">
        <v>172</v>
      </c>
    </row>
    <row r="411" spans="1:14" ht="46.05" customHeight="1">
      <c r="A411" s="16" t="s">
        <v>81</v>
      </c>
      <c r="B411" s="16">
        <v>2</v>
      </c>
      <c r="C411" s="17" t="str">
        <f>三案例选用!C14</f>
        <v>SC-020</v>
      </c>
      <c r="D411" s="16" t="s">
        <v>219</v>
      </c>
      <c r="E411" s="17" t="str">
        <f>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"适用","不适用采用100/100")</f>
        <v>不适用采用100/100</v>
      </c>
      <c r="F411" s="17" t="str">
        <f>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IF(COUNTIFS(资产清单!$A$6:$A$25,A411)&lt;&gt;1,"",IF(COUNT(INDEX(资产清单!$L$6:$L$25,MATCH(A411,资产清单!$A$6:$A$25,0)))&lt;&gt;1,"",INDEX(资产清单!$L$6:$L$25,MATCH(A411,资产清单!$A$6:$A$25,0)))),"不适用")</f>
        <v>不适用</v>
      </c>
      <c r="G411" s="17" t="str">
        <f>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IF(COUNTIFS(市场案例库!$A$6:$A$35,C411)&lt;&gt;1,"",IF(COUNT(INDEX(市场案例库!$G$6:$G$35,MATCH(C411,市场案例库!$A$6:$A$35,0)))&lt;&gt;1,"",INDEX(市场案例库!$G$6:$G$35,MATCH(C411,市场案例库!$A$6:$A$35,0)))),"不适用")</f>
        <v>不适用</v>
      </c>
      <c r="H411" s="19">
        <f>测算参数!$B$6</f>
        <v>100</v>
      </c>
      <c r="I411" s="19">
        <f>IF(OR(COUNTIFS(市场案例库!$A$6:$A$35,C411)&lt;&gt;1,AND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OR(COUNT(IF(COUNTIFS(资产清单!$A$6:$A$25,A411)&lt;&gt;1,"",IF(COUNT(INDEX(资产清单!$L$6:$L$25,MATCH(A411,资产清单!$A$6:$A$25,0)))&lt;&gt;1,"",INDEX(资产清单!$L$6:$L$25,MATCH(A411,资产清单!$A$6:$A$25,0)))),IF(COUNTIFS(市场案例库!$A$6:$A$35,C411)&lt;&gt;1,"",IF(COUNT(INDEX(市场案例库!$G$6:$G$35,MATCH(C411,市场案例库!$A$6:$A$35,0)))&lt;&gt;1,"",INDEX(市场案例库!$G$6:$G$35,MATCH(C411,市场案例库!$A$6:$A$35,0)))))&lt;&gt;2,IF(COUNTIFS(资产清单!$A$6:$A$25,A411)&lt;&gt;1,"",IF(COUNT(INDEX(资产清单!$L$6:$L$25,MATCH(A411,资产清单!$A$6:$A$25,0)))&lt;&gt;1,"",INDEX(资产清单!$L$6:$L$25,MATCH(A411,资产清单!$A$6:$A$25,0))))&lt;=0,IF(COUNTIFS(市场案例库!$A$6:$A$35,C411)&lt;&gt;1,"",IF(COUNT(INDEX(市场案例库!$G$6:$G$35,MATCH(C411,市场案例库!$A$6:$A$35,0)))&lt;&gt;1,"",INDEX(市场案例库!$G$6:$G$35,MATCH(C411,市场案例库!$A$6:$A$35,0))))&lt;=0))),"",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LOOKUP(IF(COUNTIFS(市场案例库!$A$6:$A$35,C411)&lt;&gt;1,"",IF(COUNT(INDEX(市场案例库!$G$6:$G$35,MATCH(C411,市场案例库!$A$6:$A$35,0)))&lt;&gt;1,"",INDEX(市场案例库!$G$6:$G$35,MATCH(C411,市场案例库!$A$6:$A$35,0))))/IF(COUNTIFS(资产清单!$A$6:$A$25,A411)&lt;&gt;1,"",IF(COUNT(INDEX(资产清单!$L$6:$L$25,MATCH(A411,资产清单!$A$6:$A$25,0)))&lt;&gt;1,"",INDEX(资产清单!$L$6:$L$25,MATCH(A411,资产清单!$A$6:$A$25,0)))),测算参数!$A$15:$A$21,测算参数!$C$15:$C$21),测算参数!$B$6))</f>
        <v>100</v>
      </c>
      <c r="J411" s="21">
        <f>IF(OR(C411&lt;&gt;N411,COUNT(H411:I411)&lt;&gt;2,H411&lt;=0,I411&lt;=0),"",IF(AND(IF(COUNTIFS(资产清单!$A$6:$A$25,A411)&lt;&gt;1,"",IF(INDEX(资产清单!$J$6:$J$25,MATCH(A411,资产清单!$A$6:$A$25,0))="","",INDEX(资产清单!$J$6:$J$25,MATCH(A411,资产清单!$A$6:$A$25,0))))="元/㎡/月",IF(COUNTIFS(资产清单!$A$6:$A$25,A411)&lt;&gt;1,"",IF(INDEX(资产清单!$H$6:$H$25,MATCH(A411,资产清单!$A$6:$A$25,0))="","",INDEX(资产清单!$H$6:$H$25,MATCH(A411,资产清单!$A$6:$A$25,0))))&lt;&gt;"场地"),H411/I411,H411/H411))</f>
        <v>1</v>
      </c>
      <c r="K411" s="16" t="s">
        <v>245</v>
      </c>
      <c r="L411" s="16" t="s">
        <v>220</v>
      </c>
      <c r="M411" s="16" t="str">
        <f t="shared" si="54"/>
        <v>模拟评分记录完整</v>
      </c>
      <c r="N411" s="8" t="s">
        <v>172</v>
      </c>
    </row>
    <row r="412" spans="1:14" ht="46.05" customHeight="1">
      <c r="A412" s="16" t="s">
        <v>81</v>
      </c>
      <c r="B412" s="16">
        <v>2</v>
      </c>
      <c r="C412" s="17" t="str">
        <f>三案例选用!C14</f>
        <v>SC-020</v>
      </c>
      <c r="D412" s="16" t="s">
        <v>221</v>
      </c>
      <c r="E412" s="16" t="str">
        <f t="shared" ref="E412:E417" si="57">IF(TRUE,"适用","不适用采用100/100")</f>
        <v>适用</v>
      </c>
      <c r="F412" s="17" t="str">
        <f>IF(TRUE,IF(COUNTIFS(资产清单!$A$6:$A$25,A412)&lt;&gt;1,"",IF(INDEX(资产清单!$I$6:$I$25,MATCH(A412,资产清单!$A$6:$A$25,0))="","",INDEX(资产清单!$I$6:$I$25,MATCH(A412,资产清单!$A$6:$A$25,0)))),"不适用")</f>
        <v>露天场地</v>
      </c>
      <c r="G412" s="17" t="str">
        <f>IF(TRUE,IF(COUNTIFS(市场案例库!$A$6:$A$35,C412)&lt;&gt;1,"",IF(INDEX(市场案例库!$O$6:$O$35,MATCH(C412,市场案例库!$A$6:$A$35,0))="","",INDEX(市场案例库!$O$6:$O$35,MATCH(C412,市场案例库!$A$6:$A$35,0)))),"不适用")</f>
        <v>露天场地</v>
      </c>
      <c r="H412" s="19">
        <f>测算参数!$B$6</f>
        <v>100</v>
      </c>
      <c r="I412" s="10">
        <v>100</v>
      </c>
      <c r="J412" s="20">
        <f t="shared" ref="J412:J417" si="58">IF(OR(C412&lt;&gt;N412,COUNT(H412:I412)&lt;&gt;2,H412&lt;=0,I412&lt;=0),"",IF(TRUE,H412/I412,H412/H412))</f>
        <v>1</v>
      </c>
      <c r="K412" s="16" t="s">
        <v>245</v>
      </c>
      <c r="L412" s="16" t="s">
        <v>215</v>
      </c>
      <c r="M412" s="16" t="str">
        <f t="shared" si="54"/>
        <v>模拟评分记录完整</v>
      </c>
      <c r="N412" s="8" t="s">
        <v>172</v>
      </c>
    </row>
    <row r="413" spans="1:14" ht="46.05" customHeight="1">
      <c r="A413" s="16" t="s">
        <v>81</v>
      </c>
      <c r="B413" s="16">
        <v>2</v>
      </c>
      <c r="C413" s="17" t="str">
        <f>三案例选用!C14</f>
        <v>SC-020</v>
      </c>
      <c r="D413" s="16" t="s">
        <v>222</v>
      </c>
      <c r="E413" s="16" t="str">
        <f t="shared" si="57"/>
        <v>适用</v>
      </c>
      <c r="F413" s="17" t="str">
        <f>IF(TRUE,IF(COUNTIFS(资产清单!$A$6:$A$25,A413)&lt;&gt;1,"",IF(INDEX(资产清单!$I$6:$I$25,MATCH(A413,资产清单!$A$6:$A$25,0))="","",INDEX(资产清单!$I$6:$I$25,MATCH(A413,资产清单!$A$6:$A$25,0)))),"不适用")</f>
        <v>露天场地</v>
      </c>
      <c r="G413" s="17" t="str">
        <f>IF(TRUE,IF(COUNTIFS(市场案例库!$A$6:$A$35,C413)&lt;&gt;1,"",IF(INDEX(市场案例库!$O$6:$O$35,MATCH(C413,市场案例库!$A$6:$A$35,0))="","",INDEX(市场案例库!$O$6:$O$35,MATCH(C413,市场案例库!$A$6:$A$35,0)))),"不适用")</f>
        <v>露天场地</v>
      </c>
      <c r="H413" s="19">
        <f>测算参数!$B$6</f>
        <v>100</v>
      </c>
      <c r="I413" s="10">
        <v>100</v>
      </c>
      <c r="J413" s="20">
        <f t="shared" si="58"/>
        <v>1</v>
      </c>
      <c r="K413" s="16" t="s">
        <v>245</v>
      </c>
      <c r="L413" s="16" t="s">
        <v>215</v>
      </c>
      <c r="M413" s="16" t="str">
        <f t="shared" si="54"/>
        <v>模拟评分记录完整</v>
      </c>
      <c r="N413" s="8" t="s">
        <v>172</v>
      </c>
    </row>
    <row r="414" spans="1:14" ht="46.05" customHeight="1">
      <c r="A414" s="16" t="s">
        <v>81</v>
      </c>
      <c r="B414" s="16">
        <v>2</v>
      </c>
      <c r="C414" s="17" t="str">
        <f>三案例选用!C14</f>
        <v>SC-020</v>
      </c>
      <c r="D414" s="16" t="s">
        <v>224</v>
      </c>
      <c r="E414" s="16" t="str">
        <f t="shared" si="57"/>
        <v>适用</v>
      </c>
      <c r="F414" s="17" t="str">
        <f>IF(TRUE,IF(COUNTIFS(资产清单!$A$6:$A$25,A414)&lt;&gt;1,"",IF(INDEX(资产清单!$I$6:$I$25,MATCH(A414,资产清单!$A$6:$A$25,0))="","",INDEX(资产清单!$I$6:$I$25,MATCH(A414,资产清单!$A$6:$A$25,0)))),"不适用")</f>
        <v>露天场地</v>
      </c>
      <c r="G414" s="17" t="str">
        <f>IF(TRUE,IF(COUNTIFS(市场案例库!$A$6:$A$35,C414)&lt;&gt;1,"",IF(INDEX(市场案例库!$O$6:$O$35,MATCH(C414,市场案例库!$A$6:$A$35,0))="","",INDEX(市场案例库!$O$6:$O$35,MATCH(C414,市场案例库!$A$6:$A$35,0)))),"不适用")</f>
        <v>露天场地</v>
      </c>
      <c r="H414" s="19">
        <f>测算参数!$B$6</f>
        <v>100</v>
      </c>
      <c r="I414" s="10">
        <v>100</v>
      </c>
      <c r="J414" s="20">
        <f t="shared" si="58"/>
        <v>1</v>
      </c>
      <c r="K414" s="16" t="s">
        <v>245</v>
      </c>
      <c r="L414" s="16" t="s">
        <v>215</v>
      </c>
      <c r="M414" s="16" t="str">
        <f t="shared" si="54"/>
        <v>模拟评分记录完整</v>
      </c>
      <c r="N414" s="8" t="s">
        <v>172</v>
      </c>
    </row>
    <row r="415" spans="1:14" ht="46.05" customHeight="1">
      <c r="A415" s="16" t="s">
        <v>81</v>
      </c>
      <c r="B415" s="16">
        <v>2</v>
      </c>
      <c r="C415" s="17" t="str">
        <f>三案例选用!C14</f>
        <v>SC-020</v>
      </c>
      <c r="D415" s="16" t="s">
        <v>225</v>
      </c>
      <c r="E415" s="16" t="str">
        <f t="shared" si="57"/>
        <v>适用</v>
      </c>
      <c r="F415" s="17" t="str">
        <f>IF(TRUE,IF(COUNTIFS(资产清单!$A$6:$A$25,A415)&lt;&gt;1,"",IF(INDEX(资产清单!$I$6:$I$25,MATCH(A415,资产清单!$A$6:$A$25,0))="","",INDEX(资产清单!$I$6:$I$25,MATCH(A415,资产清单!$A$6:$A$25,0)))),"不适用")</f>
        <v>露天场地</v>
      </c>
      <c r="G415" s="17" t="str">
        <f>IF(TRUE,IF(COUNTIFS(市场案例库!$A$6:$A$35,C415)&lt;&gt;1,"",IF(INDEX(市场案例库!$O$6:$O$35,MATCH(C415,市场案例库!$A$6:$A$35,0))="","",INDEX(市场案例库!$O$6:$O$35,MATCH(C415,市场案例库!$A$6:$A$35,0)))),"不适用")</f>
        <v>露天场地</v>
      </c>
      <c r="H415" s="19">
        <f>测算参数!$B$6</f>
        <v>100</v>
      </c>
      <c r="I415" s="10">
        <v>100</v>
      </c>
      <c r="J415" s="20">
        <f t="shared" si="58"/>
        <v>1</v>
      </c>
      <c r="K415" s="16" t="s">
        <v>245</v>
      </c>
      <c r="L415" s="16" t="s">
        <v>215</v>
      </c>
      <c r="M415" s="16" t="str">
        <f t="shared" si="54"/>
        <v>模拟评分记录完整</v>
      </c>
      <c r="N415" s="8" t="s">
        <v>172</v>
      </c>
    </row>
    <row r="416" spans="1:14" ht="46.05" customHeight="1">
      <c r="A416" s="16" t="s">
        <v>81</v>
      </c>
      <c r="B416" s="16">
        <v>2</v>
      </c>
      <c r="C416" s="17" t="str">
        <f>三案例选用!C14</f>
        <v>SC-020</v>
      </c>
      <c r="D416" s="16" t="s">
        <v>226</v>
      </c>
      <c r="E416" s="16" t="str">
        <f t="shared" si="57"/>
        <v>适用</v>
      </c>
      <c r="F416" s="17" t="str">
        <f>IF(TRUE,IF(COUNTIFS(资产清单!$A$6:$A$25,A416)&lt;&gt;1,"",IF(INDEX(资产清单!$I$6:$I$25,MATCH(A416,资产清单!$A$6:$A$25,0))="","",INDEX(资产清单!$I$6:$I$25,MATCH(A416,资产清单!$A$6:$A$25,0)))),"不适用")</f>
        <v>露天场地</v>
      </c>
      <c r="G416" s="17" t="str">
        <f>IF(TRUE,IF(COUNTIFS(市场案例库!$A$6:$A$35,C416)&lt;&gt;1,"",IF(INDEX(市场案例库!$O$6:$O$35,MATCH(C416,市场案例库!$A$6:$A$35,0))="","",INDEX(市场案例库!$O$6:$O$35,MATCH(C416,市场案例库!$A$6:$A$35,0)))),"不适用")</f>
        <v>露天场地</v>
      </c>
      <c r="H416" s="19">
        <f>测算参数!$B$6</f>
        <v>100</v>
      </c>
      <c r="I416" s="10">
        <v>100</v>
      </c>
      <c r="J416" s="20">
        <f t="shared" si="58"/>
        <v>1</v>
      </c>
      <c r="K416" s="16" t="s">
        <v>245</v>
      </c>
      <c r="L416" s="16" t="s">
        <v>215</v>
      </c>
      <c r="M416" s="16" t="str">
        <f t="shared" si="54"/>
        <v>模拟评分记录完整</v>
      </c>
      <c r="N416" s="8" t="s">
        <v>172</v>
      </c>
    </row>
    <row r="417" spans="1:14" ht="46.05" customHeight="1">
      <c r="A417" s="16" t="s">
        <v>81</v>
      </c>
      <c r="B417" s="16">
        <v>2</v>
      </c>
      <c r="C417" s="17" t="str">
        <f>三案例选用!C14</f>
        <v>SC-020</v>
      </c>
      <c r="D417" s="16" t="s">
        <v>227</v>
      </c>
      <c r="E417" s="16" t="str">
        <f t="shared" si="57"/>
        <v>适用</v>
      </c>
      <c r="F417" s="17" t="str">
        <f>IF(TRUE,IF(COUNTIFS(资产清单!$A$6:$A$25,A417)&lt;&gt;1,"",IF(INDEX(资产清单!$I$6:$I$25,MATCH(A417,资产清单!$A$6:$A$25,0))="","",INDEX(资产清单!$I$6:$I$25,MATCH(A417,资产清单!$A$6:$A$25,0)))),"不适用")</f>
        <v>露天场地</v>
      </c>
      <c r="G417" s="17" t="str">
        <f>IF(TRUE,IF(COUNTIFS(市场案例库!$A$6:$A$35,C417)&lt;&gt;1,"",IF(INDEX(市场案例库!$O$6:$O$35,MATCH(C417,市场案例库!$A$6:$A$35,0))="","",INDEX(市场案例库!$O$6:$O$35,MATCH(C417,市场案例库!$A$6:$A$35,0)))),"不适用")</f>
        <v>露天场地</v>
      </c>
      <c r="H417" s="19">
        <f>测算参数!$B$6</f>
        <v>100</v>
      </c>
      <c r="I417" s="10">
        <v>100</v>
      </c>
      <c r="J417" s="20">
        <f t="shared" si="58"/>
        <v>1</v>
      </c>
      <c r="K417" s="16" t="s">
        <v>245</v>
      </c>
      <c r="L417" s="16" t="s">
        <v>215</v>
      </c>
      <c r="M417" s="16" t="str">
        <f t="shared" si="54"/>
        <v>模拟评分记录完整</v>
      </c>
      <c r="N417" s="8" t="s">
        <v>172</v>
      </c>
    </row>
    <row r="418" spans="1:14" ht="46.05" customHeight="1">
      <c r="A418" s="16" t="s">
        <v>81</v>
      </c>
      <c r="B418" s="16">
        <v>2</v>
      </c>
      <c r="C418" s="17" t="str">
        <f>三案例选用!C14</f>
        <v>SC-020</v>
      </c>
      <c r="D418" s="16" t="s">
        <v>228</v>
      </c>
      <c r="E418" s="17" t="str">
        <f>IF(AND(IF(COUNTIFS(资产清单!$A$6:$A$25,A418)&lt;&gt;1,"",IF(INDEX(资产清单!$H$6:$H$25,MATCH(A418,资产清单!$A$6:$A$25,0))="","",INDEX(资产清单!$H$6:$H$25,MATCH(A418,资产清单!$A$6:$A$25,0))))&lt;&gt;"场地",IF(COUNTIFS(资产清单!$A$6:$A$25,A418)&lt;&gt;1,"",IF(INDEX(资产清单!$H$6:$H$25,MATCH(A418,资产清单!$A$6:$A$25,0))="","",INDEX(资产清单!$H$6:$H$25,MATCH(A418,资产清单!$A$6:$A$25,0))))&lt;&gt;"车位",IF(COUNTIFS(资产清单!$A$6:$A$25,A418)&lt;&gt;1,"",IF(INDEX(资产清单!$H$6:$H$25,MATCH(A418,资产清单!$A$6:$A$25,0))="","",INDEX(资产清单!$H$6:$H$25,MATCH(A418,资产清单!$A$6:$A$25,0))))&lt;&gt;"通信基站"),"适用","不适用采用100/100")</f>
        <v>不适用采用100/100</v>
      </c>
      <c r="F418" s="17" t="str">
        <f>IF(AND(IF(COUNTIFS(资产清单!$A$6:$A$25,A418)&lt;&gt;1,"",IF(INDEX(资产清单!$H$6:$H$25,MATCH(A418,资产清单!$A$6:$A$25,0))="","",INDEX(资产清单!$H$6:$H$25,MATCH(A418,资产清单!$A$6:$A$25,0))))&lt;&gt;"场地",IF(COUNTIFS(资产清单!$A$6:$A$25,A418)&lt;&gt;1,"",IF(INDEX(资产清单!$H$6:$H$25,MATCH(A418,资产清单!$A$6:$A$25,0))="","",INDEX(资产清单!$H$6:$H$25,MATCH(A418,资产清单!$A$6:$A$25,0))))&lt;&gt;"车位",IF(COUNTIFS(资产清单!$A$6:$A$25,A418)&lt;&gt;1,"",IF(INDEX(资产清单!$H$6:$H$25,MATCH(A418,资产清单!$A$6:$A$25,0))="","",INDEX(资产清单!$H$6:$H$25,MATCH(A418,资产清单!$A$6:$A$25,0))))&lt;&gt;"通信基站"),IF(COUNTIFS(资产清单!$A$6:$A$25,A418)&lt;&gt;1,"",IF(INDEX(资产清单!$I$6:$I$25,MATCH(A418,资产清单!$A$6:$A$25,0))="","",INDEX(资产清单!$I$6:$I$25,MATCH(A418,资产清单!$A$6:$A$25,0)))),"不适用")</f>
        <v>不适用</v>
      </c>
      <c r="G418" s="17" t="str">
        <f>IF(AND(IF(COUNTIFS(资产清单!$A$6:$A$25,A418)&lt;&gt;1,"",IF(INDEX(资产清单!$H$6:$H$25,MATCH(A418,资产清单!$A$6:$A$25,0))="","",INDEX(资产清单!$H$6:$H$25,MATCH(A418,资产清单!$A$6:$A$25,0))))&lt;&gt;"场地",IF(COUNTIFS(资产清单!$A$6:$A$25,A418)&lt;&gt;1,"",IF(INDEX(资产清单!$H$6:$H$25,MATCH(A418,资产清单!$A$6:$A$25,0))="","",INDEX(资产清单!$H$6:$H$25,MATCH(A418,资产清单!$A$6:$A$25,0))))&lt;&gt;"车位",IF(COUNTIFS(资产清单!$A$6:$A$25,A418)&lt;&gt;1,"",IF(INDEX(资产清单!$H$6:$H$25,MATCH(A418,资产清单!$A$6:$A$25,0))="","",INDEX(资产清单!$H$6:$H$25,MATCH(A418,资产清单!$A$6:$A$25,0))))&lt;&gt;"通信基站"),IF(COUNTIFS(市场案例库!$A$6:$A$35,C418)&lt;&gt;1,"",IF(INDEX(市场案例库!$O$6:$O$35,MATCH(C418,市场案例库!$A$6:$A$35,0))="","",INDEX(市场案例库!$O$6:$O$35,MATCH(C418,市场案例库!$A$6:$A$35,0)))),"不适用")</f>
        <v>不适用</v>
      </c>
      <c r="H418" s="19">
        <f>测算参数!$B$6</f>
        <v>100</v>
      </c>
      <c r="I418" s="10">
        <v>100</v>
      </c>
      <c r="J418" s="21">
        <f>IF(OR(C418&lt;&gt;N418,COUNT(H418:I418)&lt;&gt;2,H418&lt;=0,I418&lt;=0),"",IF(AND(IF(COUNTIFS(资产清单!$A$6:$A$25,A418)&lt;&gt;1,"",IF(INDEX(资产清单!$H$6:$H$25,MATCH(A418,资产清单!$A$6:$A$25,0))="","",INDEX(资产清单!$H$6:$H$25,MATCH(A418,资产清单!$A$6:$A$25,0))))&lt;&gt;"场地",IF(COUNTIFS(资产清单!$A$6:$A$25,A418)&lt;&gt;1,"",IF(INDEX(资产清单!$H$6:$H$25,MATCH(A418,资产清单!$A$6:$A$25,0))="","",INDEX(资产清单!$H$6:$H$25,MATCH(A418,资产清单!$A$6:$A$25,0))))&lt;&gt;"车位",IF(COUNTIFS(资产清单!$A$6:$A$25,A418)&lt;&gt;1,"",IF(INDEX(资产清单!$H$6:$H$25,MATCH(A418,资产清单!$A$6:$A$25,0))="","",INDEX(资产清单!$H$6:$H$25,MATCH(A418,资产清单!$A$6:$A$25,0))))&lt;&gt;"通信基站"),H418/I418,H418/H418))</f>
        <v>1</v>
      </c>
      <c r="K418" s="16" t="s">
        <v>245</v>
      </c>
      <c r="L418" s="16" t="s">
        <v>215</v>
      </c>
      <c r="M418" s="16" t="str">
        <f t="shared" si="54"/>
        <v>模拟评分记录完整</v>
      </c>
      <c r="N418" s="8" t="s">
        <v>172</v>
      </c>
    </row>
    <row r="419" spans="1:14" ht="46.05" customHeight="1">
      <c r="A419" s="16" t="s">
        <v>81</v>
      </c>
      <c r="B419" s="16">
        <v>2</v>
      </c>
      <c r="C419" s="17" t="str">
        <f>三案例选用!C14</f>
        <v>SC-020</v>
      </c>
      <c r="D419" s="16" t="s">
        <v>229</v>
      </c>
      <c r="E419" s="17" t="str">
        <f>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"适用","不适用采用100/100")</f>
        <v>不适用采用100/100</v>
      </c>
      <c r="F419" s="17" t="str">
        <f>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IF(COUNTIFS(资产清单!$A$6:$A$25,A419)&lt;&gt;1,"",IF(COUNT(INDEX(资产清单!$N$6:$N$25,MATCH(A419,资产清单!$A$6:$A$25,0)))&lt;&gt;1,"",INDEX(资产清单!$N$6:$N$25,MATCH(A419,资产清单!$A$6:$A$25,0)))),"不适用")</f>
        <v>不适用</v>
      </c>
      <c r="G419" s="17" t="str">
        <f>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IF(COUNTIFS(市场案例库!$A$6:$A$35,C419)&lt;&gt;1,"",IF(COUNT(INDEX(市场案例库!$I$6:$I$35,MATCH(C419,市场案例库!$A$6:$A$35,0)))&lt;&gt;1,"",INDEX(市场案例库!$I$6:$I$35,MATCH(C419,市场案例库!$A$6:$A$35,0)))),"不适用")</f>
        <v>不适用</v>
      </c>
      <c r="H419" s="19">
        <f>测算参数!$B$6</f>
        <v>100</v>
      </c>
      <c r="I419" s="19">
        <f>IF(OR(COUNTIFS(市场案例库!$A$6:$A$35,C419)&lt;&gt;1,AND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OR(COUNT(IF(COUNTIFS(资产清单!$A$6:$A$25,A419)&lt;&gt;1,"",IF(COUNT(INDEX(资产清单!$N$6:$N$25,MATCH(A419,资产清单!$A$6:$A$25,0)))&lt;&gt;1,"",INDEX(资产清单!$N$6:$N$25,MATCH(A419,资产清单!$A$6:$A$25,0)))),IF(COUNTIFS(市场案例库!$A$6:$A$35,C419)&lt;&gt;1,"",IF(COUNT(INDEX(市场案例库!$I$6:$I$35,MATCH(C419,市场案例库!$A$6:$A$35,0)))&lt;&gt;1,"",INDEX(市场案例库!$I$6:$I$35,MATCH(C419,市场案例库!$A$6:$A$35,0)))))&lt;&gt;2,IF(COUNTIFS(资产清单!$A$6:$A$25,A419)&lt;&gt;1,"",IF(COUNT(INDEX(资产清单!$N$6:$N$25,MATCH(A419,资产清单!$A$6:$A$25,0)))&lt;&gt;1,"",INDEX(资产清单!$N$6:$N$25,MATCH(A419,资产清单!$A$6:$A$25,0))))&lt;1,IF(COUNTIFS(资产清单!$A$6:$A$25,A419)&lt;&gt;1,"",IF(COUNT(INDEX(资产清单!$N$6:$N$25,MATCH(A419,资产清单!$A$6:$A$25,0)))&lt;&gt;1,"",INDEX(资产清单!$N$6:$N$25,MATCH(A419,资产清单!$A$6:$A$25,0))))&gt;4,IF(COUNTIFS(市场案例库!$A$6:$A$35,C419)&lt;&gt;1,"",IF(COUNT(INDEX(市场案例库!$I$6:$I$35,MATCH(C419,市场案例库!$A$6:$A$35,0)))&lt;&gt;1,"",INDEX(市场案例库!$I$6:$I$35,MATCH(C419,市场案例库!$A$6:$A$35,0))))&lt;1,IF(COUNTIFS(市场案例库!$A$6:$A$35,C419)&lt;&gt;1,"",IF(COUNT(INDEX(市场案例库!$I$6:$I$35,MATCH(C419,市场案例库!$A$6:$A$35,0)))&lt;&gt;1,"",INDEX(市场案例库!$I$6:$I$35,MATCH(C419,市场案例库!$A$6:$A$35,0))))&gt;4))),"",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INDEX(测算参数!$B$35:$B$41,MATCH(IF(COUNTIFS(市场案例库!$A$6:$A$35,C419)&lt;&gt;1,"",IF(COUNT(INDEX(市场案例库!$I$6:$I$35,MATCH(C419,市场案例库!$A$6:$A$35,0)))&lt;&gt;1,"",INDEX(市场案例库!$I$6:$I$35,MATCH(C419,市场案例库!$A$6:$A$35,0))))-IF(COUNTIFS(资产清单!$A$6:$A$25,A419)&lt;&gt;1,"",IF(COUNT(INDEX(资产清单!$N$6:$N$25,MATCH(A419,资产清单!$A$6:$A$25,0)))&lt;&gt;1,"",INDEX(资产清单!$N$6:$N$25,MATCH(A419,资产清单!$A$6:$A$25,0)))),测算参数!$A$35:$A$41,0)),测算参数!$B$6))</f>
        <v>100</v>
      </c>
      <c r="J419" s="21">
        <f>IF(OR(C419&lt;&gt;N419,COUNT(H419:I419)&lt;&gt;2,H419&lt;=0,I419&lt;=0),"",IF(AND(IF(COUNTIFS(资产清单!$A$6:$A$25,A419)&lt;&gt;1,"",IF(INDEX(资产清单!$H$6:$H$25,MATCH(A419,资产清单!$A$6:$A$25,0))="","",INDEX(资产清单!$H$6:$H$25,MATCH(A419,资产清单!$A$6:$A$25,0))))&lt;&gt;"场地",IF(COUNTIFS(资产清单!$A$6:$A$25,A419)&lt;&gt;1,"",IF(INDEX(资产清单!$H$6:$H$25,MATCH(A419,资产清单!$A$6:$A$25,0))="","",INDEX(资产清单!$H$6:$H$25,MATCH(A419,资产清单!$A$6:$A$25,0))))&lt;&gt;"车位",IF(COUNTIFS(资产清单!$A$6:$A$25,A419)&lt;&gt;1,"",IF(INDEX(资产清单!$H$6:$H$25,MATCH(A419,资产清单!$A$6:$A$25,0))="","",INDEX(资产清单!$H$6:$H$25,MATCH(A419,资产清单!$A$6:$A$25,0))))&lt;&gt;"通信基站"),H419/I419,H419/H419))</f>
        <v>1</v>
      </c>
      <c r="K419" s="16" t="s">
        <v>245</v>
      </c>
      <c r="L419" s="16" t="s">
        <v>230</v>
      </c>
      <c r="M419" s="16" t="str">
        <f t="shared" si="54"/>
        <v>模拟评分记录完整</v>
      </c>
      <c r="N419" s="8" t="s">
        <v>172</v>
      </c>
    </row>
    <row r="420" spans="1:14" ht="46.05" customHeight="1">
      <c r="A420" s="16" t="s">
        <v>81</v>
      </c>
      <c r="B420" s="16">
        <v>2</v>
      </c>
      <c r="C420" s="17" t="str">
        <f>三案例选用!C14</f>
        <v>SC-020</v>
      </c>
      <c r="D420" s="16" t="s">
        <v>231</v>
      </c>
      <c r="E420" s="17" t="str">
        <f>IF(AND(IF(COUNTIFS(资产清单!$A$6:$A$25,A420)&lt;&gt;1,"",IF(INDEX(资产清单!$H$6:$H$25,MATCH(A420,资产清单!$A$6:$A$25,0))="","",INDEX(资产清单!$H$6:$H$25,MATCH(A420,资产清单!$A$6:$A$25,0))))&lt;&gt;"场地",IF(COUNTIFS(资产清单!$A$6:$A$25,A420)&lt;&gt;1,"",IF(INDEX(资产清单!$H$6:$H$25,MATCH(A420,资产清单!$A$6:$A$25,0))="","",INDEX(资产清单!$H$6:$H$25,MATCH(A420,资产清单!$A$6:$A$25,0))))&lt;&gt;"车位",IF(COUNTIFS(资产清单!$A$6:$A$25,A420)&lt;&gt;1,"",IF(INDEX(资产清单!$H$6:$H$25,MATCH(A420,资产清单!$A$6:$A$25,0))="","",INDEX(资产清单!$H$6:$H$25,MATCH(A420,资产清单!$A$6:$A$25,0))))&lt;&gt;"通信基站"),"适用","不适用采用100/100")</f>
        <v>不适用采用100/100</v>
      </c>
      <c r="F420" s="17" t="str">
        <f>IF(AND(IF(COUNTIFS(资产清单!$A$6:$A$25,A420)&lt;&gt;1,"",IF(INDEX(资产清单!$H$6:$H$25,MATCH(A420,资产清单!$A$6:$A$25,0))="","",INDEX(资产清单!$H$6:$H$25,MATCH(A420,资产清单!$A$6:$A$25,0))))&lt;&gt;"场地",IF(COUNTIFS(资产清单!$A$6:$A$25,A420)&lt;&gt;1,"",IF(INDEX(资产清单!$H$6:$H$25,MATCH(A420,资产清单!$A$6:$A$25,0))="","",INDEX(资产清单!$H$6:$H$25,MATCH(A420,资产清单!$A$6:$A$25,0))))&lt;&gt;"车位",IF(COUNTIFS(资产清单!$A$6:$A$25,A420)&lt;&gt;1,"",IF(INDEX(资产清单!$H$6:$H$25,MATCH(A420,资产清单!$A$6:$A$25,0))="","",INDEX(资产清单!$H$6:$H$25,MATCH(A420,资产清单!$A$6:$A$25,0))))&lt;&gt;"通信基站"),IF(COUNTIFS(资产清单!$A$6:$A$25,A420)&lt;&gt;1,"",IF(INDEX(资产清单!$I$6:$I$25,MATCH(A420,资产清单!$A$6:$A$25,0))="","",INDEX(资产清单!$I$6:$I$25,MATCH(A420,资产清单!$A$6:$A$25,0)))),"不适用")</f>
        <v>不适用</v>
      </c>
      <c r="G420" s="17" t="str">
        <f>IF(AND(IF(COUNTIFS(资产清单!$A$6:$A$25,A420)&lt;&gt;1,"",IF(INDEX(资产清单!$H$6:$H$25,MATCH(A420,资产清单!$A$6:$A$25,0))="","",INDEX(资产清单!$H$6:$H$25,MATCH(A420,资产清单!$A$6:$A$25,0))))&lt;&gt;"场地",IF(COUNTIFS(资产清单!$A$6:$A$25,A420)&lt;&gt;1,"",IF(INDEX(资产清单!$H$6:$H$25,MATCH(A420,资产清单!$A$6:$A$25,0))="","",INDEX(资产清单!$H$6:$H$25,MATCH(A420,资产清单!$A$6:$A$25,0))))&lt;&gt;"车位",IF(COUNTIFS(资产清单!$A$6:$A$25,A420)&lt;&gt;1,"",IF(INDEX(资产清单!$H$6:$H$25,MATCH(A420,资产清单!$A$6:$A$25,0))="","",INDEX(资产清单!$H$6:$H$25,MATCH(A420,资产清单!$A$6:$A$25,0))))&lt;&gt;"通信基站"),IF(COUNTIFS(市场案例库!$A$6:$A$35,C420)&lt;&gt;1,"",IF(INDEX(市场案例库!$O$6:$O$35,MATCH(C420,市场案例库!$A$6:$A$35,0))="","",INDEX(市场案例库!$O$6:$O$35,MATCH(C420,市场案例库!$A$6:$A$35,0)))),"不适用")</f>
        <v>不适用</v>
      </c>
      <c r="H420" s="19">
        <f>测算参数!$B$6</f>
        <v>100</v>
      </c>
      <c r="I420" s="10">
        <v>100</v>
      </c>
      <c r="J420" s="21">
        <f>IF(OR(C420&lt;&gt;N420,COUNT(H420:I420)&lt;&gt;2,H420&lt;=0,I420&lt;=0),"",IF(AND(IF(COUNTIFS(资产清单!$A$6:$A$25,A420)&lt;&gt;1,"",IF(INDEX(资产清单!$H$6:$H$25,MATCH(A420,资产清单!$A$6:$A$25,0))="","",INDEX(资产清单!$H$6:$H$25,MATCH(A420,资产清单!$A$6:$A$25,0))))&lt;&gt;"场地",IF(COUNTIFS(资产清单!$A$6:$A$25,A420)&lt;&gt;1,"",IF(INDEX(资产清单!$H$6:$H$25,MATCH(A420,资产清单!$A$6:$A$25,0))="","",INDEX(资产清单!$H$6:$H$25,MATCH(A420,资产清单!$A$6:$A$25,0))))&lt;&gt;"车位",IF(COUNTIFS(资产清单!$A$6:$A$25,A420)&lt;&gt;1,"",IF(INDEX(资产清单!$H$6:$H$25,MATCH(A420,资产清单!$A$6:$A$25,0))="","",INDEX(资产清单!$H$6:$H$25,MATCH(A420,资产清单!$A$6:$A$25,0))))&lt;&gt;"通信基站"),H420/I420,H420/H420))</f>
        <v>1</v>
      </c>
      <c r="K420" s="16" t="s">
        <v>245</v>
      </c>
      <c r="L420" s="16" t="s">
        <v>215</v>
      </c>
      <c r="M420" s="16" t="str">
        <f t="shared" si="54"/>
        <v>模拟评分记录完整</v>
      </c>
      <c r="N420" s="8" t="s">
        <v>172</v>
      </c>
    </row>
    <row r="421" spans="1:14" ht="46.05" customHeight="1">
      <c r="A421" s="16" t="s">
        <v>81</v>
      </c>
      <c r="B421" s="16">
        <v>2</v>
      </c>
      <c r="C421" s="17" t="str">
        <f>三案例选用!C14</f>
        <v>SC-020</v>
      </c>
      <c r="D421" s="16" t="s">
        <v>232</v>
      </c>
      <c r="E421" s="16" t="str">
        <f>IF(TRUE,"适用","不适用采用100/100")</f>
        <v>适用</v>
      </c>
      <c r="F421" s="17" t="str">
        <f>IF(TRUE,IF(COUNTIFS(资产清单!$A$6:$A$25,A421)&lt;&gt;1,"",IF(INDEX(资产清单!$I$6:$I$25,MATCH(A421,资产清单!$A$6:$A$25,0))="","",INDEX(资产清单!$I$6:$I$25,MATCH(A421,资产清单!$A$6:$A$25,0)))),"不适用")</f>
        <v>露天场地</v>
      </c>
      <c r="G421" s="17" t="str">
        <f>IF(TRUE,IF(COUNTIFS(市场案例库!$A$6:$A$35,C421)&lt;&gt;1,"",IF(INDEX(市场案例库!$O$6:$O$35,MATCH(C421,市场案例库!$A$6:$A$35,0))="","",INDEX(市场案例库!$O$6:$O$35,MATCH(C421,市场案例库!$A$6:$A$35,0)))),"不适用")</f>
        <v>露天场地</v>
      </c>
      <c r="H421" s="19">
        <f>测算参数!$B$6</f>
        <v>100</v>
      </c>
      <c r="I421" s="10">
        <v>100</v>
      </c>
      <c r="J421" s="20">
        <f>IF(OR(C421&lt;&gt;N421,COUNT(H421:I421)&lt;&gt;2,H421&lt;=0,I421&lt;=0),"",IF(TRUE,H421/I421,H421/H421))</f>
        <v>1</v>
      </c>
      <c r="K421" s="16" t="s">
        <v>245</v>
      </c>
      <c r="L421" s="16" t="s">
        <v>215</v>
      </c>
      <c r="M421" s="16" t="str">
        <f t="shared" si="54"/>
        <v>模拟评分记录完整</v>
      </c>
      <c r="N421" s="8" t="s">
        <v>172</v>
      </c>
    </row>
    <row r="422" spans="1:14" ht="46.05" customHeight="1">
      <c r="A422" s="16" t="s">
        <v>81</v>
      </c>
      <c r="B422" s="16">
        <v>3</v>
      </c>
      <c r="C422" s="17" t="str">
        <f>三案例选用!D14</f>
        <v>SC-021</v>
      </c>
      <c r="D422" s="16" t="s">
        <v>209</v>
      </c>
      <c r="E422" s="16" t="str">
        <f>IF(TRUE,"适用","不适用采用100/100")</f>
        <v>适用</v>
      </c>
      <c r="F422" s="17" t="str">
        <f>IF(TRUE,IF(COUNTIFS(资产清单!$A$6:$A$25,A422)&lt;&gt;1,"",IF(INDEX(资产清单!$I$6:$I$25,MATCH(A422,资产清单!$A$6:$A$25,0))="","",INDEX(资产清单!$I$6:$I$25,MATCH(A422,资产清单!$A$6:$A$25,0)))),"不适用")</f>
        <v>露天场地</v>
      </c>
      <c r="G422" s="17" t="str">
        <f>IF(TRUE,IF(COUNTIFS(市场案例库!$A$6:$A$35,C422)&lt;&gt;1,"",IF(INDEX(市场案例库!$O$6:$O$35,MATCH(C422,市场案例库!$A$6:$A$35,0))="","",INDEX(市场案例库!$O$6:$O$35,MATCH(C422,市场案例库!$A$6:$A$35,0)))),"不适用")</f>
        <v>露天场地</v>
      </c>
      <c r="H422" s="19">
        <f>测算参数!$B$6</f>
        <v>100</v>
      </c>
      <c r="I422" s="19">
        <f>IF(OR(COUNTIFS(市场案例库!$A$6:$A$35,C422)&lt;&gt;1),"",IF(COUNTIFS(市场案例库!$A$6:$A$35,C422)&lt;&gt;1,"",IF(COUNT(INDEX(市场案例库!$M$6:$M$35,MATCH(C422,市场案例库!$A$6:$A$35,0)))&lt;&gt;1,"",INDEX(市场案例库!$M$6:$M$35,MATCH(C422,市场案例库!$A$6:$A$35,0)))))</f>
        <v>102</v>
      </c>
      <c r="J422" s="20">
        <f>IF(OR(C422&lt;&gt;N422,COUNT(H422:I422)&lt;&gt;2,H422&lt;=0,I422&lt;=0),"",IF(TRUE,H422/I422,H422/H422))</f>
        <v>0.98039215686274506</v>
      </c>
      <c r="K422" s="16" t="s">
        <v>245</v>
      </c>
      <c r="L422" s="16" t="s">
        <v>211</v>
      </c>
      <c r="M422" s="16" t="str">
        <f t="shared" si="54"/>
        <v>模拟评分记录完整</v>
      </c>
      <c r="N422" s="8" t="s">
        <v>173</v>
      </c>
    </row>
    <row r="423" spans="1:14" ht="46.05" customHeight="1">
      <c r="A423" s="16" t="s">
        <v>81</v>
      </c>
      <c r="B423" s="16">
        <v>3</v>
      </c>
      <c r="C423" s="17" t="str">
        <f>三案例选用!D14</f>
        <v>SC-021</v>
      </c>
      <c r="D423" s="16" t="s">
        <v>212</v>
      </c>
      <c r="E423" s="16" t="str">
        <f>IF(TRUE,"适用","不适用采用100/100")</f>
        <v>适用</v>
      </c>
      <c r="F423" s="17" t="str">
        <f>IF(TRUE,IF(COUNTIFS(资产清单!$A$6:$A$25,A423)&lt;&gt;1,"",IF(INDEX(资产清单!$I$6:$I$25,MATCH(A423,资产清单!$A$6:$A$25,0))="","",INDEX(资产清单!$I$6:$I$25,MATCH(A423,资产清单!$A$6:$A$25,0)))),"不适用")</f>
        <v>露天场地</v>
      </c>
      <c r="G423" s="17" t="str">
        <f>IF(TRUE,IF(COUNTIFS(市场案例库!$A$6:$A$35,C423)&lt;&gt;1,"",IF(INDEX(市场案例库!$O$6:$O$35,MATCH(C423,市场案例库!$A$6:$A$35,0))="","",INDEX(市场案例库!$O$6:$O$35,MATCH(C423,市场案例库!$A$6:$A$35,0)))),"不适用")</f>
        <v>露天场地</v>
      </c>
      <c r="H423" s="19">
        <f>测算参数!$B$6</f>
        <v>100</v>
      </c>
      <c r="I423" s="19">
        <f>IF(OR(COUNTIFS(市场案例库!$A$6:$A$35,C423)&lt;&gt;1),"",IF(COUNTIFS(市场案例库!$A$6:$A$35,C423)&lt;&gt;1,"",IF(COUNT(INDEX(市场案例库!$N$6:$N$35,MATCH(C423,市场案例库!$A$6:$A$35,0)))&lt;&gt;1,"",INDEX(市场案例库!$N$6:$N$35,MATCH(C423,市场案例库!$A$6:$A$35,0)))))</f>
        <v>100</v>
      </c>
      <c r="J423" s="20">
        <f>IF(OR(C423&lt;&gt;N423,COUNT(H423:I423)&lt;&gt;2,H423&lt;=0,I423&lt;=0),"",IF(TRUE,H423/I423,H423/H423))</f>
        <v>1</v>
      </c>
      <c r="K423" s="16" t="s">
        <v>245</v>
      </c>
      <c r="L423" s="16" t="s">
        <v>213</v>
      </c>
      <c r="M423" s="16" t="str">
        <f t="shared" si="54"/>
        <v>模拟评分记录完整</v>
      </c>
      <c r="N423" s="8" t="s">
        <v>173</v>
      </c>
    </row>
    <row r="424" spans="1:14" ht="46.05" customHeight="1">
      <c r="A424" s="16" t="s">
        <v>81</v>
      </c>
      <c r="B424" s="16">
        <v>3</v>
      </c>
      <c r="C424" s="17" t="str">
        <f>三案例选用!D14</f>
        <v>SC-021</v>
      </c>
      <c r="D424" s="16" t="s">
        <v>214</v>
      </c>
      <c r="E424" s="16" t="str">
        <f>IF(TRUE,"适用","不适用采用100/100")</f>
        <v>适用</v>
      </c>
      <c r="F424" s="17" t="str">
        <f>IF(TRUE,IF(COUNTIFS(资产清单!$A$6:$A$25,A424)&lt;&gt;1,"",IF(INDEX(资产清单!$I$6:$I$25,MATCH(A424,资产清单!$A$6:$A$25,0))="","",INDEX(资产清单!$I$6:$I$25,MATCH(A424,资产清单!$A$6:$A$25,0)))),"不适用")</f>
        <v>露天场地</v>
      </c>
      <c r="G424" s="17" t="str">
        <f>IF(TRUE,IF(COUNTIFS(市场案例库!$A$6:$A$35,C424)&lt;&gt;1,"",IF(INDEX(市场案例库!$O$6:$O$35,MATCH(C424,市场案例库!$A$6:$A$35,0))="","",INDEX(市场案例库!$O$6:$O$35,MATCH(C424,市场案例库!$A$6:$A$35,0)))),"不适用")</f>
        <v>露天场地</v>
      </c>
      <c r="H424" s="19">
        <f>测算参数!$B$6</f>
        <v>100</v>
      </c>
      <c r="I424" s="10">
        <v>100</v>
      </c>
      <c r="J424" s="20">
        <f>IF(OR(C424&lt;&gt;N424,COUNT(H424:I424)&lt;&gt;2,H424&lt;=0,I424&lt;=0),"",IF(TRUE,H424/I424,H424/H424))</f>
        <v>1</v>
      </c>
      <c r="K424" s="16" t="s">
        <v>245</v>
      </c>
      <c r="L424" s="16" t="s">
        <v>215</v>
      </c>
      <c r="M424" s="16" t="str">
        <f t="shared" si="54"/>
        <v>模拟评分记录完整</v>
      </c>
      <c r="N424" s="8" t="s">
        <v>173</v>
      </c>
    </row>
    <row r="425" spans="1:14" ht="46.05" customHeight="1">
      <c r="A425" s="16" t="s">
        <v>81</v>
      </c>
      <c r="B425" s="16">
        <v>3</v>
      </c>
      <c r="C425" s="17" t="str">
        <f>三案例选用!D14</f>
        <v>SC-021</v>
      </c>
      <c r="D425" s="16" t="s">
        <v>216</v>
      </c>
      <c r="E425" s="16" t="str">
        <f>IF(TRUE,"适用","不适用采用100/100")</f>
        <v>适用</v>
      </c>
      <c r="F425" s="17" t="str">
        <f>IF(TRUE,IF(COUNTIFS(资产清单!$A$6:$A$25,A425)&lt;&gt;1,"",IF(INDEX(资产清单!$I$6:$I$25,MATCH(A425,资产清单!$A$6:$A$25,0))="","",INDEX(资产清单!$I$6:$I$25,MATCH(A425,资产清单!$A$6:$A$25,0)))),"不适用")</f>
        <v>露天场地</v>
      </c>
      <c r="G425" s="17" t="str">
        <f>IF(TRUE,IF(COUNTIFS(市场案例库!$A$6:$A$35,C425)&lt;&gt;1,"",IF(INDEX(市场案例库!$O$6:$O$35,MATCH(C425,市场案例库!$A$6:$A$35,0))="","",INDEX(市场案例库!$O$6:$O$35,MATCH(C425,市场案例库!$A$6:$A$35,0)))),"不适用")</f>
        <v>露天场地</v>
      </c>
      <c r="H425" s="19">
        <f>测算参数!$B$6</f>
        <v>100</v>
      </c>
      <c r="I425" s="10">
        <v>100</v>
      </c>
      <c r="J425" s="20">
        <f>IF(OR(C425&lt;&gt;N425,COUNT(H425:I425)&lt;&gt;2,H425&lt;=0,I425&lt;=0),"",IF(TRUE,H425/I425,H425/H425))</f>
        <v>1</v>
      </c>
      <c r="K425" s="16" t="s">
        <v>245</v>
      </c>
      <c r="L425" s="16" t="s">
        <v>215</v>
      </c>
      <c r="M425" s="16" t="str">
        <f t="shared" si="54"/>
        <v>模拟评分记录完整</v>
      </c>
      <c r="N425" s="8" t="s">
        <v>173</v>
      </c>
    </row>
    <row r="426" spans="1:14" ht="46.05" customHeight="1">
      <c r="A426" s="16" t="s">
        <v>81</v>
      </c>
      <c r="B426" s="16">
        <v>3</v>
      </c>
      <c r="C426" s="17" t="str">
        <f>三案例选用!D14</f>
        <v>SC-021</v>
      </c>
      <c r="D426" s="16" t="s">
        <v>217</v>
      </c>
      <c r="E426" s="17" t="str">
        <f>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"适用","不适用采用100/100")</f>
        <v>不适用采用100/100</v>
      </c>
      <c r="F426" s="17" t="str">
        <f>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IF(COUNTIFS(资产清单!$A$6:$A$25,A426)&lt;&gt;1,"",IF(COUNT(INDEX(资产清单!$M$6:$M$25,MATCH(A426,资产清单!$A$6:$A$25,0)))&lt;&gt;1,"",INDEX(资产清单!$M$6:$M$25,MATCH(A426,资产清单!$A$6:$A$25,0)))),"不适用")</f>
        <v>不适用</v>
      </c>
      <c r="G426" s="17" t="str">
        <f>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IF(COUNTIFS(市场案例库!$A$6:$A$35,C426)&lt;&gt;1,"",IF(COUNT(INDEX(市场案例库!$H$6:$H$35,MATCH(C426,市场案例库!$A$6:$A$35,0)))&lt;&gt;1,"",INDEX(市场案例库!$H$6:$H$35,MATCH(C426,市场案例库!$A$6:$A$35,0)))),"不适用")</f>
        <v>不适用</v>
      </c>
      <c r="H426" s="19">
        <f>测算参数!$B$6</f>
        <v>100</v>
      </c>
      <c r="I426" s="19">
        <f>IF(OR(COUNTIFS(市场案例库!$A$6:$A$35,C426)&lt;&gt;1,AND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COUNT(IF(COUNTIFS(资产清单!$A$6:$A$25,A426)&lt;&gt;1,"",IF(COUNT(INDEX(资产清单!$M$6:$M$25,MATCH(A426,资产清单!$A$6:$A$25,0)))&lt;&gt;1,"",INDEX(资产清单!$M$6:$M$25,MATCH(A426,资产清单!$A$6:$A$25,0)))),IF(COUNTIFS(市场案例库!$A$6:$A$35,C426)&lt;&gt;1,"",IF(COUNT(INDEX(市场案例库!$H$6:$H$35,MATCH(C426,市场案例库!$A$6:$A$35,0)))&lt;&gt;1,"",INDEX(市场案例库!$H$6:$H$35,MATCH(C426,市场案例库!$A$6:$A$35,0)))))&lt;&gt;2)),"",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INDEX(测算参数!$B$25:$B$31,MATCH(MAX(-测算参数!$B$11,MIN(测算参数!$B$11,IF(COUNTIFS(资产清单!$A$6:$A$25,A426)&lt;&gt;1,"",IF(COUNT(INDEX(资产清单!$M$6:$M$25,MATCH(A426,资产清单!$A$6:$A$25,0)))&lt;&gt;1,"",INDEX(资产清单!$M$6:$M$25,MATCH(A426,资产清单!$A$6:$A$25,0))))-IF(COUNTIFS(市场案例库!$A$6:$A$35,C426)&lt;&gt;1,"",IF(COUNT(INDEX(市场案例库!$H$6:$H$35,MATCH(C426,市场案例库!$A$6:$A$35,0)))&lt;&gt;1,"",INDEX(市场案例库!$H$6:$H$35,MATCH(C426,市场案例库!$A$6:$A$35,0)))))),测算参数!$A$25:$A$31,0)),测算参数!$B$6))</f>
        <v>100</v>
      </c>
      <c r="J426" s="21">
        <f>IF(OR(C426&lt;&gt;N426,COUNT(H426:I426)&lt;&gt;2,H426&lt;=0,I426&lt;=0),"",IF(OR(IF(COUNTIFS(资产清单!$A$6:$A$25,A426)&lt;&gt;1,"",IF(INDEX(资产清单!$H$6:$H$25,MATCH(A426,资产清单!$A$6:$A$25,0))="","",INDEX(资产清单!$H$6:$H$25,MATCH(A426,资产清单!$A$6:$A$25,0))))="商业",IF(COUNTIFS(资产清单!$A$6:$A$25,A426)&lt;&gt;1,"",IF(INDEX(资产清单!$H$6:$H$25,MATCH(A426,资产清单!$A$6:$A$25,0))="","",INDEX(资产清单!$H$6:$H$25,MATCH(A426,资产清单!$A$6:$A$25,0))))="办公",IF(COUNTIFS(资产清单!$A$6:$A$25,A426)&lt;&gt;1,"",IF(INDEX(资产清单!$H$6:$H$25,MATCH(A426,资产清单!$A$6:$A$25,0))="","",INDEX(资产清单!$H$6:$H$25,MATCH(A426,资产清单!$A$6:$A$25,0))))="住宅"),H426/I426,H426/H426))</f>
        <v>1</v>
      </c>
      <c r="K426" s="16" t="s">
        <v>245</v>
      </c>
      <c r="L426" s="16" t="s">
        <v>218</v>
      </c>
      <c r="M426" s="16" t="str">
        <f t="shared" si="54"/>
        <v>模拟评分记录完整</v>
      </c>
      <c r="N426" s="8" t="s">
        <v>173</v>
      </c>
    </row>
    <row r="427" spans="1:14" ht="46.05" customHeight="1">
      <c r="A427" s="16" t="s">
        <v>81</v>
      </c>
      <c r="B427" s="16">
        <v>3</v>
      </c>
      <c r="C427" s="17" t="str">
        <f>三案例选用!D14</f>
        <v>SC-021</v>
      </c>
      <c r="D427" s="16" t="s">
        <v>219</v>
      </c>
      <c r="E427" s="17" t="str">
        <f>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"适用","不适用采用100/100")</f>
        <v>不适用采用100/100</v>
      </c>
      <c r="F427" s="17" t="str">
        <f>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IF(COUNTIFS(资产清单!$A$6:$A$25,A427)&lt;&gt;1,"",IF(COUNT(INDEX(资产清单!$L$6:$L$25,MATCH(A427,资产清单!$A$6:$A$25,0)))&lt;&gt;1,"",INDEX(资产清单!$L$6:$L$25,MATCH(A427,资产清单!$A$6:$A$25,0)))),"不适用")</f>
        <v>不适用</v>
      </c>
      <c r="G427" s="17" t="str">
        <f>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IF(COUNTIFS(市场案例库!$A$6:$A$35,C427)&lt;&gt;1,"",IF(COUNT(INDEX(市场案例库!$G$6:$G$35,MATCH(C427,市场案例库!$A$6:$A$35,0)))&lt;&gt;1,"",INDEX(市场案例库!$G$6:$G$35,MATCH(C427,市场案例库!$A$6:$A$35,0)))),"不适用")</f>
        <v>不适用</v>
      </c>
      <c r="H427" s="19">
        <f>测算参数!$B$6</f>
        <v>100</v>
      </c>
      <c r="I427" s="19">
        <f>IF(OR(COUNTIFS(市场案例库!$A$6:$A$35,C427)&lt;&gt;1,AND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OR(COUNT(IF(COUNTIFS(资产清单!$A$6:$A$25,A427)&lt;&gt;1,"",IF(COUNT(INDEX(资产清单!$L$6:$L$25,MATCH(A427,资产清单!$A$6:$A$25,0)))&lt;&gt;1,"",INDEX(资产清单!$L$6:$L$25,MATCH(A427,资产清单!$A$6:$A$25,0)))),IF(COUNTIFS(市场案例库!$A$6:$A$35,C427)&lt;&gt;1,"",IF(COUNT(INDEX(市场案例库!$G$6:$G$35,MATCH(C427,市场案例库!$A$6:$A$35,0)))&lt;&gt;1,"",INDEX(市场案例库!$G$6:$G$35,MATCH(C427,市场案例库!$A$6:$A$35,0)))))&lt;&gt;2,IF(COUNTIFS(资产清单!$A$6:$A$25,A427)&lt;&gt;1,"",IF(COUNT(INDEX(资产清单!$L$6:$L$25,MATCH(A427,资产清单!$A$6:$A$25,0)))&lt;&gt;1,"",INDEX(资产清单!$L$6:$L$25,MATCH(A427,资产清单!$A$6:$A$25,0))))&lt;=0,IF(COUNTIFS(市场案例库!$A$6:$A$35,C427)&lt;&gt;1,"",IF(COUNT(INDEX(市场案例库!$G$6:$G$35,MATCH(C427,市场案例库!$A$6:$A$35,0)))&lt;&gt;1,"",INDEX(市场案例库!$G$6:$G$35,MATCH(C427,市场案例库!$A$6:$A$35,0))))&lt;=0))),"",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LOOKUP(IF(COUNTIFS(市场案例库!$A$6:$A$35,C427)&lt;&gt;1,"",IF(COUNT(INDEX(市场案例库!$G$6:$G$35,MATCH(C427,市场案例库!$A$6:$A$35,0)))&lt;&gt;1,"",INDEX(市场案例库!$G$6:$G$35,MATCH(C427,市场案例库!$A$6:$A$35,0))))/IF(COUNTIFS(资产清单!$A$6:$A$25,A427)&lt;&gt;1,"",IF(COUNT(INDEX(资产清单!$L$6:$L$25,MATCH(A427,资产清单!$A$6:$A$25,0)))&lt;&gt;1,"",INDEX(资产清单!$L$6:$L$25,MATCH(A427,资产清单!$A$6:$A$25,0)))),测算参数!$A$15:$A$21,测算参数!$C$15:$C$21),测算参数!$B$6))</f>
        <v>100</v>
      </c>
      <c r="J427" s="21">
        <f>IF(OR(C427&lt;&gt;N427,COUNT(H427:I427)&lt;&gt;2,H427&lt;=0,I427&lt;=0),"",IF(AND(IF(COUNTIFS(资产清单!$A$6:$A$25,A427)&lt;&gt;1,"",IF(INDEX(资产清单!$J$6:$J$25,MATCH(A427,资产清单!$A$6:$A$25,0))="","",INDEX(资产清单!$J$6:$J$25,MATCH(A427,资产清单!$A$6:$A$25,0))))="元/㎡/月",IF(COUNTIFS(资产清单!$A$6:$A$25,A427)&lt;&gt;1,"",IF(INDEX(资产清单!$H$6:$H$25,MATCH(A427,资产清单!$A$6:$A$25,0))="","",INDEX(资产清单!$H$6:$H$25,MATCH(A427,资产清单!$A$6:$A$25,0))))&lt;&gt;"场地"),H427/I427,H427/H427))</f>
        <v>1</v>
      </c>
      <c r="K427" s="16" t="s">
        <v>245</v>
      </c>
      <c r="L427" s="16" t="s">
        <v>220</v>
      </c>
      <c r="M427" s="16" t="str">
        <f t="shared" si="54"/>
        <v>模拟评分记录完整</v>
      </c>
      <c r="N427" s="8" t="s">
        <v>173</v>
      </c>
    </row>
    <row r="428" spans="1:14" ht="46.05" customHeight="1">
      <c r="A428" s="16" t="s">
        <v>81</v>
      </c>
      <c r="B428" s="16">
        <v>3</v>
      </c>
      <c r="C428" s="17" t="str">
        <f>三案例选用!D14</f>
        <v>SC-021</v>
      </c>
      <c r="D428" s="16" t="s">
        <v>221</v>
      </c>
      <c r="E428" s="16" t="str">
        <f t="shared" ref="E428:E433" si="59">IF(TRUE,"适用","不适用采用100/100")</f>
        <v>适用</v>
      </c>
      <c r="F428" s="17" t="str">
        <f>IF(TRUE,IF(COUNTIFS(资产清单!$A$6:$A$25,A428)&lt;&gt;1,"",IF(INDEX(资产清单!$I$6:$I$25,MATCH(A428,资产清单!$A$6:$A$25,0))="","",INDEX(资产清单!$I$6:$I$25,MATCH(A428,资产清单!$A$6:$A$25,0)))),"不适用")</f>
        <v>露天场地</v>
      </c>
      <c r="G428" s="17" t="str">
        <f>IF(TRUE,IF(COUNTIFS(市场案例库!$A$6:$A$35,C428)&lt;&gt;1,"",IF(INDEX(市场案例库!$O$6:$O$35,MATCH(C428,市场案例库!$A$6:$A$35,0))="","",INDEX(市场案例库!$O$6:$O$35,MATCH(C428,市场案例库!$A$6:$A$35,0)))),"不适用")</f>
        <v>露天场地</v>
      </c>
      <c r="H428" s="19">
        <f>测算参数!$B$6</f>
        <v>100</v>
      </c>
      <c r="I428" s="10">
        <v>100</v>
      </c>
      <c r="J428" s="20">
        <f t="shared" ref="J428:J433" si="60">IF(OR(C428&lt;&gt;N428,COUNT(H428:I428)&lt;&gt;2,H428&lt;=0,I428&lt;=0),"",IF(TRUE,H428/I428,H428/H428))</f>
        <v>1</v>
      </c>
      <c r="K428" s="16" t="s">
        <v>245</v>
      </c>
      <c r="L428" s="16" t="s">
        <v>215</v>
      </c>
      <c r="M428" s="16" t="str">
        <f t="shared" si="54"/>
        <v>模拟评分记录完整</v>
      </c>
      <c r="N428" s="8" t="s">
        <v>173</v>
      </c>
    </row>
    <row r="429" spans="1:14" ht="46.05" customHeight="1">
      <c r="A429" s="16" t="s">
        <v>81</v>
      </c>
      <c r="B429" s="16">
        <v>3</v>
      </c>
      <c r="C429" s="17" t="str">
        <f>三案例选用!D14</f>
        <v>SC-021</v>
      </c>
      <c r="D429" s="16" t="s">
        <v>222</v>
      </c>
      <c r="E429" s="16" t="str">
        <f t="shared" si="59"/>
        <v>适用</v>
      </c>
      <c r="F429" s="17" t="str">
        <f>IF(TRUE,IF(COUNTIFS(资产清单!$A$6:$A$25,A429)&lt;&gt;1,"",IF(INDEX(资产清单!$I$6:$I$25,MATCH(A429,资产清单!$A$6:$A$25,0))="","",INDEX(资产清单!$I$6:$I$25,MATCH(A429,资产清单!$A$6:$A$25,0)))),"不适用")</f>
        <v>露天场地</v>
      </c>
      <c r="G429" s="17" t="str">
        <f>IF(TRUE,IF(COUNTIFS(市场案例库!$A$6:$A$35,C429)&lt;&gt;1,"",IF(INDEX(市场案例库!$O$6:$O$35,MATCH(C429,市场案例库!$A$6:$A$35,0))="","",INDEX(市场案例库!$O$6:$O$35,MATCH(C429,市场案例库!$A$6:$A$35,0)))),"不适用")</f>
        <v>露天场地</v>
      </c>
      <c r="H429" s="19">
        <f>测算参数!$B$6</f>
        <v>100</v>
      </c>
      <c r="I429" s="10">
        <v>100</v>
      </c>
      <c r="J429" s="20">
        <f t="shared" si="60"/>
        <v>1</v>
      </c>
      <c r="K429" s="16" t="s">
        <v>245</v>
      </c>
      <c r="L429" s="16" t="s">
        <v>215</v>
      </c>
      <c r="M429" s="16" t="str">
        <f t="shared" si="54"/>
        <v>模拟评分记录完整</v>
      </c>
      <c r="N429" s="8" t="s">
        <v>173</v>
      </c>
    </row>
    <row r="430" spans="1:14" ht="46.05" customHeight="1">
      <c r="A430" s="16" t="s">
        <v>81</v>
      </c>
      <c r="B430" s="16">
        <v>3</v>
      </c>
      <c r="C430" s="17" t="str">
        <f>三案例选用!D14</f>
        <v>SC-021</v>
      </c>
      <c r="D430" s="16" t="s">
        <v>224</v>
      </c>
      <c r="E430" s="16" t="str">
        <f t="shared" si="59"/>
        <v>适用</v>
      </c>
      <c r="F430" s="17" t="str">
        <f>IF(TRUE,IF(COUNTIFS(资产清单!$A$6:$A$25,A430)&lt;&gt;1,"",IF(INDEX(资产清单!$I$6:$I$25,MATCH(A430,资产清单!$A$6:$A$25,0))="","",INDEX(资产清单!$I$6:$I$25,MATCH(A430,资产清单!$A$6:$A$25,0)))),"不适用")</f>
        <v>露天场地</v>
      </c>
      <c r="G430" s="17" t="str">
        <f>IF(TRUE,IF(COUNTIFS(市场案例库!$A$6:$A$35,C430)&lt;&gt;1,"",IF(INDEX(市场案例库!$O$6:$O$35,MATCH(C430,市场案例库!$A$6:$A$35,0))="","",INDEX(市场案例库!$O$6:$O$35,MATCH(C430,市场案例库!$A$6:$A$35,0)))),"不适用")</f>
        <v>露天场地</v>
      </c>
      <c r="H430" s="19">
        <f>测算参数!$B$6</f>
        <v>100</v>
      </c>
      <c r="I430" s="10">
        <v>100</v>
      </c>
      <c r="J430" s="20">
        <f t="shared" si="60"/>
        <v>1</v>
      </c>
      <c r="K430" s="16" t="s">
        <v>245</v>
      </c>
      <c r="L430" s="16" t="s">
        <v>215</v>
      </c>
      <c r="M430" s="16" t="str">
        <f t="shared" si="54"/>
        <v>模拟评分记录完整</v>
      </c>
      <c r="N430" s="8" t="s">
        <v>173</v>
      </c>
    </row>
    <row r="431" spans="1:14" ht="46.05" customHeight="1">
      <c r="A431" s="16" t="s">
        <v>81</v>
      </c>
      <c r="B431" s="16">
        <v>3</v>
      </c>
      <c r="C431" s="17" t="str">
        <f>三案例选用!D14</f>
        <v>SC-021</v>
      </c>
      <c r="D431" s="16" t="s">
        <v>225</v>
      </c>
      <c r="E431" s="16" t="str">
        <f t="shared" si="59"/>
        <v>适用</v>
      </c>
      <c r="F431" s="17" t="str">
        <f>IF(TRUE,IF(COUNTIFS(资产清单!$A$6:$A$25,A431)&lt;&gt;1,"",IF(INDEX(资产清单!$I$6:$I$25,MATCH(A431,资产清单!$A$6:$A$25,0))="","",INDEX(资产清单!$I$6:$I$25,MATCH(A431,资产清单!$A$6:$A$25,0)))),"不适用")</f>
        <v>露天场地</v>
      </c>
      <c r="G431" s="17" t="str">
        <f>IF(TRUE,IF(COUNTIFS(市场案例库!$A$6:$A$35,C431)&lt;&gt;1,"",IF(INDEX(市场案例库!$O$6:$O$35,MATCH(C431,市场案例库!$A$6:$A$35,0))="","",INDEX(市场案例库!$O$6:$O$35,MATCH(C431,市场案例库!$A$6:$A$35,0)))),"不适用")</f>
        <v>露天场地</v>
      </c>
      <c r="H431" s="19">
        <f>测算参数!$B$6</f>
        <v>100</v>
      </c>
      <c r="I431" s="10">
        <v>100</v>
      </c>
      <c r="J431" s="20">
        <f t="shared" si="60"/>
        <v>1</v>
      </c>
      <c r="K431" s="16" t="s">
        <v>245</v>
      </c>
      <c r="L431" s="16" t="s">
        <v>215</v>
      </c>
      <c r="M431" s="16" t="str">
        <f t="shared" si="54"/>
        <v>模拟评分记录完整</v>
      </c>
      <c r="N431" s="8" t="s">
        <v>173</v>
      </c>
    </row>
    <row r="432" spans="1:14" ht="46.05" customHeight="1">
      <c r="A432" s="16" t="s">
        <v>81</v>
      </c>
      <c r="B432" s="16">
        <v>3</v>
      </c>
      <c r="C432" s="17" t="str">
        <f>三案例选用!D14</f>
        <v>SC-021</v>
      </c>
      <c r="D432" s="16" t="s">
        <v>226</v>
      </c>
      <c r="E432" s="16" t="str">
        <f t="shared" si="59"/>
        <v>适用</v>
      </c>
      <c r="F432" s="17" t="str">
        <f>IF(TRUE,IF(COUNTIFS(资产清单!$A$6:$A$25,A432)&lt;&gt;1,"",IF(INDEX(资产清单!$I$6:$I$25,MATCH(A432,资产清单!$A$6:$A$25,0))="","",INDEX(资产清单!$I$6:$I$25,MATCH(A432,资产清单!$A$6:$A$25,0)))),"不适用")</f>
        <v>露天场地</v>
      </c>
      <c r="G432" s="17" t="str">
        <f>IF(TRUE,IF(COUNTIFS(市场案例库!$A$6:$A$35,C432)&lt;&gt;1,"",IF(INDEX(市场案例库!$O$6:$O$35,MATCH(C432,市场案例库!$A$6:$A$35,0))="","",INDEX(市场案例库!$O$6:$O$35,MATCH(C432,市场案例库!$A$6:$A$35,0)))),"不适用")</f>
        <v>露天场地</v>
      </c>
      <c r="H432" s="19">
        <f>测算参数!$B$6</f>
        <v>100</v>
      </c>
      <c r="I432" s="10">
        <v>100</v>
      </c>
      <c r="J432" s="20">
        <f t="shared" si="60"/>
        <v>1</v>
      </c>
      <c r="K432" s="16" t="s">
        <v>245</v>
      </c>
      <c r="L432" s="16" t="s">
        <v>215</v>
      </c>
      <c r="M432" s="16" t="str">
        <f t="shared" si="54"/>
        <v>模拟评分记录完整</v>
      </c>
      <c r="N432" s="8" t="s">
        <v>173</v>
      </c>
    </row>
    <row r="433" spans="1:14" ht="46.05" customHeight="1">
      <c r="A433" s="16" t="s">
        <v>81</v>
      </c>
      <c r="B433" s="16">
        <v>3</v>
      </c>
      <c r="C433" s="17" t="str">
        <f>三案例选用!D14</f>
        <v>SC-021</v>
      </c>
      <c r="D433" s="16" t="s">
        <v>227</v>
      </c>
      <c r="E433" s="16" t="str">
        <f t="shared" si="59"/>
        <v>适用</v>
      </c>
      <c r="F433" s="17" t="str">
        <f>IF(TRUE,IF(COUNTIFS(资产清单!$A$6:$A$25,A433)&lt;&gt;1,"",IF(INDEX(资产清单!$I$6:$I$25,MATCH(A433,资产清单!$A$6:$A$25,0))="","",INDEX(资产清单!$I$6:$I$25,MATCH(A433,资产清单!$A$6:$A$25,0)))),"不适用")</f>
        <v>露天场地</v>
      </c>
      <c r="G433" s="17" t="str">
        <f>IF(TRUE,IF(COUNTIFS(市场案例库!$A$6:$A$35,C433)&lt;&gt;1,"",IF(INDEX(市场案例库!$O$6:$O$35,MATCH(C433,市场案例库!$A$6:$A$35,0))="","",INDEX(市场案例库!$O$6:$O$35,MATCH(C433,市场案例库!$A$6:$A$35,0)))),"不适用")</f>
        <v>露天场地</v>
      </c>
      <c r="H433" s="19">
        <f>测算参数!$B$6</f>
        <v>100</v>
      </c>
      <c r="I433" s="10">
        <v>100</v>
      </c>
      <c r="J433" s="20">
        <f t="shared" si="60"/>
        <v>1</v>
      </c>
      <c r="K433" s="16" t="s">
        <v>245</v>
      </c>
      <c r="L433" s="16" t="s">
        <v>215</v>
      </c>
      <c r="M433" s="16" t="str">
        <f t="shared" si="54"/>
        <v>模拟评分记录完整</v>
      </c>
      <c r="N433" s="8" t="s">
        <v>173</v>
      </c>
    </row>
    <row r="434" spans="1:14" ht="46.05" customHeight="1">
      <c r="A434" s="16" t="s">
        <v>81</v>
      </c>
      <c r="B434" s="16">
        <v>3</v>
      </c>
      <c r="C434" s="17" t="str">
        <f>三案例选用!D14</f>
        <v>SC-021</v>
      </c>
      <c r="D434" s="16" t="s">
        <v>228</v>
      </c>
      <c r="E434" s="17" t="str">
        <f>IF(AND(IF(COUNTIFS(资产清单!$A$6:$A$25,A434)&lt;&gt;1,"",IF(INDEX(资产清单!$H$6:$H$25,MATCH(A434,资产清单!$A$6:$A$25,0))="","",INDEX(资产清单!$H$6:$H$25,MATCH(A434,资产清单!$A$6:$A$25,0))))&lt;&gt;"场地",IF(COUNTIFS(资产清单!$A$6:$A$25,A434)&lt;&gt;1,"",IF(INDEX(资产清单!$H$6:$H$25,MATCH(A434,资产清单!$A$6:$A$25,0))="","",INDEX(资产清单!$H$6:$H$25,MATCH(A434,资产清单!$A$6:$A$25,0))))&lt;&gt;"车位",IF(COUNTIFS(资产清单!$A$6:$A$25,A434)&lt;&gt;1,"",IF(INDEX(资产清单!$H$6:$H$25,MATCH(A434,资产清单!$A$6:$A$25,0))="","",INDEX(资产清单!$H$6:$H$25,MATCH(A434,资产清单!$A$6:$A$25,0))))&lt;&gt;"通信基站"),"适用","不适用采用100/100")</f>
        <v>不适用采用100/100</v>
      </c>
      <c r="F434" s="17" t="str">
        <f>IF(AND(IF(COUNTIFS(资产清单!$A$6:$A$25,A434)&lt;&gt;1,"",IF(INDEX(资产清单!$H$6:$H$25,MATCH(A434,资产清单!$A$6:$A$25,0))="","",INDEX(资产清单!$H$6:$H$25,MATCH(A434,资产清单!$A$6:$A$25,0))))&lt;&gt;"场地",IF(COUNTIFS(资产清单!$A$6:$A$25,A434)&lt;&gt;1,"",IF(INDEX(资产清单!$H$6:$H$25,MATCH(A434,资产清单!$A$6:$A$25,0))="","",INDEX(资产清单!$H$6:$H$25,MATCH(A434,资产清单!$A$6:$A$25,0))))&lt;&gt;"车位",IF(COUNTIFS(资产清单!$A$6:$A$25,A434)&lt;&gt;1,"",IF(INDEX(资产清单!$H$6:$H$25,MATCH(A434,资产清单!$A$6:$A$25,0))="","",INDEX(资产清单!$H$6:$H$25,MATCH(A434,资产清单!$A$6:$A$25,0))))&lt;&gt;"通信基站"),IF(COUNTIFS(资产清单!$A$6:$A$25,A434)&lt;&gt;1,"",IF(INDEX(资产清单!$I$6:$I$25,MATCH(A434,资产清单!$A$6:$A$25,0))="","",INDEX(资产清单!$I$6:$I$25,MATCH(A434,资产清单!$A$6:$A$25,0)))),"不适用")</f>
        <v>不适用</v>
      </c>
      <c r="G434" s="17" t="str">
        <f>IF(AND(IF(COUNTIFS(资产清单!$A$6:$A$25,A434)&lt;&gt;1,"",IF(INDEX(资产清单!$H$6:$H$25,MATCH(A434,资产清单!$A$6:$A$25,0))="","",INDEX(资产清单!$H$6:$H$25,MATCH(A434,资产清单!$A$6:$A$25,0))))&lt;&gt;"场地",IF(COUNTIFS(资产清单!$A$6:$A$25,A434)&lt;&gt;1,"",IF(INDEX(资产清单!$H$6:$H$25,MATCH(A434,资产清单!$A$6:$A$25,0))="","",INDEX(资产清单!$H$6:$H$25,MATCH(A434,资产清单!$A$6:$A$25,0))))&lt;&gt;"车位",IF(COUNTIFS(资产清单!$A$6:$A$25,A434)&lt;&gt;1,"",IF(INDEX(资产清单!$H$6:$H$25,MATCH(A434,资产清单!$A$6:$A$25,0))="","",INDEX(资产清单!$H$6:$H$25,MATCH(A434,资产清单!$A$6:$A$25,0))))&lt;&gt;"通信基站"),IF(COUNTIFS(市场案例库!$A$6:$A$35,C434)&lt;&gt;1,"",IF(INDEX(市场案例库!$O$6:$O$35,MATCH(C434,市场案例库!$A$6:$A$35,0))="","",INDEX(市场案例库!$O$6:$O$35,MATCH(C434,市场案例库!$A$6:$A$35,0)))),"不适用")</f>
        <v>不适用</v>
      </c>
      <c r="H434" s="19">
        <f>测算参数!$B$6</f>
        <v>100</v>
      </c>
      <c r="I434" s="10">
        <v>100</v>
      </c>
      <c r="J434" s="21">
        <f>IF(OR(C434&lt;&gt;N434,COUNT(H434:I434)&lt;&gt;2,H434&lt;=0,I434&lt;=0),"",IF(AND(IF(COUNTIFS(资产清单!$A$6:$A$25,A434)&lt;&gt;1,"",IF(INDEX(资产清单!$H$6:$H$25,MATCH(A434,资产清单!$A$6:$A$25,0))="","",INDEX(资产清单!$H$6:$H$25,MATCH(A434,资产清单!$A$6:$A$25,0))))&lt;&gt;"场地",IF(COUNTIFS(资产清单!$A$6:$A$25,A434)&lt;&gt;1,"",IF(INDEX(资产清单!$H$6:$H$25,MATCH(A434,资产清单!$A$6:$A$25,0))="","",INDEX(资产清单!$H$6:$H$25,MATCH(A434,资产清单!$A$6:$A$25,0))))&lt;&gt;"车位",IF(COUNTIFS(资产清单!$A$6:$A$25,A434)&lt;&gt;1,"",IF(INDEX(资产清单!$H$6:$H$25,MATCH(A434,资产清单!$A$6:$A$25,0))="","",INDEX(资产清单!$H$6:$H$25,MATCH(A434,资产清单!$A$6:$A$25,0))))&lt;&gt;"通信基站"),H434/I434,H434/H434))</f>
        <v>1</v>
      </c>
      <c r="K434" s="16" t="s">
        <v>245</v>
      </c>
      <c r="L434" s="16" t="s">
        <v>215</v>
      </c>
      <c r="M434" s="16" t="str">
        <f t="shared" si="54"/>
        <v>模拟评分记录完整</v>
      </c>
      <c r="N434" s="8" t="s">
        <v>173</v>
      </c>
    </row>
    <row r="435" spans="1:14" ht="46.05" customHeight="1">
      <c r="A435" s="16" t="s">
        <v>81</v>
      </c>
      <c r="B435" s="16">
        <v>3</v>
      </c>
      <c r="C435" s="17" t="str">
        <f>三案例选用!D14</f>
        <v>SC-021</v>
      </c>
      <c r="D435" s="16" t="s">
        <v>229</v>
      </c>
      <c r="E435" s="17" t="str">
        <f>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"适用","不适用采用100/100")</f>
        <v>不适用采用100/100</v>
      </c>
      <c r="F435" s="17" t="str">
        <f>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IF(COUNTIFS(资产清单!$A$6:$A$25,A435)&lt;&gt;1,"",IF(COUNT(INDEX(资产清单!$N$6:$N$25,MATCH(A435,资产清单!$A$6:$A$25,0)))&lt;&gt;1,"",INDEX(资产清单!$N$6:$N$25,MATCH(A435,资产清单!$A$6:$A$25,0)))),"不适用")</f>
        <v>不适用</v>
      </c>
      <c r="G435" s="17" t="str">
        <f>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IF(COUNTIFS(市场案例库!$A$6:$A$35,C435)&lt;&gt;1,"",IF(COUNT(INDEX(市场案例库!$I$6:$I$35,MATCH(C435,市场案例库!$A$6:$A$35,0)))&lt;&gt;1,"",INDEX(市场案例库!$I$6:$I$35,MATCH(C435,市场案例库!$A$6:$A$35,0)))),"不适用")</f>
        <v>不适用</v>
      </c>
      <c r="H435" s="19">
        <f>测算参数!$B$6</f>
        <v>100</v>
      </c>
      <c r="I435" s="19">
        <f>IF(OR(COUNTIFS(市场案例库!$A$6:$A$35,C435)&lt;&gt;1,AND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OR(COUNT(IF(COUNTIFS(资产清单!$A$6:$A$25,A435)&lt;&gt;1,"",IF(COUNT(INDEX(资产清单!$N$6:$N$25,MATCH(A435,资产清单!$A$6:$A$25,0)))&lt;&gt;1,"",INDEX(资产清单!$N$6:$N$25,MATCH(A435,资产清单!$A$6:$A$25,0)))),IF(COUNTIFS(市场案例库!$A$6:$A$35,C435)&lt;&gt;1,"",IF(COUNT(INDEX(市场案例库!$I$6:$I$35,MATCH(C435,市场案例库!$A$6:$A$35,0)))&lt;&gt;1,"",INDEX(市场案例库!$I$6:$I$35,MATCH(C435,市场案例库!$A$6:$A$35,0)))))&lt;&gt;2,IF(COUNTIFS(资产清单!$A$6:$A$25,A435)&lt;&gt;1,"",IF(COUNT(INDEX(资产清单!$N$6:$N$25,MATCH(A435,资产清单!$A$6:$A$25,0)))&lt;&gt;1,"",INDEX(资产清单!$N$6:$N$25,MATCH(A435,资产清单!$A$6:$A$25,0))))&lt;1,IF(COUNTIFS(资产清单!$A$6:$A$25,A435)&lt;&gt;1,"",IF(COUNT(INDEX(资产清单!$N$6:$N$25,MATCH(A435,资产清单!$A$6:$A$25,0)))&lt;&gt;1,"",INDEX(资产清单!$N$6:$N$25,MATCH(A435,资产清单!$A$6:$A$25,0))))&gt;4,IF(COUNTIFS(市场案例库!$A$6:$A$35,C435)&lt;&gt;1,"",IF(COUNT(INDEX(市场案例库!$I$6:$I$35,MATCH(C435,市场案例库!$A$6:$A$35,0)))&lt;&gt;1,"",INDEX(市场案例库!$I$6:$I$35,MATCH(C435,市场案例库!$A$6:$A$35,0))))&lt;1,IF(COUNTIFS(市场案例库!$A$6:$A$35,C435)&lt;&gt;1,"",IF(COUNT(INDEX(市场案例库!$I$6:$I$35,MATCH(C435,市场案例库!$A$6:$A$35,0)))&lt;&gt;1,"",INDEX(市场案例库!$I$6:$I$35,MATCH(C435,市场案例库!$A$6:$A$35,0))))&gt;4))),"",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INDEX(测算参数!$B$35:$B$41,MATCH(IF(COUNTIFS(市场案例库!$A$6:$A$35,C435)&lt;&gt;1,"",IF(COUNT(INDEX(市场案例库!$I$6:$I$35,MATCH(C435,市场案例库!$A$6:$A$35,0)))&lt;&gt;1,"",INDEX(市场案例库!$I$6:$I$35,MATCH(C435,市场案例库!$A$6:$A$35,0))))-IF(COUNTIFS(资产清单!$A$6:$A$25,A435)&lt;&gt;1,"",IF(COUNT(INDEX(资产清单!$N$6:$N$25,MATCH(A435,资产清单!$A$6:$A$25,0)))&lt;&gt;1,"",INDEX(资产清单!$N$6:$N$25,MATCH(A435,资产清单!$A$6:$A$25,0)))),测算参数!$A$35:$A$41,0)),测算参数!$B$6))</f>
        <v>100</v>
      </c>
      <c r="J435" s="21">
        <f>IF(OR(C435&lt;&gt;N435,COUNT(H435:I435)&lt;&gt;2,H435&lt;=0,I435&lt;=0),"",IF(AND(IF(COUNTIFS(资产清单!$A$6:$A$25,A435)&lt;&gt;1,"",IF(INDEX(资产清单!$H$6:$H$25,MATCH(A435,资产清单!$A$6:$A$25,0))="","",INDEX(资产清单!$H$6:$H$25,MATCH(A435,资产清单!$A$6:$A$25,0))))&lt;&gt;"场地",IF(COUNTIFS(资产清单!$A$6:$A$25,A435)&lt;&gt;1,"",IF(INDEX(资产清单!$H$6:$H$25,MATCH(A435,资产清单!$A$6:$A$25,0))="","",INDEX(资产清单!$H$6:$H$25,MATCH(A435,资产清单!$A$6:$A$25,0))))&lt;&gt;"车位",IF(COUNTIFS(资产清单!$A$6:$A$25,A435)&lt;&gt;1,"",IF(INDEX(资产清单!$H$6:$H$25,MATCH(A435,资产清单!$A$6:$A$25,0))="","",INDEX(资产清单!$H$6:$H$25,MATCH(A435,资产清单!$A$6:$A$25,0))))&lt;&gt;"通信基站"),H435/I435,H435/H435))</f>
        <v>1</v>
      </c>
      <c r="K435" s="16" t="s">
        <v>245</v>
      </c>
      <c r="L435" s="16" t="s">
        <v>230</v>
      </c>
      <c r="M435" s="16" t="str">
        <f t="shared" si="54"/>
        <v>模拟评分记录完整</v>
      </c>
      <c r="N435" s="8" t="s">
        <v>173</v>
      </c>
    </row>
    <row r="436" spans="1:14" ht="46.05" customHeight="1">
      <c r="A436" s="16" t="s">
        <v>81</v>
      </c>
      <c r="B436" s="16">
        <v>3</v>
      </c>
      <c r="C436" s="17" t="str">
        <f>三案例选用!D14</f>
        <v>SC-021</v>
      </c>
      <c r="D436" s="16" t="s">
        <v>231</v>
      </c>
      <c r="E436" s="17" t="str">
        <f>IF(AND(IF(COUNTIFS(资产清单!$A$6:$A$25,A436)&lt;&gt;1,"",IF(INDEX(资产清单!$H$6:$H$25,MATCH(A436,资产清单!$A$6:$A$25,0))="","",INDEX(资产清单!$H$6:$H$25,MATCH(A436,资产清单!$A$6:$A$25,0))))&lt;&gt;"场地",IF(COUNTIFS(资产清单!$A$6:$A$25,A436)&lt;&gt;1,"",IF(INDEX(资产清单!$H$6:$H$25,MATCH(A436,资产清单!$A$6:$A$25,0))="","",INDEX(资产清单!$H$6:$H$25,MATCH(A436,资产清单!$A$6:$A$25,0))))&lt;&gt;"车位",IF(COUNTIFS(资产清单!$A$6:$A$25,A436)&lt;&gt;1,"",IF(INDEX(资产清单!$H$6:$H$25,MATCH(A436,资产清单!$A$6:$A$25,0))="","",INDEX(资产清单!$H$6:$H$25,MATCH(A436,资产清单!$A$6:$A$25,0))))&lt;&gt;"通信基站"),"适用","不适用采用100/100")</f>
        <v>不适用采用100/100</v>
      </c>
      <c r="F436" s="17" t="str">
        <f>IF(AND(IF(COUNTIFS(资产清单!$A$6:$A$25,A436)&lt;&gt;1,"",IF(INDEX(资产清单!$H$6:$H$25,MATCH(A436,资产清单!$A$6:$A$25,0))="","",INDEX(资产清单!$H$6:$H$25,MATCH(A436,资产清单!$A$6:$A$25,0))))&lt;&gt;"场地",IF(COUNTIFS(资产清单!$A$6:$A$25,A436)&lt;&gt;1,"",IF(INDEX(资产清单!$H$6:$H$25,MATCH(A436,资产清单!$A$6:$A$25,0))="","",INDEX(资产清单!$H$6:$H$25,MATCH(A436,资产清单!$A$6:$A$25,0))))&lt;&gt;"车位",IF(COUNTIFS(资产清单!$A$6:$A$25,A436)&lt;&gt;1,"",IF(INDEX(资产清单!$H$6:$H$25,MATCH(A436,资产清单!$A$6:$A$25,0))="","",INDEX(资产清单!$H$6:$H$25,MATCH(A436,资产清单!$A$6:$A$25,0))))&lt;&gt;"通信基站"),IF(COUNTIFS(资产清单!$A$6:$A$25,A436)&lt;&gt;1,"",IF(INDEX(资产清单!$I$6:$I$25,MATCH(A436,资产清单!$A$6:$A$25,0))="","",INDEX(资产清单!$I$6:$I$25,MATCH(A436,资产清单!$A$6:$A$25,0)))),"不适用")</f>
        <v>不适用</v>
      </c>
      <c r="G436" s="17" t="str">
        <f>IF(AND(IF(COUNTIFS(资产清单!$A$6:$A$25,A436)&lt;&gt;1,"",IF(INDEX(资产清单!$H$6:$H$25,MATCH(A436,资产清单!$A$6:$A$25,0))="","",INDEX(资产清单!$H$6:$H$25,MATCH(A436,资产清单!$A$6:$A$25,0))))&lt;&gt;"场地",IF(COUNTIFS(资产清单!$A$6:$A$25,A436)&lt;&gt;1,"",IF(INDEX(资产清单!$H$6:$H$25,MATCH(A436,资产清单!$A$6:$A$25,0))="","",INDEX(资产清单!$H$6:$H$25,MATCH(A436,资产清单!$A$6:$A$25,0))))&lt;&gt;"车位",IF(COUNTIFS(资产清单!$A$6:$A$25,A436)&lt;&gt;1,"",IF(INDEX(资产清单!$H$6:$H$25,MATCH(A436,资产清单!$A$6:$A$25,0))="","",INDEX(资产清单!$H$6:$H$25,MATCH(A436,资产清单!$A$6:$A$25,0))))&lt;&gt;"通信基站"),IF(COUNTIFS(市场案例库!$A$6:$A$35,C436)&lt;&gt;1,"",IF(INDEX(市场案例库!$O$6:$O$35,MATCH(C436,市场案例库!$A$6:$A$35,0))="","",INDEX(市场案例库!$O$6:$O$35,MATCH(C436,市场案例库!$A$6:$A$35,0)))),"不适用")</f>
        <v>不适用</v>
      </c>
      <c r="H436" s="19">
        <f>测算参数!$B$6</f>
        <v>100</v>
      </c>
      <c r="I436" s="10">
        <v>100</v>
      </c>
      <c r="J436" s="21">
        <f>IF(OR(C436&lt;&gt;N436,COUNT(H436:I436)&lt;&gt;2,H436&lt;=0,I436&lt;=0),"",IF(AND(IF(COUNTIFS(资产清单!$A$6:$A$25,A436)&lt;&gt;1,"",IF(INDEX(资产清单!$H$6:$H$25,MATCH(A436,资产清单!$A$6:$A$25,0))="","",INDEX(资产清单!$H$6:$H$25,MATCH(A436,资产清单!$A$6:$A$25,0))))&lt;&gt;"场地",IF(COUNTIFS(资产清单!$A$6:$A$25,A436)&lt;&gt;1,"",IF(INDEX(资产清单!$H$6:$H$25,MATCH(A436,资产清单!$A$6:$A$25,0))="","",INDEX(资产清单!$H$6:$H$25,MATCH(A436,资产清单!$A$6:$A$25,0))))&lt;&gt;"车位",IF(COUNTIFS(资产清单!$A$6:$A$25,A436)&lt;&gt;1,"",IF(INDEX(资产清单!$H$6:$H$25,MATCH(A436,资产清单!$A$6:$A$25,0))="","",INDEX(资产清单!$H$6:$H$25,MATCH(A436,资产清单!$A$6:$A$25,0))))&lt;&gt;"通信基站"),H436/I436,H436/H436))</f>
        <v>1</v>
      </c>
      <c r="K436" s="16" t="s">
        <v>245</v>
      </c>
      <c r="L436" s="16" t="s">
        <v>215</v>
      </c>
      <c r="M436" s="16" t="str">
        <f t="shared" si="54"/>
        <v>模拟评分记录完整</v>
      </c>
      <c r="N436" s="8" t="s">
        <v>173</v>
      </c>
    </row>
    <row r="437" spans="1:14" ht="46.05" customHeight="1">
      <c r="A437" s="16" t="s">
        <v>81</v>
      </c>
      <c r="B437" s="16">
        <v>3</v>
      </c>
      <c r="C437" s="17" t="str">
        <f>三案例选用!D14</f>
        <v>SC-021</v>
      </c>
      <c r="D437" s="16" t="s">
        <v>232</v>
      </c>
      <c r="E437" s="16" t="str">
        <f>IF(TRUE,"适用","不适用采用100/100")</f>
        <v>适用</v>
      </c>
      <c r="F437" s="17" t="str">
        <f>IF(TRUE,IF(COUNTIFS(资产清单!$A$6:$A$25,A437)&lt;&gt;1,"",IF(INDEX(资产清单!$I$6:$I$25,MATCH(A437,资产清单!$A$6:$A$25,0))="","",INDEX(资产清单!$I$6:$I$25,MATCH(A437,资产清单!$A$6:$A$25,0)))),"不适用")</f>
        <v>露天场地</v>
      </c>
      <c r="G437" s="17" t="str">
        <f>IF(TRUE,IF(COUNTIFS(市场案例库!$A$6:$A$35,C437)&lt;&gt;1,"",IF(INDEX(市场案例库!$O$6:$O$35,MATCH(C437,市场案例库!$A$6:$A$35,0))="","",INDEX(市场案例库!$O$6:$O$35,MATCH(C437,市场案例库!$A$6:$A$35,0)))),"不适用")</f>
        <v>露天场地</v>
      </c>
      <c r="H437" s="19">
        <f>测算参数!$B$6</f>
        <v>100</v>
      </c>
      <c r="I437" s="10">
        <v>100</v>
      </c>
      <c r="J437" s="20">
        <f>IF(OR(C437&lt;&gt;N437,COUNT(H437:I437)&lt;&gt;2,H437&lt;=0,I437&lt;=0),"",IF(TRUE,H437/I437,H437/H437))</f>
        <v>1</v>
      </c>
      <c r="K437" s="16" t="s">
        <v>245</v>
      </c>
      <c r="L437" s="16" t="s">
        <v>215</v>
      </c>
      <c r="M437" s="16" t="str">
        <f t="shared" si="54"/>
        <v>模拟评分记录完整</v>
      </c>
      <c r="N437" s="8" t="s">
        <v>173</v>
      </c>
    </row>
    <row r="438" spans="1:14" ht="46.05" customHeight="1">
      <c r="A438" s="16" t="s">
        <v>82</v>
      </c>
      <c r="B438" s="16">
        <v>1</v>
      </c>
      <c r="C438" s="17" t="str">
        <f>三案例选用!B15</f>
        <v>SC-022</v>
      </c>
      <c r="D438" s="16" t="s">
        <v>209</v>
      </c>
      <c r="E438" s="16" t="str">
        <f>IF(TRUE,"适用","不适用采用100/100")</f>
        <v>适用</v>
      </c>
      <c r="F438" s="17" t="str">
        <f>IF(TRUE,IF(COUNTIFS(资产清单!$A$6:$A$25,A438)&lt;&gt;1,"",IF(INDEX(资产清单!$I$6:$I$25,MATCH(A438,资产清单!$A$6:$A$25,0))="","",INDEX(资产清单!$I$6:$I$25,MATCH(A438,资产清单!$A$6:$A$25,0)))),"不适用")</f>
        <v>停车位</v>
      </c>
      <c r="G438" s="17" t="str">
        <f>IF(TRUE,IF(COUNTIFS(市场案例库!$A$6:$A$35,C438)&lt;&gt;1,"",IF(INDEX(市场案例库!$O$6:$O$35,MATCH(C438,市场案例库!$A$6:$A$35,0))="","",INDEX(市场案例库!$O$6:$O$35,MATCH(C438,市场案例库!$A$6:$A$35,0)))),"不适用")</f>
        <v>停车位</v>
      </c>
      <c r="H438" s="19">
        <f>测算参数!$B$6</f>
        <v>100</v>
      </c>
      <c r="I438" s="19">
        <f>IF(OR(COUNTIFS(市场案例库!$A$6:$A$35,C438)&lt;&gt;1),"",IF(COUNTIFS(市场案例库!$A$6:$A$35,C438)&lt;&gt;1,"",IF(COUNT(INDEX(市场案例库!$M$6:$M$35,MATCH(C438,市场案例库!$A$6:$A$35,0)))&lt;&gt;1,"",INDEX(市场案例库!$M$6:$M$35,MATCH(C438,市场案例库!$A$6:$A$35,0)))))</f>
        <v>100</v>
      </c>
      <c r="J438" s="20">
        <f>IF(OR(C438&lt;&gt;N438,COUNT(H438:I438)&lt;&gt;2,H438&lt;=0,I438&lt;=0),"",IF(TRUE,H438/I438,H438/H438))</f>
        <v>1</v>
      </c>
      <c r="K438" s="16" t="s">
        <v>246</v>
      </c>
      <c r="L438" s="16" t="s">
        <v>211</v>
      </c>
      <c r="M438" s="16" t="str">
        <f t="shared" si="54"/>
        <v>模拟评分记录完整</v>
      </c>
      <c r="N438" s="8" t="s">
        <v>174</v>
      </c>
    </row>
    <row r="439" spans="1:14" ht="46.05" customHeight="1">
      <c r="A439" s="16" t="s">
        <v>82</v>
      </c>
      <c r="B439" s="16">
        <v>1</v>
      </c>
      <c r="C439" s="17" t="str">
        <f>三案例选用!B15</f>
        <v>SC-022</v>
      </c>
      <c r="D439" s="16" t="s">
        <v>212</v>
      </c>
      <c r="E439" s="16" t="str">
        <f>IF(TRUE,"适用","不适用采用100/100")</f>
        <v>适用</v>
      </c>
      <c r="F439" s="17" t="str">
        <f>IF(TRUE,IF(COUNTIFS(资产清单!$A$6:$A$25,A439)&lt;&gt;1,"",IF(INDEX(资产清单!$I$6:$I$25,MATCH(A439,资产清单!$A$6:$A$25,0))="","",INDEX(资产清单!$I$6:$I$25,MATCH(A439,资产清单!$A$6:$A$25,0)))),"不适用")</f>
        <v>停车位</v>
      </c>
      <c r="G439" s="17" t="str">
        <f>IF(TRUE,IF(COUNTIFS(市场案例库!$A$6:$A$35,C439)&lt;&gt;1,"",IF(INDEX(市场案例库!$O$6:$O$35,MATCH(C439,市场案例库!$A$6:$A$35,0))="","",INDEX(市场案例库!$O$6:$O$35,MATCH(C439,市场案例库!$A$6:$A$35,0)))),"不适用")</f>
        <v>停车位</v>
      </c>
      <c r="H439" s="19">
        <f>测算参数!$B$6</f>
        <v>100</v>
      </c>
      <c r="I439" s="19">
        <f>IF(OR(COUNTIFS(市场案例库!$A$6:$A$35,C439)&lt;&gt;1),"",IF(COUNTIFS(市场案例库!$A$6:$A$35,C439)&lt;&gt;1,"",IF(COUNT(INDEX(市场案例库!$N$6:$N$35,MATCH(C439,市场案例库!$A$6:$A$35,0)))&lt;&gt;1,"",INDEX(市场案例库!$N$6:$N$35,MATCH(C439,市场案例库!$A$6:$A$35,0)))))</f>
        <v>100</v>
      </c>
      <c r="J439" s="20">
        <f>IF(OR(C439&lt;&gt;N439,COUNT(H439:I439)&lt;&gt;2,H439&lt;=0,I439&lt;=0),"",IF(TRUE,H439/I439,H439/H439))</f>
        <v>1</v>
      </c>
      <c r="K439" s="16" t="s">
        <v>246</v>
      </c>
      <c r="L439" s="16" t="s">
        <v>213</v>
      </c>
      <c r="M439" s="16" t="str">
        <f t="shared" si="54"/>
        <v>模拟评分记录完整</v>
      </c>
      <c r="N439" s="8" t="s">
        <v>174</v>
      </c>
    </row>
    <row r="440" spans="1:14" ht="46.05" customHeight="1">
      <c r="A440" s="16" t="s">
        <v>82</v>
      </c>
      <c r="B440" s="16">
        <v>1</v>
      </c>
      <c r="C440" s="17" t="str">
        <f>三案例选用!B15</f>
        <v>SC-022</v>
      </c>
      <c r="D440" s="16" t="s">
        <v>214</v>
      </c>
      <c r="E440" s="16" t="str">
        <f>IF(TRUE,"适用","不适用采用100/100")</f>
        <v>适用</v>
      </c>
      <c r="F440" s="17" t="str">
        <f>IF(TRUE,IF(COUNTIFS(资产清单!$A$6:$A$25,A440)&lt;&gt;1,"",IF(INDEX(资产清单!$I$6:$I$25,MATCH(A440,资产清单!$A$6:$A$25,0))="","",INDEX(资产清单!$I$6:$I$25,MATCH(A440,资产清单!$A$6:$A$25,0)))),"不适用")</f>
        <v>停车位</v>
      </c>
      <c r="G440" s="17" t="str">
        <f>IF(TRUE,IF(COUNTIFS(市场案例库!$A$6:$A$35,C440)&lt;&gt;1,"",IF(INDEX(市场案例库!$O$6:$O$35,MATCH(C440,市场案例库!$A$6:$A$35,0))="","",INDEX(市场案例库!$O$6:$O$35,MATCH(C440,市场案例库!$A$6:$A$35,0)))),"不适用")</f>
        <v>停车位</v>
      </c>
      <c r="H440" s="19">
        <f>测算参数!$B$6</f>
        <v>100</v>
      </c>
      <c r="I440" s="10">
        <v>100</v>
      </c>
      <c r="J440" s="20">
        <f>IF(OR(C440&lt;&gt;N440,COUNT(H440:I440)&lt;&gt;2,H440&lt;=0,I440&lt;=0),"",IF(TRUE,H440/I440,H440/H440))</f>
        <v>1</v>
      </c>
      <c r="K440" s="16" t="s">
        <v>246</v>
      </c>
      <c r="L440" s="16" t="s">
        <v>215</v>
      </c>
      <c r="M440" s="16" t="str">
        <f t="shared" si="54"/>
        <v>模拟评分记录完整</v>
      </c>
      <c r="N440" s="8" t="s">
        <v>174</v>
      </c>
    </row>
    <row r="441" spans="1:14" ht="46.05" customHeight="1">
      <c r="A441" s="16" t="s">
        <v>82</v>
      </c>
      <c r="B441" s="16">
        <v>1</v>
      </c>
      <c r="C441" s="17" t="str">
        <f>三案例选用!B15</f>
        <v>SC-022</v>
      </c>
      <c r="D441" s="16" t="s">
        <v>216</v>
      </c>
      <c r="E441" s="16" t="str">
        <f>IF(TRUE,"适用","不适用采用100/100")</f>
        <v>适用</v>
      </c>
      <c r="F441" s="17" t="str">
        <f>IF(TRUE,IF(COUNTIFS(资产清单!$A$6:$A$25,A441)&lt;&gt;1,"",IF(INDEX(资产清单!$I$6:$I$25,MATCH(A441,资产清单!$A$6:$A$25,0))="","",INDEX(资产清单!$I$6:$I$25,MATCH(A441,资产清单!$A$6:$A$25,0)))),"不适用")</f>
        <v>停车位</v>
      </c>
      <c r="G441" s="17" t="str">
        <f>IF(TRUE,IF(COUNTIFS(市场案例库!$A$6:$A$35,C441)&lt;&gt;1,"",IF(INDEX(市场案例库!$O$6:$O$35,MATCH(C441,市场案例库!$A$6:$A$35,0))="","",INDEX(市场案例库!$O$6:$O$35,MATCH(C441,市场案例库!$A$6:$A$35,0)))),"不适用")</f>
        <v>停车位</v>
      </c>
      <c r="H441" s="19">
        <f>测算参数!$B$6</f>
        <v>100</v>
      </c>
      <c r="I441" s="10">
        <v>100</v>
      </c>
      <c r="J441" s="20">
        <f>IF(OR(C441&lt;&gt;N441,COUNT(H441:I441)&lt;&gt;2,H441&lt;=0,I441&lt;=0),"",IF(TRUE,H441/I441,H441/H441))</f>
        <v>1</v>
      </c>
      <c r="K441" s="16" t="s">
        <v>246</v>
      </c>
      <c r="L441" s="16" t="s">
        <v>215</v>
      </c>
      <c r="M441" s="16" t="str">
        <f t="shared" si="54"/>
        <v>模拟评分记录完整</v>
      </c>
      <c r="N441" s="8" t="s">
        <v>174</v>
      </c>
    </row>
    <row r="442" spans="1:14" ht="46.05" customHeight="1">
      <c r="A442" s="16" t="s">
        <v>82</v>
      </c>
      <c r="B442" s="16">
        <v>1</v>
      </c>
      <c r="C442" s="17" t="str">
        <f>三案例选用!B15</f>
        <v>SC-022</v>
      </c>
      <c r="D442" s="16" t="s">
        <v>217</v>
      </c>
      <c r="E442" s="17" t="str">
        <f>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"适用","不适用采用100/100")</f>
        <v>不适用采用100/100</v>
      </c>
      <c r="F442" s="17" t="str">
        <f>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IF(COUNTIFS(资产清单!$A$6:$A$25,A442)&lt;&gt;1,"",IF(COUNT(INDEX(资产清单!$M$6:$M$25,MATCH(A442,资产清单!$A$6:$A$25,0)))&lt;&gt;1,"",INDEX(资产清单!$M$6:$M$25,MATCH(A442,资产清单!$A$6:$A$25,0)))),"不适用")</f>
        <v>不适用</v>
      </c>
      <c r="G442" s="17" t="str">
        <f>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IF(COUNTIFS(市场案例库!$A$6:$A$35,C442)&lt;&gt;1,"",IF(COUNT(INDEX(市场案例库!$H$6:$H$35,MATCH(C442,市场案例库!$A$6:$A$35,0)))&lt;&gt;1,"",INDEX(市场案例库!$H$6:$H$35,MATCH(C442,市场案例库!$A$6:$A$35,0)))),"不适用")</f>
        <v>不适用</v>
      </c>
      <c r="H442" s="19">
        <f>测算参数!$B$6</f>
        <v>100</v>
      </c>
      <c r="I442" s="19">
        <f>IF(OR(COUNTIFS(市场案例库!$A$6:$A$35,C442)&lt;&gt;1,AND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COUNT(IF(COUNTIFS(资产清单!$A$6:$A$25,A442)&lt;&gt;1,"",IF(COUNT(INDEX(资产清单!$M$6:$M$25,MATCH(A442,资产清单!$A$6:$A$25,0)))&lt;&gt;1,"",INDEX(资产清单!$M$6:$M$25,MATCH(A442,资产清单!$A$6:$A$25,0)))),IF(COUNTIFS(市场案例库!$A$6:$A$35,C442)&lt;&gt;1,"",IF(COUNT(INDEX(市场案例库!$H$6:$H$35,MATCH(C442,市场案例库!$A$6:$A$35,0)))&lt;&gt;1,"",INDEX(市场案例库!$H$6:$H$35,MATCH(C442,市场案例库!$A$6:$A$35,0)))))&lt;&gt;2)),"",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INDEX(测算参数!$B$25:$B$31,MATCH(MAX(-测算参数!$B$11,MIN(测算参数!$B$11,IF(COUNTIFS(资产清单!$A$6:$A$25,A442)&lt;&gt;1,"",IF(COUNT(INDEX(资产清单!$M$6:$M$25,MATCH(A442,资产清单!$A$6:$A$25,0)))&lt;&gt;1,"",INDEX(资产清单!$M$6:$M$25,MATCH(A442,资产清单!$A$6:$A$25,0))))-IF(COUNTIFS(市场案例库!$A$6:$A$35,C442)&lt;&gt;1,"",IF(COUNT(INDEX(市场案例库!$H$6:$H$35,MATCH(C442,市场案例库!$A$6:$A$35,0)))&lt;&gt;1,"",INDEX(市场案例库!$H$6:$H$35,MATCH(C442,市场案例库!$A$6:$A$35,0)))))),测算参数!$A$25:$A$31,0)),测算参数!$B$6))</f>
        <v>100</v>
      </c>
      <c r="J442" s="21">
        <f>IF(OR(C442&lt;&gt;N442,COUNT(H442:I442)&lt;&gt;2,H442&lt;=0,I442&lt;=0),"",IF(OR(IF(COUNTIFS(资产清单!$A$6:$A$25,A442)&lt;&gt;1,"",IF(INDEX(资产清单!$H$6:$H$25,MATCH(A442,资产清单!$A$6:$A$25,0))="","",INDEX(资产清单!$H$6:$H$25,MATCH(A442,资产清单!$A$6:$A$25,0))))="商业",IF(COUNTIFS(资产清单!$A$6:$A$25,A442)&lt;&gt;1,"",IF(INDEX(资产清单!$H$6:$H$25,MATCH(A442,资产清单!$A$6:$A$25,0))="","",INDEX(资产清单!$H$6:$H$25,MATCH(A442,资产清单!$A$6:$A$25,0))))="办公",IF(COUNTIFS(资产清单!$A$6:$A$25,A442)&lt;&gt;1,"",IF(INDEX(资产清单!$H$6:$H$25,MATCH(A442,资产清单!$A$6:$A$25,0))="","",INDEX(资产清单!$H$6:$H$25,MATCH(A442,资产清单!$A$6:$A$25,0))))="住宅"),H442/I442,H442/H442))</f>
        <v>1</v>
      </c>
      <c r="K442" s="16" t="s">
        <v>246</v>
      </c>
      <c r="L442" s="16" t="s">
        <v>218</v>
      </c>
      <c r="M442" s="16" t="str">
        <f t="shared" si="54"/>
        <v>模拟评分记录完整</v>
      </c>
      <c r="N442" s="8" t="s">
        <v>174</v>
      </c>
    </row>
    <row r="443" spans="1:14" ht="46.05" customHeight="1">
      <c r="A443" s="16" t="s">
        <v>82</v>
      </c>
      <c r="B443" s="16">
        <v>1</v>
      </c>
      <c r="C443" s="17" t="str">
        <f>三案例选用!B15</f>
        <v>SC-022</v>
      </c>
      <c r="D443" s="16" t="s">
        <v>219</v>
      </c>
      <c r="E443" s="17" t="str">
        <f>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"适用","不适用采用100/100")</f>
        <v>不适用采用100/100</v>
      </c>
      <c r="F443" s="17" t="str">
        <f>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IF(COUNTIFS(资产清单!$A$6:$A$25,A443)&lt;&gt;1,"",IF(COUNT(INDEX(资产清单!$L$6:$L$25,MATCH(A443,资产清单!$A$6:$A$25,0)))&lt;&gt;1,"",INDEX(资产清单!$L$6:$L$25,MATCH(A443,资产清单!$A$6:$A$25,0)))),"不适用")</f>
        <v>不适用</v>
      </c>
      <c r="G443" s="17" t="str">
        <f>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IF(COUNTIFS(市场案例库!$A$6:$A$35,C443)&lt;&gt;1,"",IF(COUNT(INDEX(市场案例库!$G$6:$G$35,MATCH(C443,市场案例库!$A$6:$A$35,0)))&lt;&gt;1,"",INDEX(市场案例库!$G$6:$G$35,MATCH(C443,市场案例库!$A$6:$A$35,0)))),"不适用")</f>
        <v>不适用</v>
      </c>
      <c r="H443" s="19">
        <f>测算参数!$B$6</f>
        <v>100</v>
      </c>
      <c r="I443" s="19">
        <f>IF(OR(COUNTIFS(市场案例库!$A$6:$A$35,C443)&lt;&gt;1,AND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OR(COUNT(IF(COUNTIFS(资产清单!$A$6:$A$25,A443)&lt;&gt;1,"",IF(COUNT(INDEX(资产清单!$L$6:$L$25,MATCH(A443,资产清单!$A$6:$A$25,0)))&lt;&gt;1,"",INDEX(资产清单!$L$6:$L$25,MATCH(A443,资产清单!$A$6:$A$25,0)))),IF(COUNTIFS(市场案例库!$A$6:$A$35,C443)&lt;&gt;1,"",IF(COUNT(INDEX(市场案例库!$G$6:$G$35,MATCH(C443,市场案例库!$A$6:$A$35,0)))&lt;&gt;1,"",INDEX(市场案例库!$G$6:$G$35,MATCH(C443,市场案例库!$A$6:$A$35,0)))))&lt;&gt;2,IF(COUNTIFS(资产清单!$A$6:$A$25,A443)&lt;&gt;1,"",IF(COUNT(INDEX(资产清单!$L$6:$L$25,MATCH(A443,资产清单!$A$6:$A$25,0)))&lt;&gt;1,"",INDEX(资产清单!$L$6:$L$25,MATCH(A443,资产清单!$A$6:$A$25,0))))&lt;=0,IF(COUNTIFS(市场案例库!$A$6:$A$35,C443)&lt;&gt;1,"",IF(COUNT(INDEX(市场案例库!$G$6:$G$35,MATCH(C443,市场案例库!$A$6:$A$35,0)))&lt;&gt;1,"",INDEX(市场案例库!$G$6:$G$35,MATCH(C443,市场案例库!$A$6:$A$35,0))))&lt;=0))),"",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LOOKUP(IF(COUNTIFS(市场案例库!$A$6:$A$35,C443)&lt;&gt;1,"",IF(COUNT(INDEX(市场案例库!$G$6:$G$35,MATCH(C443,市场案例库!$A$6:$A$35,0)))&lt;&gt;1,"",INDEX(市场案例库!$G$6:$G$35,MATCH(C443,市场案例库!$A$6:$A$35,0))))/IF(COUNTIFS(资产清单!$A$6:$A$25,A443)&lt;&gt;1,"",IF(COUNT(INDEX(资产清单!$L$6:$L$25,MATCH(A443,资产清单!$A$6:$A$25,0)))&lt;&gt;1,"",INDEX(资产清单!$L$6:$L$25,MATCH(A443,资产清单!$A$6:$A$25,0)))),测算参数!$A$15:$A$21,测算参数!$C$15:$C$21),测算参数!$B$6))</f>
        <v>100</v>
      </c>
      <c r="J443" s="21">
        <f>IF(OR(C443&lt;&gt;N443,COUNT(H443:I443)&lt;&gt;2,H443&lt;=0,I443&lt;=0),"",IF(AND(IF(COUNTIFS(资产清单!$A$6:$A$25,A443)&lt;&gt;1,"",IF(INDEX(资产清单!$J$6:$J$25,MATCH(A443,资产清单!$A$6:$A$25,0))="","",INDEX(资产清单!$J$6:$J$25,MATCH(A443,资产清单!$A$6:$A$25,0))))="元/㎡/月",IF(COUNTIFS(资产清单!$A$6:$A$25,A443)&lt;&gt;1,"",IF(INDEX(资产清单!$H$6:$H$25,MATCH(A443,资产清单!$A$6:$A$25,0))="","",INDEX(资产清单!$H$6:$H$25,MATCH(A443,资产清单!$A$6:$A$25,0))))&lt;&gt;"场地"),H443/I443,H443/H443))</f>
        <v>1</v>
      </c>
      <c r="K443" s="16" t="s">
        <v>246</v>
      </c>
      <c r="L443" s="16" t="s">
        <v>220</v>
      </c>
      <c r="M443" s="16" t="str">
        <f t="shared" si="54"/>
        <v>模拟评分记录完整</v>
      </c>
      <c r="N443" s="8" t="s">
        <v>174</v>
      </c>
    </row>
    <row r="444" spans="1:14" ht="46.05" customHeight="1">
      <c r="A444" s="16" t="s">
        <v>82</v>
      </c>
      <c r="B444" s="16">
        <v>1</v>
      </c>
      <c r="C444" s="17" t="str">
        <f>三案例选用!B15</f>
        <v>SC-022</v>
      </c>
      <c r="D444" s="16" t="s">
        <v>221</v>
      </c>
      <c r="E444" s="16" t="str">
        <f t="shared" ref="E444:E449" si="61">IF(TRUE,"适用","不适用采用100/100")</f>
        <v>适用</v>
      </c>
      <c r="F444" s="17" t="str">
        <f>IF(TRUE,IF(COUNTIFS(资产清单!$A$6:$A$25,A444)&lt;&gt;1,"",IF(INDEX(资产清单!$I$6:$I$25,MATCH(A444,资产清单!$A$6:$A$25,0))="","",INDEX(资产清单!$I$6:$I$25,MATCH(A444,资产清单!$A$6:$A$25,0)))),"不适用")</f>
        <v>停车位</v>
      </c>
      <c r="G444" s="17" t="str">
        <f>IF(TRUE,IF(COUNTIFS(市场案例库!$A$6:$A$35,C444)&lt;&gt;1,"",IF(INDEX(市场案例库!$O$6:$O$35,MATCH(C444,市场案例库!$A$6:$A$35,0))="","",INDEX(市场案例库!$O$6:$O$35,MATCH(C444,市场案例库!$A$6:$A$35,0)))),"不适用")</f>
        <v>停车位</v>
      </c>
      <c r="H444" s="19">
        <f>测算参数!$B$6</f>
        <v>100</v>
      </c>
      <c r="I444" s="10">
        <v>100</v>
      </c>
      <c r="J444" s="20">
        <f t="shared" ref="J444:J449" si="62">IF(OR(C444&lt;&gt;N444,COUNT(H444:I444)&lt;&gt;2,H444&lt;=0,I444&lt;=0),"",IF(TRUE,H444/I444,H444/H444))</f>
        <v>1</v>
      </c>
      <c r="K444" s="16" t="s">
        <v>246</v>
      </c>
      <c r="L444" s="16" t="s">
        <v>215</v>
      </c>
      <c r="M444" s="16" t="str">
        <f t="shared" si="54"/>
        <v>模拟评分记录完整</v>
      </c>
      <c r="N444" s="8" t="s">
        <v>174</v>
      </c>
    </row>
    <row r="445" spans="1:14" ht="46.05" customHeight="1">
      <c r="A445" s="16" t="s">
        <v>82</v>
      </c>
      <c r="B445" s="16">
        <v>1</v>
      </c>
      <c r="C445" s="17" t="str">
        <f>三案例选用!B15</f>
        <v>SC-022</v>
      </c>
      <c r="D445" s="16" t="s">
        <v>222</v>
      </c>
      <c r="E445" s="16" t="str">
        <f t="shared" si="61"/>
        <v>适用</v>
      </c>
      <c r="F445" s="17" t="str">
        <f>IF(TRUE,IF(COUNTIFS(资产清单!$A$6:$A$25,A445)&lt;&gt;1,"",IF(INDEX(资产清单!$I$6:$I$25,MATCH(A445,资产清单!$A$6:$A$25,0))="","",INDEX(资产清单!$I$6:$I$25,MATCH(A445,资产清单!$A$6:$A$25,0)))),"不适用")</f>
        <v>停车位</v>
      </c>
      <c r="G445" s="17" t="str">
        <f>IF(TRUE,IF(COUNTIFS(市场案例库!$A$6:$A$35,C445)&lt;&gt;1,"",IF(INDEX(市场案例库!$O$6:$O$35,MATCH(C445,市场案例库!$A$6:$A$35,0))="","",INDEX(市场案例库!$O$6:$O$35,MATCH(C445,市场案例库!$A$6:$A$35,0)))),"不适用")</f>
        <v>停车位</v>
      </c>
      <c r="H445" s="19">
        <f>测算参数!$B$6</f>
        <v>100</v>
      </c>
      <c r="I445" s="10">
        <v>100</v>
      </c>
      <c r="J445" s="20">
        <f t="shared" si="62"/>
        <v>1</v>
      </c>
      <c r="K445" s="16" t="s">
        <v>246</v>
      </c>
      <c r="L445" s="16" t="s">
        <v>215</v>
      </c>
      <c r="M445" s="16" t="str">
        <f t="shared" si="54"/>
        <v>模拟评分记录完整</v>
      </c>
      <c r="N445" s="8" t="s">
        <v>174</v>
      </c>
    </row>
    <row r="446" spans="1:14" ht="46.05" customHeight="1">
      <c r="A446" s="16" t="s">
        <v>82</v>
      </c>
      <c r="B446" s="16">
        <v>1</v>
      </c>
      <c r="C446" s="17" t="str">
        <f>三案例选用!B15</f>
        <v>SC-022</v>
      </c>
      <c r="D446" s="16" t="s">
        <v>224</v>
      </c>
      <c r="E446" s="16" t="str">
        <f t="shared" si="61"/>
        <v>适用</v>
      </c>
      <c r="F446" s="17" t="str">
        <f>IF(TRUE,IF(COUNTIFS(资产清单!$A$6:$A$25,A446)&lt;&gt;1,"",IF(INDEX(资产清单!$I$6:$I$25,MATCH(A446,资产清单!$A$6:$A$25,0))="","",INDEX(资产清单!$I$6:$I$25,MATCH(A446,资产清单!$A$6:$A$25,0)))),"不适用")</f>
        <v>停车位</v>
      </c>
      <c r="G446" s="17" t="str">
        <f>IF(TRUE,IF(COUNTIFS(市场案例库!$A$6:$A$35,C446)&lt;&gt;1,"",IF(INDEX(市场案例库!$O$6:$O$35,MATCH(C446,市场案例库!$A$6:$A$35,0))="","",INDEX(市场案例库!$O$6:$O$35,MATCH(C446,市场案例库!$A$6:$A$35,0)))),"不适用")</f>
        <v>停车位</v>
      </c>
      <c r="H446" s="19">
        <f>测算参数!$B$6</f>
        <v>100</v>
      </c>
      <c r="I446" s="10">
        <v>100</v>
      </c>
      <c r="J446" s="20">
        <f t="shared" si="62"/>
        <v>1</v>
      </c>
      <c r="K446" s="16" t="s">
        <v>246</v>
      </c>
      <c r="L446" s="16" t="s">
        <v>215</v>
      </c>
      <c r="M446" s="16" t="str">
        <f t="shared" si="54"/>
        <v>模拟评分记录完整</v>
      </c>
      <c r="N446" s="8" t="s">
        <v>174</v>
      </c>
    </row>
    <row r="447" spans="1:14" ht="46.05" customHeight="1">
      <c r="A447" s="16" t="s">
        <v>82</v>
      </c>
      <c r="B447" s="16">
        <v>1</v>
      </c>
      <c r="C447" s="17" t="str">
        <f>三案例选用!B15</f>
        <v>SC-022</v>
      </c>
      <c r="D447" s="16" t="s">
        <v>225</v>
      </c>
      <c r="E447" s="16" t="str">
        <f t="shared" si="61"/>
        <v>适用</v>
      </c>
      <c r="F447" s="17" t="str">
        <f>IF(TRUE,IF(COUNTIFS(资产清单!$A$6:$A$25,A447)&lt;&gt;1,"",IF(INDEX(资产清单!$I$6:$I$25,MATCH(A447,资产清单!$A$6:$A$25,0))="","",INDEX(资产清单!$I$6:$I$25,MATCH(A447,资产清单!$A$6:$A$25,0)))),"不适用")</f>
        <v>停车位</v>
      </c>
      <c r="G447" s="17" t="str">
        <f>IF(TRUE,IF(COUNTIFS(市场案例库!$A$6:$A$35,C447)&lt;&gt;1,"",IF(INDEX(市场案例库!$O$6:$O$35,MATCH(C447,市场案例库!$A$6:$A$35,0))="","",INDEX(市场案例库!$O$6:$O$35,MATCH(C447,市场案例库!$A$6:$A$35,0)))),"不适用")</f>
        <v>停车位</v>
      </c>
      <c r="H447" s="19">
        <f>测算参数!$B$6</f>
        <v>100</v>
      </c>
      <c r="I447" s="10">
        <v>100</v>
      </c>
      <c r="J447" s="20">
        <f t="shared" si="62"/>
        <v>1</v>
      </c>
      <c r="K447" s="16" t="s">
        <v>246</v>
      </c>
      <c r="L447" s="16" t="s">
        <v>215</v>
      </c>
      <c r="M447" s="16" t="str">
        <f t="shared" si="54"/>
        <v>模拟评分记录完整</v>
      </c>
      <c r="N447" s="8" t="s">
        <v>174</v>
      </c>
    </row>
    <row r="448" spans="1:14" ht="46.05" customHeight="1">
      <c r="A448" s="16" t="s">
        <v>82</v>
      </c>
      <c r="B448" s="16">
        <v>1</v>
      </c>
      <c r="C448" s="17" t="str">
        <f>三案例选用!B15</f>
        <v>SC-022</v>
      </c>
      <c r="D448" s="16" t="s">
        <v>226</v>
      </c>
      <c r="E448" s="16" t="str">
        <f t="shared" si="61"/>
        <v>适用</v>
      </c>
      <c r="F448" s="17" t="str">
        <f>IF(TRUE,IF(COUNTIFS(资产清单!$A$6:$A$25,A448)&lt;&gt;1,"",IF(INDEX(资产清单!$I$6:$I$25,MATCH(A448,资产清单!$A$6:$A$25,0))="","",INDEX(资产清单!$I$6:$I$25,MATCH(A448,资产清单!$A$6:$A$25,0)))),"不适用")</f>
        <v>停车位</v>
      </c>
      <c r="G448" s="17" t="str">
        <f>IF(TRUE,IF(COUNTIFS(市场案例库!$A$6:$A$35,C448)&lt;&gt;1,"",IF(INDEX(市场案例库!$O$6:$O$35,MATCH(C448,市场案例库!$A$6:$A$35,0))="","",INDEX(市场案例库!$O$6:$O$35,MATCH(C448,市场案例库!$A$6:$A$35,0)))),"不适用")</f>
        <v>停车位</v>
      </c>
      <c r="H448" s="19">
        <f>测算参数!$B$6</f>
        <v>100</v>
      </c>
      <c r="I448" s="10">
        <v>100</v>
      </c>
      <c r="J448" s="20">
        <f t="shared" si="62"/>
        <v>1</v>
      </c>
      <c r="K448" s="16" t="s">
        <v>246</v>
      </c>
      <c r="L448" s="16" t="s">
        <v>215</v>
      </c>
      <c r="M448" s="16" t="str">
        <f t="shared" si="54"/>
        <v>模拟评分记录完整</v>
      </c>
      <c r="N448" s="8" t="s">
        <v>174</v>
      </c>
    </row>
    <row r="449" spans="1:14" ht="46.05" customHeight="1">
      <c r="A449" s="16" t="s">
        <v>82</v>
      </c>
      <c r="B449" s="16">
        <v>1</v>
      </c>
      <c r="C449" s="17" t="str">
        <f>三案例选用!B15</f>
        <v>SC-022</v>
      </c>
      <c r="D449" s="16" t="s">
        <v>227</v>
      </c>
      <c r="E449" s="16" t="str">
        <f t="shared" si="61"/>
        <v>适用</v>
      </c>
      <c r="F449" s="17" t="str">
        <f>IF(TRUE,IF(COUNTIFS(资产清单!$A$6:$A$25,A449)&lt;&gt;1,"",IF(INDEX(资产清单!$I$6:$I$25,MATCH(A449,资产清单!$A$6:$A$25,0))="","",INDEX(资产清单!$I$6:$I$25,MATCH(A449,资产清单!$A$6:$A$25,0)))),"不适用")</f>
        <v>停车位</v>
      </c>
      <c r="G449" s="17" t="str">
        <f>IF(TRUE,IF(COUNTIFS(市场案例库!$A$6:$A$35,C449)&lt;&gt;1,"",IF(INDEX(市场案例库!$O$6:$O$35,MATCH(C449,市场案例库!$A$6:$A$35,0))="","",INDEX(市场案例库!$O$6:$O$35,MATCH(C449,市场案例库!$A$6:$A$35,0)))),"不适用")</f>
        <v>停车位</v>
      </c>
      <c r="H449" s="19">
        <f>测算参数!$B$6</f>
        <v>100</v>
      </c>
      <c r="I449" s="10">
        <v>100</v>
      </c>
      <c r="J449" s="20">
        <f t="shared" si="62"/>
        <v>1</v>
      </c>
      <c r="K449" s="16" t="s">
        <v>246</v>
      </c>
      <c r="L449" s="16" t="s">
        <v>215</v>
      </c>
      <c r="M449" s="16" t="str">
        <f t="shared" si="54"/>
        <v>模拟评分记录完整</v>
      </c>
      <c r="N449" s="8" t="s">
        <v>174</v>
      </c>
    </row>
    <row r="450" spans="1:14" ht="46.05" customHeight="1">
      <c r="A450" s="16" t="s">
        <v>82</v>
      </c>
      <c r="B450" s="16">
        <v>1</v>
      </c>
      <c r="C450" s="17" t="str">
        <f>三案例选用!B15</f>
        <v>SC-022</v>
      </c>
      <c r="D450" s="16" t="s">
        <v>228</v>
      </c>
      <c r="E450" s="17" t="str">
        <f>IF(AND(IF(COUNTIFS(资产清单!$A$6:$A$25,A450)&lt;&gt;1,"",IF(INDEX(资产清单!$H$6:$H$25,MATCH(A450,资产清单!$A$6:$A$25,0))="","",INDEX(资产清单!$H$6:$H$25,MATCH(A450,资产清单!$A$6:$A$25,0))))&lt;&gt;"场地",IF(COUNTIFS(资产清单!$A$6:$A$25,A450)&lt;&gt;1,"",IF(INDEX(资产清单!$H$6:$H$25,MATCH(A450,资产清单!$A$6:$A$25,0))="","",INDEX(资产清单!$H$6:$H$25,MATCH(A450,资产清单!$A$6:$A$25,0))))&lt;&gt;"车位",IF(COUNTIFS(资产清单!$A$6:$A$25,A450)&lt;&gt;1,"",IF(INDEX(资产清单!$H$6:$H$25,MATCH(A450,资产清单!$A$6:$A$25,0))="","",INDEX(资产清单!$H$6:$H$25,MATCH(A450,资产清单!$A$6:$A$25,0))))&lt;&gt;"通信基站"),"适用","不适用采用100/100")</f>
        <v>不适用采用100/100</v>
      </c>
      <c r="F450" s="17" t="str">
        <f>IF(AND(IF(COUNTIFS(资产清单!$A$6:$A$25,A450)&lt;&gt;1,"",IF(INDEX(资产清单!$H$6:$H$25,MATCH(A450,资产清单!$A$6:$A$25,0))="","",INDEX(资产清单!$H$6:$H$25,MATCH(A450,资产清单!$A$6:$A$25,0))))&lt;&gt;"场地",IF(COUNTIFS(资产清单!$A$6:$A$25,A450)&lt;&gt;1,"",IF(INDEX(资产清单!$H$6:$H$25,MATCH(A450,资产清单!$A$6:$A$25,0))="","",INDEX(资产清单!$H$6:$H$25,MATCH(A450,资产清单!$A$6:$A$25,0))))&lt;&gt;"车位",IF(COUNTIFS(资产清单!$A$6:$A$25,A450)&lt;&gt;1,"",IF(INDEX(资产清单!$H$6:$H$25,MATCH(A450,资产清单!$A$6:$A$25,0))="","",INDEX(资产清单!$H$6:$H$25,MATCH(A450,资产清单!$A$6:$A$25,0))))&lt;&gt;"通信基站"),IF(COUNTIFS(资产清单!$A$6:$A$25,A450)&lt;&gt;1,"",IF(INDEX(资产清单!$I$6:$I$25,MATCH(A450,资产清单!$A$6:$A$25,0))="","",INDEX(资产清单!$I$6:$I$25,MATCH(A450,资产清单!$A$6:$A$25,0)))),"不适用")</f>
        <v>不适用</v>
      </c>
      <c r="G450" s="17" t="str">
        <f>IF(AND(IF(COUNTIFS(资产清单!$A$6:$A$25,A450)&lt;&gt;1,"",IF(INDEX(资产清单!$H$6:$H$25,MATCH(A450,资产清单!$A$6:$A$25,0))="","",INDEX(资产清单!$H$6:$H$25,MATCH(A450,资产清单!$A$6:$A$25,0))))&lt;&gt;"场地",IF(COUNTIFS(资产清单!$A$6:$A$25,A450)&lt;&gt;1,"",IF(INDEX(资产清单!$H$6:$H$25,MATCH(A450,资产清单!$A$6:$A$25,0))="","",INDEX(资产清单!$H$6:$H$25,MATCH(A450,资产清单!$A$6:$A$25,0))))&lt;&gt;"车位",IF(COUNTIFS(资产清单!$A$6:$A$25,A450)&lt;&gt;1,"",IF(INDEX(资产清单!$H$6:$H$25,MATCH(A450,资产清单!$A$6:$A$25,0))="","",INDEX(资产清单!$H$6:$H$25,MATCH(A450,资产清单!$A$6:$A$25,0))))&lt;&gt;"通信基站"),IF(COUNTIFS(市场案例库!$A$6:$A$35,C450)&lt;&gt;1,"",IF(INDEX(市场案例库!$O$6:$O$35,MATCH(C450,市场案例库!$A$6:$A$35,0))="","",INDEX(市场案例库!$O$6:$O$35,MATCH(C450,市场案例库!$A$6:$A$35,0)))),"不适用")</f>
        <v>不适用</v>
      </c>
      <c r="H450" s="19">
        <f>测算参数!$B$6</f>
        <v>100</v>
      </c>
      <c r="I450" s="10">
        <v>100</v>
      </c>
      <c r="J450" s="21">
        <f>IF(OR(C450&lt;&gt;N450,COUNT(H450:I450)&lt;&gt;2,H450&lt;=0,I450&lt;=0),"",IF(AND(IF(COUNTIFS(资产清单!$A$6:$A$25,A450)&lt;&gt;1,"",IF(INDEX(资产清单!$H$6:$H$25,MATCH(A450,资产清单!$A$6:$A$25,0))="","",INDEX(资产清单!$H$6:$H$25,MATCH(A450,资产清单!$A$6:$A$25,0))))&lt;&gt;"场地",IF(COUNTIFS(资产清单!$A$6:$A$25,A450)&lt;&gt;1,"",IF(INDEX(资产清单!$H$6:$H$25,MATCH(A450,资产清单!$A$6:$A$25,0))="","",INDEX(资产清单!$H$6:$H$25,MATCH(A450,资产清单!$A$6:$A$25,0))))&lt;&gt;"车位",IF(COUNTIFS(资产清单!$A$6:$A$25,A450)&lt;&gt;1,"",IF(INDEX(资产清单!$H$6:$H$25,MATCH(A450,资产清单!$A$6:$A$25,0))="","",INDEX(资产清单!$H$6:$H$25,MATCH(A450,资产清单!$A$6:$A$25,0))))&lt;&gt;"通信基站"),H450/I450,H450/H450))</f>
        <v>1</v>
      </c>
      <c r="K450" s="16" t="s">
        <v>246</v>
      </c>
      <c r="L450" s="16" t="s">
        <v>215</v>
      </c>
      <c r="M450" s="16" t="str">
        <f t="shared" si="54"/>
        <v>模拟评分记录完整</v>
      </c>
      <c r="N450" s="8" t="s">
        <v>174</v>
      </c>
    </row>
    <row r="451" spans="1:14" ht="46.05" customHeight="1">
      <c r="A451" s="16" t="s">
        <v>82</v>
      </c>
      <c r="B451" s="16">
        <v>1</v>
      </c>
      <c r="C451" s="17" t="str">
        <f>三案例选用!B15</f>
        <v>SC-022</v>
      </c>
      <c r="D451" s="16" t="s">
        <v>229</v>
      </c>
      <c r="E451" s="17" t="str">
        <f>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"适用","不适用采用100/100")</f>
        <v>不适用采用100/100</v>
      </c>
      <c r="F451" s="17" t="str">
        <f>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IF(COUNTIFS(资产清单!$A$6:$A$25,A451)&lt;&gt;1,"",IF(COUNT(INDEX(资产清单!$N$6:$N$25,MATCH(A451,资产清单!$A$6:$A$25,0)))&lt;&gt;1,"",INDEX(资产清单!$N$6:$N$25,MATCH(A451,资产清单!$A$6:$A$25,0)))),"不适用")</f>
        <v>不适用</v>
      </c>
      <c r="G451" s="17" t="str">
        <f>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IF(COUNTIFS(市场案例库!$A$6:$A$35,C451)&lt;&gt;1,"",IF(COUNT(INDEX(市场案例库!$I$6:$I$35,MATCH(C451,市场案例库!$A$6:$A$35,0)))&lt;&gt;1,"",INDEX(市场案例库!$I$6:$I$35,MATCH(C451,市场案例库!$A$6:$A$35,0)))),"不适用")</f>
        <v>不适用</v>
      </c>
      <c r="H451" s="19">
        <f>测算参数!$B$6</f>
        <v>100</v>
      </c>
      <c r="I451" s="19">
        <f>IF(OR(COUNTIFS(市场案例库!$A$6:$A$35,C451)&lt;&gt;1,AND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OR(COUNT(IF(COUNTIFS(资产清单!$A$6:$A$25,A451)&lt;&gt;1,"",IF(COUNT(INDEX(资产清单!$N$6:$N$25,MATCH(A451,资产清单!$A$6:$A$25,0)))&lt;&gt;1,"",INDEX(资产清单!$N$6:$N$25,MATCH(A451,资产清单!$A$6:$A$25,0)))),IF(COUNTIFS(市场案例库!$A$6:$A$35,C451)&lt;&gt;1,"",IF(COUNT(INDEX(市场案例库!$I$6:$I$35,MATCH(C451,市场案例库!$A$6:$A$35,0)))&lt;&gt;1,"",INDEX(市场案例库!$I$6:$I$35,MATCH(C451,市场案例库!$A$6:$A$35,0)))))&lt;&gt;2,IF(COUNTIFS(资产清单!$A$6:$A$25,A451)&lt;&gt;1,"",IF(COUNT(INDEX(资产清单!$N$6:$N$25,MATCH(A451,资产清单!$A$6:$A$25,0)))&lt;&gt;1,"",INDEX(资产清单!$N$6:$N$25,MATCH(A451,资产清单!$A$6:$A$25,0))))&lt;1,IF(COUNTIFS(资产清单!$A$6:$A$25,A451)&lt;&gt;1,"",IF(COUNT(INDEX(资产清单!$N$6:$N$25,MATCH(A451,资产清单!$A$6:$A$25,0)))&lt;&gt;1,"",INDEX(资产清单!$N$6:$N$25,MATCH(A451,资产清单!$A$6:$A$25,0))))&gt;4,IF(COUNTIFS(市场案例库!$A$6:$A$35,C451)&lt;&gt;1,"",IF(COUNT(INDEX(市场案例库!$I$6:$I$35,MATCH(C451,市场案例库!$A$6:$A$35,0)))&lt;&gt;1,"",INDEX(市场案例库!$I$6:$I$35,MATCH(C451,市场案例库!$A$6:$A$35,0))))&lt;1,IF(COUNTIFS(市场案例库!$A$6:$A$35,C451)&lt;&gt;1,"",IF(COUNT(INDEX(市场案例库!$I$6:$I$35,MATCH(C451,市场案例库!$A$6:$A$35,0)))&lt;&gt;1,"",INDEX(市场案例库!$I$6:$I$35,MATCH(C451,市场案例库!$A$6:$A$35,0))))&gt;4))),"",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INDEX(测算参数!$B$35:$B$41,MATCH(IF(COUNTIFS(市场案例库!$A$6:$A$35,C451)&lt;&gt;1,"",IF(COUNT(INDEX(市场案例库!$I$6:$I$35,MATCH(C451,市场案例库!$A$6:$A$35,0)))&lt;&gt;1,"",INDEX(市场案例库!$I$6:$I$35,MATCH(C451,市场案例库!$A$6:$A$35,0))))-IF(COUNTIFS(资产清单!$A$6:$A$25,A451)&lt;&gt;1,"",IF(COUNT(INDEX(资产清单!$N$6:$N$25,MATCH(A451,资产清单!$A$6:$A$25,0)))&lt;&gt;1,"",INDEX(资产清单!$N$6:$N$25,MATCH(A451,资产清单!$A$6:$A$25,0)))),测算参数!$A$35:$A$41,0)),测算参数!$B$6))</f>
        <v>100</v>
      </c>
      <c r="J451" s="21">
        <f>IF(OR(C451&lt;&gt;N451,COUNT(H451:I451)&lt;&gt;2,H451&lt;=0,I451&lt;=0),"",IF(AND(IF(COUNTIFS(资产清单!$A$6:$A$25,A451)&lt;&gt;1,"",IF(INDEX(资产清单!$H$6:$H$25,MATCH(A451,资产清单!$A$6:$A$25,0))="","",INDEX(资产清单!$H$6:$H$25,MATCH(A451,资产清单!$A$6:$A$25,0))))&lt;&gt;"场地",IF(COUNTIFS(资产清单!$A$6:$A$25,A451)&lt;&gt;1,"",IF(INDEX(资产清单!$H$6:$H$25,MATCH(A451,资产清单!$A$6:$A$25,0))="","",INDEX(资产清单!$H$6:$H$25,MATCH(A451,资产清单!$A$6:$A$25,0))))&lt;&gt;"车位",IF(COUNTIFS(资产清单!$A$6:$A$25,A451)&lt;&gt;1,"",IF(INDEX(资产清单!$H$6:$H$25,MATCH(A451,资产清单!$A$6:$A$25,0))="","",INDEX(资产清单!$H$6:$H$25,MATCH(A451,资产清单!$A$6:$A$25,0))))&lt;&gt;"通信基站"),H451/I451,H451/H451))</f>
        <v>1</v>
      </c>
      <c r="K451" s="16" t="s">
        <v>246</v>
      </c>
      <c r="L451" s="16" t="s">
        <v>230</v>
      </c>
      <c r="M451" s="16" t="str">
        <f t="shared" si="54"/>
        <v>模拟评分记录完整</v>
      </c>
      <c r="N451" s="8" t="s">
        <v>174</v>
      </c>
    </row>
    <row r="452" spans="1:14" ht="46.05" customHeight="1">
      <c r="A452" s="16" t="s">
        <v>82</v>
      </c>
      <c r="B452" s="16">
        <v>1</v>
      </c>
      <c r="C452" s="17" t="str">
        <f>三案例选用!B15</f>
        <v>SC-022</v>
      </c>
      <c r="D452" s="16" t="s">
        <v>231</v>
      </c>
      <c r="E452" s="17" t="str">
        <f>IF(AND(IF(COUNTIFS(资产清单!$A$6:$A$25,A452)&lt;&gt;1,"",IF(INDEX(资产清单!$H$6:$H$25,MATCH(A452,资产清单!$A$6:$A$25,0))="","",INDEX(资产清单!$H$6:$H$25,MATCH(A452,资产清单!$A$6:$A$25,0))))&lt;&gt;"场地",IF(COUNTIFS(资产清单!$A$6:$A$25,A452)&lt;&gt;1,"",IF(INDEX(资产清单!$H$6:$H$25,MATCH(A452,资产清单!$A$6:$A$25,0))="","",INDEX(资产清单!$H$6:$H$25,MATCH(A452,资产清单!$A$6:$A$25,0))))&lt;&gt;"车位",IF(COUNTIFS(资产清单!$A$6:$A$25,A452)&lt;&gt;1,"",IF(INDEX(资产清单!$H$6:$H$25,MATCH(A452,资产清单!$A$6:$A$25,0))="","",INDEX(资产清单!$H$6:$H$25,MATCH(A452,资产清单!$A$6:$A$25,0))))&lt;&gt;"通信基站"),"适用","不适用采用100/100")</f>
        <v>不适用采用100/100</v>
      </c>
      <c r="F452" s="17" t="str">
        <f>IF(AND(IF(COUNTIFS(资产清单!$A$6:$A$25,A452)&lt;&gt;1,"",IF(INDEX(资产清单!$H$6:$H$25,MATCH(A452,资产清单!$A$6:$A$25,0))="","",INDEX(资产清单!$H$6:$H$25,MATCH(A452,资产清单!$A$6:$A$25,0))))&lt;&gt;"场地",IF(COUNTIFS(资产清单!$A$6:$A$25,A452)&lt;&gt;1,"",IF(INDEX(资产清单!$H$6:$H$25,MATCH(A452,资产清单!$A$6:$A$25,0))="","",INDEX(资产清单!$H$6:$H$25,MATCH(A452,资产清单!$A$6:$A$25,0))))&lt;&gt;"车位",IF(COUNTIFS(资产清单!$A$6:$A$25,A452)&lt;&gt;1,"",IF(INDEX(资产清单!$H$6:$H$25,MATCH(A452,资产清单!$A$6:$A$25,0))="","",INDEX(资产清单!$H$6:$H$25,MATCH(A452,资产清单!$A$6:$A$25,0))))&lt;&gt;"通信基站"),IF(COUNTIFS(资产清单!$A$6:$A$25,A452)&lt;&gt;1,"",IF(INDEX(资产清单!$I$6:$I$25,MATCH(A452,资产清单!$A$6:$A$25,0))="","",INDEX(资产清单!$I$6:$I$25,MATCH(A452,资产清单!$A$6:$A$25,0)))),"不适用")</f>
        <v>不适用</v>
      </c>
      <c r="G452" s="17" t="str">
        <f>IF(AND(IF(COUNTIFS(资产清单!$A$6:$A$25,A452)&lt;&gt;1,"",IF(INDEX(资产清单!$H$6:$H$25,MATCH(A452,资产清单!$A$6:$A$25,0))="","",INDEX(资产清单!$H$6:$H$25,MATCH(A452,资产清单!$A$6:$A$25,0))))&lt;&gt;"场地",IF(COUNTIFS(资产清单!$A$6:$A$25,A452)&lt;&gt;1,"",IF(INDEX(资产清单!$H$6:$H$25,MATCH(A452,资产清单!$A$6:$A$25,0))="","",INDEX(资产清单!$H$6:$H$25,MATCH(A452,资产清单!$A$6:$A$25,0))))&lt;&gt;"车位",IF(COUNTIFS(资产清单!$A$6:$A$25,A452)&lt;&gt;1,"",IF(INDEX(资产清单!$H$6:$H$25,MATCH(A452,资产清单!$A$6:$A$25,0))="","",INDEX(资产清单!$H$6:$H$25,MATCH(A452,资产清单!$A$6:$A$25,0))))&lt;&gt;"通信基站"),IF(COUNTIFS(市场案例库!$A$6:$A$35,C452)&lt;&gt;1,"",IF(INDEX(市场案例库!$O$6:$O$35,MATCH(C452,市场案例库!$A$6:$A$35,0))="","",INDEX(市场案例库!$O$6:$O$35,MATCH(C452,市场案例库!$A$6:$A$35,0)))),"不适用")</f>
        <v>不适用</v>
      </c>
      <c r="H452" s="19">
        <f>测算参数!$B$6</f>
        <v>100</v>
      </c>
      <c r="I452" s="10">
        <v>100</v>
      </c>
      <c r="J452" s="21">
        <f>IF(OR(C452&lt;&gt;N452,COUNT(H452:I452)&lt;&gt;2,H452&lt;=0,I452&lt;=0),"",IF(AND(IF(COUNTIFS(资产清单!$A$6:$A$25,A452)&lt;&gt;1,"",IF(INDEX(资产清单!$H$6:$H$25,MATCH(A452,资产清单!$A$6:$A$25,0))="","",INDEX(资产清单!$H$6:$H$25,MATCH(A452,资产清单!$A$6:$A$25,0))))&lt;&gt;"场地",IF(COUNTIFS(资产清单!$A$6:$A$25,A452)&lt;&gt;1,"",IF(INDEX(资产清单!$H$6:$H$25,MATCH(A452,资产清单!$A$6:$A$25,0))="","",INDEX(资产清单!$H$6:$H$25,MATCH(A452,资产清单!$A$6:$A$25,0))))&lt;&gt;"车位",IF(COUNTIFS(资产清单!$A$6:$A$25,A452)&lt;&gt;1,"",IF(INDEX(资产清单!$H$6:$H$25,MATCH(A452,资产清单!$A$6:$A$25,0))="","",INDEX(资产清单!$H$6:$H$25,MATCH(A452,资产清单!$A$6:$A$25,0))))&lt;&gt;"通信基站"),H452/I452,H452/H452))</f>
        <v>1</v>
      </c>
      <c r="K452" s="16" t="s">
        <v>246</v>
      </c>
      <c r="L452" s="16" t="s">
        <v>215</v>
      </c>
      <c r="M452" s="16" t="str">
        <f t="shared" si="54"/>
        <v>模拟评分记录完整</v>
      </c>
      <c r="N452" s="8" t="s">
        <v>174</v>
      </c>
    </row>
    <row r="453" spans="1:14" ht="46.05" customHeight="1">
      <c r="A453" s="16" t="s">
        <v>82</v>
      </c>
      <c r="B453" s="16">
        <v>1</v>
      </c>
      <c r="C453" s="17" t="str">
        <f>三案例选用!B15</f>
        <v>SC-022</v>
      </c>
      <c r="D453" s="16" t="s">
        <v>232</v>
      </c>
      <c r="E453" s="16" t="str">
        <f>IF(TRUE,"适用","不适用采用100/100")</f>
        <v>适用</v>
      </c>
      <c r="F453" s="17" t="str">
        <f>IF(TRUE,IF(COUNTIFS(资产清单!$A$6:$A$25,A453)&lt;&gt;1,"",IF(INDEX(资产清单!$I$6:$I$25,MATCH(A453,资产清单!$A$6:$A$25,0))="","",INDEX(资产清单!$I$6:$I$25,MATCH(A453,资产清单!$A$6:$A$25,0)))),"不适用")</f>
        <v>停车位</v>
      </c>
      <c r="G453" s="17" t="str">
        <f>IF(TRUE,IF(COUNTIFS(市场案例库!$A$6:$A$35,C453)&lt;&gt;1,"",IF(INDEX(市场案例库!$O$6:$O$35,MATCH(C453,市场案例库!$A$6:$A$35,0))="","",INDEX(市场案例库!$O$6:$O$35,MATCH(C453,市场案例库!$A$6:$A$35,0)))),"不适用")</f>
        <v>停车位</v>
      </c>
      <c r="H453" s="19">
        <f>测算参数!$B$6</f>
        <v>100</v>
      </c>
      <c r="I453" s="10">
        <v>100</v>
      </c>
      <c r="J453" s="20">
        <f>IF(OR(C453&lt;&gt;N453,COUNT(H453:I453)&lt;&gt;2,H453&lt;=0,I453&lt;=0),"",IF(TRUE,H453/I453,H453/H453))</f>
        <v>1</v>
      </c>
      <c r="K453" s="16" t="s">
        <v>246</v>
      </c>
      <c r="L453" s="16" t="s">
        <v>215</v>
      </c>
      <c r="M453" s="16" t="str">
        <f t="shared" si="54"/>
        <v>模拟评分记录完整</v>
      </c>
      <c r="N453" s="8" t="s">
        <v>174</v>
      </c>
    </row>
    <row r="454" spans="1:14" ht="46.05" customHeight="1">
      <c r="A454" s="16" t="s">
        <v>82</v>
      </c>
      <c r="B454" s="16">
        <v>2</v>
      </c>
      <c r="C454" s="17" t="str">
        <f>三案例选用!C15</f>
        <v>SC-023</v>
      </c>
      <c r="D454" s="16" t="s">
        <v>209</v>
      </c>
      <c r="E454" s="16" t="str">
        <f>IF(TRUE,"适用","不适用采用100/100")</f>
        <v>适用</v>
      </c>
      <c r="F454" s="17" t="str">
        <f>IF(TRUE,IF(COUNTIFS(资产清单!$A$6:$A$25,A454)&lt;&gt;1,"",IF(INDEX(资产清单!$I$6:$I$25,MATCH(A454,资产清单!$A$6:$A$25,0))="","",INDEX(资产清单!$I$6:$I$25,MATCH(A454,资产清单!$A$6:$A$25,0)))),"不适用")</f>
        <v>停车位</v>
      </c>
      <c r="G454" s="17" t="str">
        <f>IF(TRUE,IF(COUNTIFS(市场案例库!$A$6:$A$35,C454)&lt;&gt;1,"",IF(INDEX(市场案例库!$O$6:$O$35,MATCH(C454,市场案例库!$A$6:$A$35,0))="","",INDEX(市场案例库!$O$6:$O$35,MATCH(C454,市场案例库!$A$6:$A$35,0)))),"不适用")</f>
        <v>停车位</v>
      </c>
      <c r="H454" s="19">
        <f>测算参数!$B$6</f>
        <v>100</v>
      </c>
      <c r="I454" s="19">
        <f>IF(OR(COUNTIFS(市场案例库!$A$6:$A$35,C454)&lt;&gt;1),"",IF(COUNTIFS(市场案例库!$A$6:$A$35,C454)&lt;&gt;1,"",IF(COUNT(INDEX(市场案例库!$M$6:$M$35,MATCH(C454,市场案例库!$A$6:$A$35,0)))&lt;&gt;1,"",INDEX(市场案例库!$M$6:$M$35,MATCH(C454,市场案例库!$A$6:$A$35,0)))))</f>
        <v>100</v>
      </c>
      <c r="J454" s="20">
        <f>IF(OR(C454&lt;&gt;N454,COUNT(H454:I454)&lt;&gt;2,H454&lt;=0,I454&lt;=0),"",IF(TRUE,H454/I454,H454/H454))</f>
        <v>1</v>
      </c>
      <c r="K454" s="16" t="s">
        <v>246</v>
      </c>
      <c r="L454" s="16" t="s">
        <v>211</v>
      </c>
      <c r="M454" s="16" t="str">
        <f t="shared" ref="M454:M517" si="63">IF(C454&lt;&gt;N454,"待重判评分",IF(COUNT(J454)&lt;&gt;1,"待补评分",IF(OR(K454="",L454=""),"待补依据","模拟评分记录完整")))</f>
        <v>模拟评分记录完整</v>
      </c>
      <c r="N454" s="8" t="s">
        <v>175</v>
      </c>
    </row>
    <row r="455" spans="1:14" ht="46.05" customHeight="1">
      <c r="A455" s="16" t="s">
        <v>82</v>
      </c>
      <c r="B455" s="16">
        <v>2</v>
      </c>
      <c r="C455" s="17" t="str">
        <f>三案例选用!C15</f>
        <v>SC-023</v>
      </c>
      <c r="D455" s="16" t="s">
        <v>212</v>
      </c>
      <c r="E455" s="16" t="str">
        <f>IF(TRUE,"适用","不适用采用100/100")</f>
        <v>适用</v>
      </c>
      <c r="F455" s="17" t="str">
        <f>IF(TRUE,IF(COUNTIFS(资产清单!$A$6:$A$25,A455)&lt;&gt;1,"",IF(INDEX(资产清单!$I$6:$I$25,MATCH(A455,资产清单!$A$6:$A$25,0))="","",INDEX(资产清单!$I$6:$I$25,MATCH(A455,资产清单!$A$6:$A$25,0)))),"不适用")</f>
        <v>停车位</v>
      </c>
      <c r="G455" s="17" t="str">
        <f>IF(TRUE,IF(COUNTIFS(市场案例库!$A$6:$A$35,C455)&lt;&gt;1,"",IF(INDEX(市场案例库!$O$6:$O$35,MATCH(C455,市场案例库!$A$6:$A$35,0))="","",INDEX(市场案例库!$O$6:$O$35,MATCH(C455,市场案例库!$A$6:$A$35,0)))),"不适用")</f>
        <v>停车位</v>
      </c>
      <c r="H455" s="19">
        <f>测算参数!$B$6</f>
        <v>100</v>
      </c>
      <c r="I455" s="19">
        <f>IF(OR(COUNTIFS(市场案例库!$A$6:$A$35,C455)&lt;&gt;1),"",IF(COUNTIFS(市场案例库!$A$6:$A$35,C455)&lt;&gt;1,"",IF(COUNT(INDEX(市场案例库!$N$6:$N$35,MATCH(C455,市场案例库!$A$6:$A$35,0)))&lt;&gt;1,"",INDEX(市场案例库!$N$6:$N$35,MATCH(C455,市场案例库!$A$6:$A$35,0)))))</f>
        <v>100</v>
      </c>
      <c r="J455" s="20">
        <f>IF(OR(C455&lt;&gt;N455,COUNT(H455:I455)&lt;&gt;2,H455&lt;=0,I455&lt;=0),"",IF(TRUE,H455/I455,H455/H455))</f>
        <v>1</v>
      </c>
      <c r="K455" s="16" t="s">
        <v>246</v>
      </c>
      <c r="L455" s="16" t="s">
        <v>213</v>
      </c>
      <c r="M455" s="16" t="str">
        <f t="shared" si="63"/>
        <v>模拟评分记录完整</v>
      </c>
      <c r="N455" s="8" t="s">
        <v>175</v>
      </c>
    </row>
    <row r="456" spans="1:14" ht="46.05" customHeight="1">
      <c r="A456" s="16" t="s">
        <v>82</v>
      </c>
      <c r="B456" s="16">
        <v>2</v>
      </c>
      <c r="C456" s="17" t="str">
        <f>三案例选用!C15</f>
        <v>SC-023</v>
      </c>
      <c r="D456" s="16" t="s">
        <v>214</v>
      </c>
      <c r="E456" s="16" t="str">
        <f>IF(TRUE,"适用","不适用采用100/100")</f>
        <v>适用</v>
      </c>
      <c r="F456" s="17" t="str">
        <f>IF(TRUE,IF(COUNTIFS(资产清单!$A$6:$A$25,A456)&lt;&gt;1,"",IF(INDEX(资产清单!$I$6:$I$25,MATCH(A456,资产清单!$A$6:$A$25,0))="","",INDEX(资产清单!$I$6:$I$25,MATCH(A456,资产清单!$A$6:$A$25,0)))),"不适用")</f>
        <v>停车位</v>
      </c>
      <c r="G456" s="17" t="str">
        <f>IF(TRUE,IF(COUNTIFS(市场案例库!$A$6:$A$35,C456)&lt;&gt;1,"",IF(INDEX(市场案例库!$O$6:$O$35,MATCH(C456,市场案例库!$A$6:$A$35,0))="","",INDEX(市场案例库!$O$6:$O$35,MATCH(C456,市场案例库!$A$6:$A$35,0)))),"不适用")</f>
        <v>停车位</v>
      </c>
      <c r="H456" s="19">
        <f>测算参数!$B$6</f>
        <v>100</v>
      </c>
      <c r="I456" s="10">
        <v>100</v>
      </c>
      <c r="J456" s="20">
        <f>IF(OR(C456&lt;&gt;N456,COUNT(H456:I456)&lt;&gt;2,H456&lt;=0,I456&lt;=0),"",IF(TRUE,H456/I456,H456/H456))</f>
        <v>1</v>
      </c>
      <c r="K456" s="16" t="s">
        <v>246</v>
      </c>
      <c r="L456" s="16" t="s">
        <v>215</v>
      </c>
      <c r="M456" s="16" t="str">
        <f t="shared" si="63"/>
        <v>模拟评分记录完整</v>
      </c>
      <c r="N456" s="8" t="s">
        <v>175</v>
      </c>
    </row>
    <row r="457" spans="1:14" ht="46.05" customHeight="1">
      <c r="A457" s="16" t="s">
        <v>82</v>
      </c>
      <c r="B457" s="16">
        <v>2</v>
      </c>
      <c r="C457" s="17" t="str">
        <f>三案例选用!C15</f>
        <v>SC-023</v>
      </c>
      <c r="D457" s="16" t="s">
        <v>216</v>
      </c>
      <c r="E457" s="16" t="str">
        <f>IF(TRUE,"适用","不适用采用100/100")</f>
        <v>适用</v>
      </c>
      <c r="F457" s="17" t="str">
        <f>IF(TRUE,IF(COUNTIFS(资产清单!$A$6:$A$25,A457)&lt;&gt;1,"",IF(INDEX(资产清单!$I$6:$I$25,MATCH(A457,资产清单!$A$6:$A$25,0))="","",INDEX(资产清单!$I$6:$I$25,MATCH(A457,资产清单!$A$6:$A$25,0)))),"不适用")</f>
        <v>停车位</v>
      </c>
      <c r="G457" s="17" t="str">
        <f>IF(TRUE,IF(COUNTIFS(市场案例库!$A$6:$A$35,C457)&lt;&gt;1,"",IF(INDEX(市场案例库!$O$6:$O$35,MATCH(C457,市场案例库!$A$6:$A$35,0))="","",INDEX(市场案例库!$O$6:$O$35,MATCH(C457,市场案例库!$A$6:$A$35,0)))),"不适用")</f>
        <v>停车位</v>
      </c>
      <c r="H457" s="19">
        <f>测算参数!$B$6</f>
        <v>100</v>
      </c>
      <c r="I457" s="10">
        <v>100</v>
      </c>
      <c r="J457" s="20">
        <f>IF(OR(C457&lt;&gt;N457,COUNT(H457:I457)&lt;&gt;2,H457&lt;=0,I457&lt;=0),"",IF(TRUE,H457/I457,H457/H457))</f>
        <v>1</v>
      </c>
      <c r="K457" s="16" t="s">
        <v>246</v>
      </c>
      <c r="L457" s="16" t="s">
        <v>215</v>
      </c>
      <c r="M457" s="16" t="str">
        <f t="shared" si="63"/>
        <v>模拟评分记录完整</v>
      </c>
      <c r="N457" s="8" t="s">
        <v>175</v>
      </c>
    </row>
    <row r="458" spans="1:14" ht="46.05" customHeight="1">
      <c r="A458" s="16" t="s">
        <v>82</v>
      </c>
      <c r="B458" s="16">
        <v>2</v>
      </c>
      <c r="C458" s="17" t="str">
        <f>三案例选用!C15</f>
        <v>SC-023</v>
      </c>
      <c r="D458" s="16" t="s">
        <v>217</v>
      </c>
      <c r="E458" s="17" t="str">
        <f>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"适用","不适用采用100/100")</f>
        <v>不适用采用100/100</v>
      </c>
      <c r="F458" s="17" t="str">
        <f>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IF(COUNTIFS(资产清单!$A$6:$A$25,A458)&lt;&gt;1,"",IF(COUNT(INDEX(资产清单!$M$6:$M$25,MATCH(A458,资产清单!$A$6:$A$25,0)))&lt;&gt;1,"",INDEX(资产清单!$M$6:$M$25,MATCH(A458,资产清单!$A$6:$A$25,0)))),"不适用")</f>
        <v>不适用</v>
      </c>
      <c r="G458" s="17" t="str">
        <f>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IF(COUNTIFS(市场案例库!$A$6:$A$35,C458)&lt;&gt;1,"",IF(COUNT(INDEX(市场案例库!$H$6:$H$35,MATCH(C458,市场案例库!$A$6:$A$35,0)))&lt;&gt;1,"",INDEX(市场案例库!$H$6:$H$35,MATCH(C458,市场案例库!$A$6:$A$35,0)))),"不适用")</f>
        <v>不适用</v>
      </c>
      <c r="H458" s="19">
        <f>测算参数!$B$6</f>
        <v>100</v>
      </c>
      <c r="I458" s="19">
        <f>IF(OR(COUNTIFS(市场案例库!$A$6:$A$35,C458)&lt;&gt;1,AND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COUNT(IF(COUNTIFS(资产清单!$A$6:$A$25,A458)&lt;&gt;1,"",IF(COUNT(INDEX(资产清单!$M$6:$M$25,MATCH(A458,资产清单!$A$6:$A$25,0)))&lt;&gt;1,"",INDEX(资产清单!$M$6:$M$25,MATCH(A458,资产清单!$A$6:$A$25,0)))),IF(COUNTIFS(市场案例库!$A$6:$A$35,C458)&lt;&gt;1,"",IF(COUNT(INDEX(市场案例库!$H$6:$H$35,MATCH(C458,市场案例库!$A$6:$A$35,0)))&lt;&gt;1,"",INDEX(市场案例库!$H$6:$H$35,MATCH(C458,市场案例库!$A$6:$A$35,0)))))&lt;&gt;2)),"",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INDEX(测算参数!$B$25:$B$31,MATCH(MAX(-测算参数!$B$11,MIN(测算参数!$B$11,IF(COUNTIFS(资产清单!$A$6:$A$25,A458)&lt;&gt;1,"",IF(COUNT(INDEX(资产清单!$M$6:$M$25,MATCH(A458,资产清单!$A$6:$A$25,0)))&lt;&gt;1,"",INDEX(资产清单!$M$6:$M$25,MATCH(A458,资产清单!$A$6:$A$25,0))))-IF(COUNTIFS(市场案例库!$A$6:$A$35,C458)&lt;&gt;1,"",IF(COUNT(INDEX(市场案例库!$H$6:$H$35,MATCH(C458,市场案例库!$A$6:$A$35,0)))&lt;&gt;1,"",INDEX(市场案例库!$H$6:$H$35,MATCH(C458,市场案例库!$A$6:$A$35,0)))))),测算参数!$A$25:$A$31,0)),测算参数!$B$6))</f>
        <v>100</v>
      </c>
      <c r="J458" s="21">
        <f>IF(OR(C458&lt;&gt;N458,COUNT(H458:I458)&lt;&gt;2,H458&lt;=0,I458&lt;=0),"",IF(OR(IF(COUNTIFS(资产清单!$A$6:$A$25,A458)&lt;&gt;1,"",IF(INDEX(资产清单!$H$6:$H$25,MATCH(A458,资产清单!$A$6:$A$25,0))="","",INDEX(资产清单!$H$6:$H$25,MATCH(A458,资产清单!$A$6:$A$25,0))))="商业",IF(COUNTIFS(资产清单!$A$6:$A$25,A458)&lt;&gt;1,"",IF(INDEX(资产清单!$H$6:$H$25,MATCH(A458,资产清单!$A$6:$A$25,0))="","",INDEX(资产清单!$H$6:$H$25,MATCH(A458,资产清单!$A$6:$A$25,0))))="办公",IF(COUNTIFS(资产清单!$A$6:$A$25,A458)&lt;&gt;1,"",IF(INDEX(资产清单!$H$6:$H$25,MATCH(A458,资产清单!$A$6:$A$25,0))="","",INDEX(资产清单!$H$6:$H$25,MATCH(A458,资产清单!$A$6:$A$25,0))))="住宅"),H458/I458,H458/H458))</f>
        <v>1</v>
      </c>
      <c r="K458" s="16" t="s">
        <v>246</v>
      </c>
      <c r="L458" s="16" t="s">
        <v>218</v>
      </c>
      <c r="M458" s="16" t="str">
        <f t="shared" si="63"/>
        <v>模拟评分记录完整</v>
      </c>
      <c r="N458" s="8" t="s">
        <v>175</v>
      </c>
    </row>
    <row r="459" spans="1:14" ht="46.05" customHeight="1">
      <c r="A459" s="16" t="s">
        <v>82</v>
      </c>
      <c r="B459" s="16">
        <v>2</v>
      </c>
      <c r="C459" s="17" t="str">
        <f>三案例选用!C15</f>
        <v>SC-023</v>
      </c>
      <c r="D459" s="16" t="s">
        <v>219</v>
      </c>
      <c r="E459" s="17" t="str">
        <f>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"适用","不适用采用100/100")</f>
        <v>不适用采用100/100</v>
      </c>
      <c r="F459" s="17" t="str">
        <f>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IF(COUNTIFS(资产清单!$A$6:$A$25,A459)&lt;&gt;1,"",IF(COUNT(INDEX(资产清单!$L$6:$L$25,MATCH(A459,资产清单!$A$6:$A$25,0)))&lt;&gt;1,"",INDEX(资产清单!$L$6:$L$25,MATCH(A459,资产清单!$A$6:$A$25,0)))),"不适用")</f>
        <v>不适用</v>
      </c>
      <c r="G459" s="17" t="str">
        <f>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IF(COUNTIFS(市场案例库!$A$6:$A$35,C459)&lt;&gt;1,"",IF(COUNT(INDEX(市场案例库!$G$6:$G$35,MATCH(C459,市场案例库!$A$6:$A$35,0)))&lt;&gt;1,"",INDEX(市场案例库!$G$6:$G$35,MATCH(C459,市场案例库!$A$6:$A$35,0)))),"不适用")</f>
        <v>不适用</v>
      </c>
      <c r="H459" s="19">
        <f>测算参数!$B$6</f>
        <v>100</v>
      </c>
      <c r="I459" s="19">
        <f>IF(OR(COUNTIFS(市场案例库!$A$6:$A$35,C459)&lt;&gt;1,AND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OR(COUNT(IF(COUNTIFS(资产清单!$A$6:$A$25,A459)&lt;&gt;1,"",IF(COUNT(INDEX(资产清单!$L$6:$L$25,MATCH(A459,资产清单!$A$6:$A$25,0)))&lt;&gt;1,"",INDEX(资产清单!$L$6:$L$25,MATCH(A459,资产清单!$A$6:$A$25,0)))),IF(COUNTIFS(市场案例库!$A$6:$A$35,C459)&lt;&gt;1,"",IF(COUNT(INDEX(市场案例库!$G$6:$G$35,MATCH(C459,市场案例库!$A$6:$A$35,0)))&lt;&gt;1,"",INDEX(市场案例库!$G$6:$G$35,MATCH(C459,市场案例库!$A$6:$A$35,0)))))&lt;&gt;2,IF(COUNTIFS(资产清单!$A$6:$A$25,A459)&lt;&gt;1,"",IF(COUNT(INDEX(资产清单!$L$6:$L$25,MATCH(A459,资产清单!$A$6:$A$25,0)))&lt;&gt;1,"",INDEX(资产清单!$L$6:$L$25,MATCH(A459,资产清单!$A$6:$A$25,0))))&lt;=0,IF(COUNTIFS(市场案例库!$A$6:$A$35,C459)&lt;&gt;1,"",IF(COUNT(INDEX(市场案例库!$G$6:$G$35,MATCH(C459,市场案例库!$A$6:$A$35,0)))&lt;&gt;1,"",INDEX(市场案例库!$G$6:$G$35,MATCH(C459,市场案例库!$A$6:$A$35,0))))&lt;=0))),"",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LOOKUP(IF(COUNTIFS(市场案例库!$A$6:$A$35,C459)&lt;&gt;1,"",IF(COUNT(INDEX(市场案例库!$G$6:$G$35,MATCH(C459,市场案例库!$A$6:$A$35,0)))&lt;&gt;1,"",INDEX(市场案例库!$G$6:$G$35,MATCH(C459,市场案例库!$A$6:$A$35,0))))/IF(COUNTIFS(资产清单!$A$6:$A$25,A459)&lt;&gt;1,"",IF(COUNT(INDEX(资产清单!$L$6:$L$25,MATCH(A459,资产清单!$A$6:$A$25,0)))&lt;&gt;1,"",INDEX(资产清单!$L$6:$L$25,MATCH(A459,资产清单!$A$6:$A$25,0)))),测算参数!$A$15:$A$21,测算参数!$C$15:$C$21),测算参数!$B$6))</f>
        <v>100</v>
      </c>
      <c r="J459" s="21">
        <f>IF(OR(C459&lt;&gt;N459,COUNT(H459:I459)&lt;&gt;2,H459&lt;=0,I459&lt;=0),"",IF(AND(IF(COUNTIFS(资产清单!$A$6:$A$25,A459)&lt;&gt;1,"",IF(INDEX(资产清单!$J$6:$J$25,MATCH(A459,资产清单!$A$6:$A$25,0))="","",INDEX(资产清单!$J$6:$J$25,MATCH(A459,资产清单!$A$6:$A$25,0))))="元/㎡/月",IF(COUNTIFS(资产清单!$A$6:$A$25,A459)&lt;&gt;1,"",IF(INDEX(资产清单!$H$6:$H$25,MATCH(A459,资产清单!$A$6:$A$25,0))="","",INDEX(资产清单!$H$6:$H$25,MATCH(A459,资产清单!$A$6:$A$25,0))))&lt;&gt;"场地"),H459/I459,H459/H459))</f>
        <v>1</v>
      </c>
      <c r="K459" s="16" t="s">
        <v>246</v>
      </c>
      <c r="L459" s="16" t="s">
        <v>220</v>
      </c>
      <c r="M459" s="16" t="str">
        <f t="shared" si="63"/>
        <v>模拟评分记录完整</v>
      </c>
      <c r="N459" s="8" t="s">
        <v>175</v>
      </c>
    </row>
    <row r="460" spans="1:14" ht="46.05" customHeight="1">
      <c r="A460" s="16" t="s">
        <v>82</v>
      </c>
      <c r="B460" s="16">
        <v>2</v>
      </c>
      <c r="C460" s="17" t="str">
        <f>三案例选用!C15</f>
        <v>SC-023</v>
      </c>
      <c r="D460" s="16" t="s">
        <v>221</v>
      </c>
      <c r="E460" s="16" t="str">
        <f t="shared" ref="E460:E465" si="64">IF(TRUE,"适用","不适用采用100/100")</f>
        <v>适用</v>
      </c>
      <c r="F460" s="17" t="str">
        <f>IF(TRUE,IF(COUNTIFS(资产清单!$A$6:$A$25,A460)&lt;&gt;1,"",IF(INDEX(资产清单!$I$6:$I$25,MATCH(A460,资产清单!$A$6:$A$25,0))="","",INDEX(资产清单!$I$6:$I$25,MATCH(A460,资产清单!$A$6:$A$25,0)))),"不适用")</f>
        <v>停车位</v>
      </c>
      <c r="G460" s="17" t="str">
        <f>IF(TRUE,IF(COUNTIFS(市场案例库!$A$6:$A$35,C460)&lt;&gt;1,"",IF(INDEX(市场案例库!$O$6:$O$35,MATCH(C460,市场案例库!$A$6:$A$35,0))="","",INDEX(市场案例库!$O$6:$O$35,MATCH(C460,市场案例库!$A$6:$A$35,0)))),"不适用")</f>
        <v>停车位</v>
      </c>
      <c r="H460" s="19">
        <f>测算参数!$B$6</f>
        <v>100</v>
      </c>
      <c r="I460" s="10">
        <v>100</v>
      </c>
      <c r="J460" s="20">
        <f t="shared" ref="J460:J465" si="65">IF(OR(C460&lt;&gt;N460,COUNT(H460:I460)&lt;&gt;2,H460&lt;=0,I460&lt;=0),"",IF(TRUE,H460/I460,H460/H460))</f>
        <v>1</v>
      </c>
      <c r="K460" s="16" t="s">
        <v>246</v>
      </c>
      <c r="L460" s="16" t="s">
        <v>215</v>
      </c>
      <c r="M460" s="16" t="str">
        <f t="shared" si="63"/>
        <v>模拟评分记录完整</v>
      </c>
      <c r="N460" s="8" t="s">
        <v>175</v>
      </c>
    </row>
    <row r="461" spans="1:14" ht="46.05" customHeight="1">
      <c r="A461" s="16" t="s">
        <v>82</v>
      </c>
      <c r="B461" s="16">
        <v>2</v>
      </c>
      <c r="C461" s="17" t="str">
        <f>三案例选用!C15</f>
        <v>SC-023</v>
      </c>
      <c r="D461" s="16" t="s">
        <v>222</v>
      </c>
      <c r="E461" s="16" t="str">
        <f t="shared" si="64"/>
        <v>适用</v>
      </c>
      <c r="F461" s="17" t="str">
        <f>IF(TRUE,IF(COUNTIFS(资产清单!$A$6:$A$25,A461)&lt;&gt;1,"",IF(INDEX(资产清单!$I$6:$I$25,MATCH(A461,资产清单!$A$6:$A$25,0))="","",INDEX(资产清单!$I$6:$I$25,MATCH(A461,资产清单!$A$6:$A$25,0)))),"不适用")</f>
        <v>停车位</v>
      </c>
      <c r="G461" s="17" t="str">
        <f>IF(TRUE,IF(COUNTIFS(市场案例库!$A$6:$A$35,C461)&lt;&gt;1,"",IF(INDEX(市场案例库!$O$6:$O$35,MATCH(C461,市场案例库!$A$6:$A$35,0))="","",INDEX(市场案例库!$O$6:$O$35,MATCH(C461,市场案例库!$A$6:$A$35,0)))),"不适用")</f>
        <v>停车位</v>
      </c>
      <c r="H461" s="19">
        <f>测算参数!$B$6</f>
        <v>100</v>
      </c>
      <c r="I461" s="10">
        <v>100</v>
      </c>
      <c r="J461" s="20">
        <f t="shared" si="65"/>
        <v>1</v>
      </c>
      <c r="K461" s="16" t="s">
        <v>246</v>
      </c>
      <c r="L461" s="16" t="s">
        <v>215</v>
      </c>
      <c r="M461" s="16" t="str">
        <f t="shared" si="63"/>
        <v>模拟评分记录完整</v>
      </c>
      <c r="N461" s="8" t="s">
        <v>175</v>
      </c>
    </row>
    <row r="462" spans="1:14" ht="46.05" customHeight="1">
      <c r="A462" s="16" t="s">
        <v>82</v>
      </c>
      <c r="B462" s="16">
        <v>2</v>
      </c>
      <c r="C462" s="17" t="str">
        <f>三案例选用!C15</f>
        <v>SC-023</v>
      </c>
      <c r="D462" s="16" t="s">
        <v>224</v>
      </c>
      <c r="E462" s="16" t="str">
        <f t="shared" si="64"/>
        <v>适用</v>
      </c>
      <c r="F462" s="17" t="str">
        <f>IF(TRUE,IF(COUNTIFS(资产清单!$A$6:$A$25,A462)&lt;&gt;1,"",IF(INDEX(资产清单!$I$6:$I$25,MATCH(A462,资产清单!$A$6:$A$25,0))="","",INDEX(资产清单!$I$6:$I$25,MATCH(A462,资产清单!$A$6:$A$25,0)))),"不适用")</f>
        <v>停车位</v>
      </c>
      <c r="G462" s="17" t="str">
        <f>IF(TRUE,IF(COUNTIFS(市场案例库!$A$6:$A$35,C462)&lt;&gt;1,"",IF(INDEX(市场案例库!$O$6:$O$35,MATCH(C462,市场案例库!$A$6:$A$35,0))="","",INDEX(市场案例库!$O$6:$O$35,MATCH(C462,市场案例库!$A$6:$A$35,0)))),"不适用")</f>
        <v>停车位</v>
      </c>
      <c r="H462" s="19">
        <f>测算参数!$B$6</f>
        <v>100</v>
      </c>
      <c r="I462" s="10">
        <v>100</v>
      </c>
      <c r="J462" s="20">
        <f t="shared" si="65"/>
        <v>1</v>
      </c>
      <c r="K462" s="16" t="s">
        <v>246</v>
      </c>
      <c r="L462" s="16" t="s">
        <v>215</v>
      </c>
      <c r="M462" s="16" t="str">
        <f t="shared" si="63"/>
        <v>模拟评分记录完整</v>
      </c>
      <c r="N462" s="8" t="s">
        <v>175</v>
      </c>
    </row>
    <row r="463" spans="1:14" ht="46.05" customHeight="1">
      <c r="A463" s="16" t="s">
        <v>82</v>
      </c>
      <c r="B463" s="16">
        <v>2</v>
      </c>
      <c r="C463" s="17" t="str">
        <f>三案例选用!C15</f>
        <v>SC-023</v>
      </c>
      <c r="D463" s="16" t="s">
        <v>225</v>
      </c>
      <c r="E463" s="16" t="str">
        <f t="shared" si="64"/>
        <v>适用</v>
      </c>
      <c r="F463" s="17" t="str">
        <f>IF(TRUE,IF(COUNTIFS(资产清单!$A$6:$A$25,A463)&lt;&gt;1,"",IF(INDEX(资产清单!$I$6:$I$25,MATCH(A463,资产清单!$A$6:$A$25,0))="","",INDEX(资产清单!$I$6:$I$25,MATCH(A463,资产清单!$A$6:$A$25,0)))),"不适用")</f>
        <v>停车位</v>
      </c>
      <c r="G463" s="17" t="str">
        <f>IF(TRUE,IF(COUNTIFS(市场案例库!$A$6:$A$35,C463)&lt;&gt;1,"",IF(INDEX(市场案例库!$O$6:$O$35,MATCH(C463,市场案例库!$A$6:$A$35,0))="","",INDEX(市场案例库!$O$6:$O$35,MATCH(C463,市场案例库!$A$6:$A$35,0)))),"不适用")</f>
        <v>停车位</v>
      </c>
      <c r="H463" s="19">
        <f>测算参数!$B$6</f>
        <v>100</v>
      </c>
      <c r="I463" s="10">
        <v>100</v>
      </c>
      <c r="J463" s="20">
        <f t="shared" si="65"/>
        <v>1</v>
      </c>
      <c r="K463" s="16" t="s">
        <v>246</v>
      </c>
      <c r="L463" s="16" t="s">
        <v>215</v>
      </c>
      <c r="M463" s="16" t="str">
        <f t="shared" si="63"/>
        <v>模拟评分记录完整</v>
      </c>
      <c r="N463" s="8" t="s">
        <v>175</v>
      </c>
    </row>
    <row r="464" spans="1:14" ht="46.05" customHeight="1">
      <c r="A464" s="16" t="s">
        <v>82</v>
      </c>
      <c r="B464" s="16">
        <v>2</v>
      </c>
      <c r="C464" s="17" t="str">
        <f>三案例选用!C15</f>
        <v>SC-023</v>
      </c>
      <c r="D464" s="16" t="s">
        <v>226</v>
      </c>
      <c r="E464" s="16" t="str">
        <f t="shared" si="64"/>
        <v>适用</v>
      </c>
      <c r="F464" s="17" t="str">
        <f>IF(TRUE,IF(COUNTIFS(资产清单!$A$6:$A$25,A464)&lt;&gt;1,"",IF(INDEX(资产清单!$I$6:$I$25,MATCH(A464,资产清单!$A$6:$A$25,0))="","",INDEX(资产清单!$I$6:$I$25,MATCH(A464,资产清单!$A$6:$A$25,0)))),"不适用")</f>
        <v>停车位</v>
      </c>
      <c r="G464" s="17" t="str">
        <f>IF(TRUE,IF(COUNTIFS(市场案例库!$A$6:$A$35,C464)&lt;&gt;1,"",IF(INDEX(市场案例库!$O$6:$O$35,MATCH(C464,市场案例库!$A$6:$A$35,0))="","",INDEX(市场案例库!$O$6:$O$35,MATCH(C464,市场案例库!$A$6:$A$35,0)))),"不适用")</f>
        <v>停车位</v>
      </c>
      <c r="H464" s="19">
        <f>测算参数!$B$6</f>
        <v>100</v>
      </c>
      <c r="I464" s="10">
        <v>100</v>
      </c>
      <c r="J464" s="20">
        <f t="shared" si="65"/>
        <v>1</v>
      </c>
      <c r="K464" s="16" t="s">
        <v>246</v>
      </c>
      <c r="L464" s="16" t="s">
        <v>215</v>
      </c>
      <c r="M464" s="16" t="str">
        <f t="shared" si="63"/>
        <v>模拟评分记录完整</v>
      </c>
      <c r="N464" s="8" t="s">
        <v>175</v>
      </c>
    </row>
    <row r="465" spans="1:14" ht="46.05" customHeight="1">
      <c r="A465" s="16" t="s">
        <v>82</v>
      </c>
      <c r="B465" s="16">
        <v>2</v>
      </c>
      <c r="C465" s="17" t="str">
        <f>三案例选用!C15</f>
        <v>SC-023</v>
      </c>
      <c r="D465" s="16" t="s">
        <v>227</v>
      </c>
      <c r="E465" s="16" t="str">
        <f t="shared" si="64"/>
        <v>适用</v>
      </c>
      <c r="F465" s="17" t="str">
        <f>IF(TRUE,IF(COUNTIFS(资产清单!$A$6:$A$25,A465)&lt;&gt;1,"",IF(INDEX(资产清单!$I$6:$I$25,MATCH(A465,资产清单!$A$6:$A$25,0))="","",INDEX(资产清单!$I$6:$I$25,MATCH(A465,资产清单!$A$6:$A$25,0)))),"不适用")</f>
        <v>停车位</v>
      </c>
      <c r="G465" s="17" t="str">
        <f>IF(TRUE,IF(COUNTIFS(市场案例库!$A$6:$A$35,C465)&lt;&gt;1,"",IF(INDEX(市场案例库!$O$6:$O$35,MATCH(C465,市场案例库!$A$6:$A$35,0))="","",INDEX(市场案例库!$O$6:$O$35,MATCH(C465,市场案例库!$A$6:$A$35,0)))),"不适用")</f>
        <v>停车位</v>
      </c>
      <c r="H465" s="19">
        <f>测算参数!$B$6</f>
        <v>100</v>
      </c>
      <c r="I465" s="10">
        <v>100</v>
      </c>
      <c r="J465" s="20">
        <f t="shared" si="65"/>
        <v>1</v>
      </c>
      <c r="K465" s="16" t="s">
        <v>246</v>
      </c>
      <c r="L465" s="16" t="s">
        <v>215</v>
      </c>
      <c r="M465" s="16" t="str">
        <f t="shared" si="63"/>
        <v>模拟评分记录完整</v>
      </c>
      <c r="N465" s="8" t="s">
        <v>175</v>
      </c>
    </row>
    <row r="466" spans="1:14" ht="46.05" customHeight="1">
      <c r="A466" s="16" t="s">
        <v>82</v>
      </c>
      <c r="B466" s="16">
        <v>2</v>
      </c>
      <c r="C466" s="17" t="str">
        <f>三案例选用!C15</f>
        <v>SC-023</v>
      </c>
      <c r="D466" s="16" t="s">
        <v>228</v>
      </c>
      <c r="E466" s="17" t="str">
        <f>IF(AND(IF(COUNTIFS(资产清单!$A$6:$A$25,A466)&lt;&gt;1,"",IF(INDEX(资产清单!$H$6:$H$25,MATCH(A466,资产清单!$A$6:$A$25,0))="","",INDEX(资产清单!$H$6:$H$25,MATCH(A466,资产清单!$A$6:$A$25,0))))&lt;&gt;"场地",IF(COUNTIFS(资产清单!$A$6:$A$25,A466)&lt;&gt;1,"",IF(INDEX(资产清单!$H$6:$H$25,MATCH(A466,资产清单!$A$6:$A$25,0))="","",INDEX(资产清单!$H$6:$H$25,MATCH(A466,资产清单!$A$6:$A$25,0))))&lt;&gt;"车位",IF(COUNTIFS(资产清单!$A$6:$A$25,A466)&lt;&gt;1,"",IF(INDEX(资产清单!$H$6:$H$25,MATCH(A466,资产清单!$A$6:$A$25,0))="","",INDEX(资产清单!$H$6:$H$25,MATCH(A466,资产清单!$A$6:$A$25,0))))&lt;&gt;"通信基站"),"适用","不适用采用100/100")</f>
        <v>不适用采用100/100</v>
      </c>
      <c r="F466" s="17" t="str">
        <f>IF(AND(IF(COUNTIFS(资产清单!$A$6:$A$25,A466)&lt;&gt;1,"",IF(INDEX(资产清单!$H$6:$H$25,MATCH(A466,资产清单!$A$6:$A$25,0))="","",INDEX(资产清单!$H$6:$H$25,MATCH(A466,资产清单!$A$6:$A$25,0))))&lt;&gt;"场地",IF(COUNTIFS(资产清单!$A$6:$A$25,A466)&lt;&gt;1,"",IF(INDEX(资产清单!$H$6:$H$25,MATCH(A466,资产清单!$A$6:$A$25,0))="","",INDEX(资产清单!$H$6:$H$25,MATCH(A466,资产清单!$A$6:$A$25,0))))&lt;&gt;"车位",IF(COUNTIFS(资产清单!$A$6:$A$25,A466)&lt;&gt;1,"",IF(INDEX(资产清单!$H$6:$H$25,MATCH(A466,资产清单!$A$6:$A$25,0))="","",INDEX(资产清单!$H$6:$H$25,MATCH(A466,资产清单!$A$6:$A$25,0))))&lt;&gt;"通信基站"),IF(COUNTIFS(资产清单!$A$6:$A$25,A466)&lt;&gt;1,"",IF(INDEX(资产清单!$I$6:$I$25,MATCH(A466,资产清单!$A$6:$A$25,0))="","",INDEX(资产清单!$I$6:$I$25,MATCH(A466,资产清单!$A$6:$A$25,0)))),"不适用")</f>
        <v>不适用</v>
      </c>
      <c r="G466" s="17" t="str">
        <f>IF(AND(IF(COUNTIFS(资产清单!$A$6:$A$25,A466)&lt;&gt;1,"",IF(INDEX(资产清单!$H$6:$H$25,MATCH(A466,资产清单!$A$6:$A$25,0))="","",INDEX(资产清单!$H$6:$H$25,MATCH(A466,资产清单!$A$6:$A$25,0))))&lt;&gt;"场地",IF(COUNTIFS(资产清单!$A$6:$A$25,A466)&lt;&gt;1,"",IF(INDEX(资产清单!$H$6:$H$25,MATCH(A466,资产清单!$A$6:$A$25,0))="","",INDEX(资产清单!$H$6:$H$25,MATCH(A466,资产清单!$A$6:$A$25,0))))&lt;&gt;"车位",IF(COUNTIFS(资产清单!$A$6:$A$25,A466)&lt;&gt;1,"",IF(INDEX(资产清单!$H$6:$H$25,MATCH(A466,资产清单!$A$6:$A$25,0))="","",INDEX(资产清单!$H$6:$H$25,MATCH(A466,资产清单!$A$6:$A$25,0))))&lt;&gt;"通信基站"),IF(COUNTIFS(市场案例库!$A$6:$A$35,C466)&lt;&gt;1,"",IF(INDEX(市场案例库!$O$6:$O$35,MATCH(C466,市场案例库!$A$6:$A$35,0))="","",INDEX(市场案例库!$O$6:$O$35,MATCH(C466,市场案例库!$A$6:$A$35,0)))),"不适用")</f>
        <v>不适用</v>
      </c>
      <c r="H466" s="19">
        <f>测算参数!$B$6</f>
        <v>100</v>
      </c>
      <c r="I466" s="10">
        <v>100</v>
      </c>
      <c r="J466" s="21">
        <f>IF(OR(C466&lt;&gt;N466,COUNT(H466:I466)&lt;&gt;2,H466&lt;=0,I466&lt;=0),"",IF(AND(IF(COUNTIFS(资产清单!$A$6:$A$25,A466)&lt;&gt;1,"",IF(INDEX(资产清单!$H$6:$H$25,MATCH(A466,资产清单!$A$6:$A$25,0))="","",INDEX(资产清单!$H$6:$H$25,MATCH(A466,资产清单!$A$6:$A$25,0))))&lt;&gt;"场地",IF(COUNTIFS(资产清单!$A$6:$A$25,A466)&lt;&gt;1,"",IF(INDEX(资产清单!$H$6:$H$25,MATCH(A466,资产清单!$A$6:$A$25,0))="","",INDEX(资产清单!$H$6:$H$25,MATCH(A466,资产清单!$A$6:$A$25,0))))&lt;&gt;"车位",IF(COUNTIFS(资产清单!$A$6:$A$25,A466)&lt;&gt;1,"",IF(INDEX(资产清单!$H$6:$H$25,MATCH(A466,资产清单!$A$6:$A$25,0))="","",INDEX(资产清单!$H$6:$H$25,MATCH(A466,资产清单!$A$6:$A$25,0))))&lt;&gt;"通信基站"),H466/I466,H466/H466))</f>
        <v>1</v>
      </c>
      <c r="K466" s="16" t="s">
        <v>246</v>
      </c>
      <c r="L466" s="16" t="s">
        <v>215</v>
      </c>
      <c r="M466" s="16" t="str">
        <f t="shared" si="63"/>
        <v>模拟评分记录完整</v>
      </c>
      <c r="N466" s="8" t="s">
        <v>175</v>
      </c>
    </row>
    <row r="467" spans="1:14" ht="46.05" customHeight="1">
      <c r="A467" s="16" t="s">
        <v>82</v>
      </c>
      <c r="B467" s="16">
        <v>2</v>
      </c>
      <c r="C467" s="17" t="str">
        <f>三案例选用!C15</f>
        <v>SC-023</v>
      </c>
      <c r="D467" s="16" t="s">
        <v>229</v>
      </c>
      <c r="E467" s="17" t="str">
        <f>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"适用","不适用采用100/100")</f>
        <v>不适用采用100/100</v>
      </c>
      <c r="F467" s="17" t="str">
        <f>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IF(COUNTIFS(资产清单!$A$6:$A$25,A467)&lt;&gt;1,"",IF(COUNT(INDEX(资产清单!$N$6:$N$25,MATCH(A467,资产清单!$A$6:$A$25,0)))&lt;&gt;1,"",INDEX(资产清单!$N$6:$N$25,MATCH(A467,资产清单!$A$6:$A$25,0)))),"不适用")</f>
        <v>不适用</v>
      </c>
      <c r="G467" s="17" t="str">
        <f>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IF(COUNTIFS(市场案例库!$A$6:$A$35,C467)&lt;&gt;1,"",IF(COUNT(INDEX(市场案例库!$I$6:$I$35,MATCH(C467,市场案例库!$A$6:$A$35,0)))&lt;&gt;1,"",INDEX(市场案例库!$I$6:$I$35,MATCH(C467,市场案例库!$A$6:$A$35,0)))),"不适用")</f>
        <v>不适用</v>
      </c>
      <c r="H467" s="19">
        <f>测算参数!$B$6</f>
        <v>100</v>
      </c>
      <c r="I467" s="19">
        <f>IF(OR(COUNTIFS(市场案例库!$A$6:$A$35,C467)&lt;&gt;1,AND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OR(COUNT(IF(COUNTIFS(资产清单!$A$6:$A$25,A467)&lt;&gt;1,"",IF(COUNT(INDEX(资产清单!$N$6:$N$25,MATCH(A467,资产清单!$A$6:$A$25,0)))&lt;&gt;1,"",INDEX(资产清单!$N$6:$N$25,MATCH(A467,资产清单!$A$6:$A$25,0)))),IF(COUNTIFS(市场案例库!$A$6:$A$35,C467)&lt;&gt;1,"",IF(COUNT(INDEX(市场案例库!$I$6:$I$35,MATCH(C467,市场案例库!$A$6:$A$35,0)))&lt;&gt;1,"",INDEX(市场案例库!$I$6:$I$35,MATCH(C467,市场案例库!$A$6:$A$35,0)))))&lt;&gt;2,IF(COUNTIFS(资产清单!$A$6:$A$25,A467)&lt;&gt;1,"",IF(COUNT(INDEX(资产清单!$N$6:$N$25,MATCH(A467,资产清单!$A$6:$A$25,0)))&lt;&gt;1,"",INDEX(资产清单!$N$6:$N$25,MATCH(A467,资产清单!$A$6:$A$25,0))))&lt;1,IF(COUNTIFS(资产清单!$A$6:$A$25,A467)&lt;&gt;1,"",IF(COUNT(INDEX(资产清单!$N$6:$N$25,MATCH(A467,资产清单!$A$6:$A$25,0)))&lt;&gt;1,"",INDEX(资产清单!$N$6:$N$25,MATCH(A467,资产清单!$A$6:$A$25,0))))&gt;4,IF(COUNTIFS(市场案例库!$A$6:$A$35,C467)&lt;&gt;1,"",IF(COUNT(INDEX(市场案例库!$I$6:$I$35,MATCH(C467,市场案例库!$A$6:$A$35,0)))&lt;&gt;1,"",INDEX(市场案例库!$I$6:$I$35,MATCH(C467,市场案例库!$A$6:$A$35,0))))&lt;1,IF(COUNTIFS(市场案例库!$A$6:$A$35,C467)&lt;&gt;1,"",IF(COUNT(INDEX(市场案例库!$I$6:$I$35,MATCH(C467,市场案例库!$A$6:$A$35,0)))&lt;&gt;1,"",INDEX(市场案例库!$I$6:$I$35,MATCH(C467,市场案例库!$A$6:$A$35,0))))&gt;4))),"",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INDEX(测算参数!$B$35:$B$41,MATCH(IF(COUNTIFS(市场案例库!$A$6:$A$35,C467)&lt;&gt;1,"",IF(COUNT(INDEX(市场案例库!$I$6:$I$35,MATCH(C467,市场案例库!$A$6:$A$35,0)))&lt;&gt;1,"",INDEX(市场案例库!$I$6:$I$35,MATCH(C467,市场案例库!$A$6:$A$35,0))))-IF(COUNTIFS(资产清单!$A$6:$A$25,A467)&lt;&gt;1,"",IF(COUNT(INDEX(资产清单!$N$6:$N$25,MATCH(A467,资产清单!$A$6:$A$25,0)))&lt;&gt;1,"",INDEX(资产清单!$N$6:$N$25,MATCH(A467,资产清单!$A$6:$A$25,0)))),测算参数!$A$35:$A$41,0)),测算参数!$B$6))</f>
        <v>100</v>
      </c>
      <c r="J467" s="21">
        <f>IF(OR(C467&lt;&gt;N467,COUNT(H467:I467)&lt;&gt;2,H467&lt;=0,I467&lt;=0),"",IF(AND(IF(COUNTIFS(资产清单!$A$6:$A$25,A467)&lt;&gt;1,"",IF(INDEX(资产清单!$H$6:$H$25,MATCH(A467,资产清单!$A$6:$A$25,0))="","",INDEX(资产清单!$H$6:$H$25,MATCH(A467,资产清单!$A$6:$A$25,0))))&lt;&gt;"场地",IF(COUNTIFS(资产清单!$A$6:$A$25,A467)&lt;&gt;1,"",IF(INDEX(资产清单!$H$6:$H$25,MATCH(A467,资产清单!$A$6:$A$25,0))="","",INDEX(资产清单!$H$6:$H$25,MATCH(A467,资产清单!$A$6:$A$25,0))))&lt;&gt;"车位",IF(COUNTIFS(资产清单!$A$6:$A$25,A467)&lt;&gt;1,"",IF(INDEX(资产清单!$H$6:$H$25,MATCH(A467,资产清单!$A$6:$A$25,0))="","",INDEX(资产清单!$H$6:$H$25,MATCH(A467,资产清单!$A$6:$A$25,0))))&lt;&gt;"通信基站"),H467/I467,H467/H467))</f>
        <v>1</v>
      </c>
      <c r="K467" s="16" t="s">
        <v>246</v>
      </c>
      <c r="L467" s="16" t="s">
        <v>230</v>
      </c>
      <c r="M467" s="16" t="str">
        <f t="shared" si="63"/>
        <v>模拟评分记录完整</v>
      </c>
      <c r="N467" s="8" t="s">
        <v>175</v>
      </c>
    </row>
    <row r="468" spans="1:14" ht="46.05" customHeight="1">
      <c r="A468" s="16" t="s">
        <v>82</v>
      </c>
      <c r="B468" s="16">
        <v>2</v>
      </c>
      <c r="C468" s="17" t="str">
        <f>三案例选用!C15</f>
        <v>SC-023</v>
      </c>
      <c r="D468" s="16" t="s">
        <v>231</v>
      </c>
      <c r="E468" s="17" t="str">
        <f>IF(AND(IF(COUNTIFS(资产清单!$A$6:$A$25,A468)&lt;&gt;1,"",IF(INDEX(资产清单!$H$6:$H$25,MATCH(A468,资产清单!$A$6:$A$25,0))="","",INDEX(资产清单!$H$6:$H$25,MATCH(A468,资产清单!$A$6:$A$25,0))))&lt;&gt;"场地",IF(COUNTIFS(资产清单!$A$6:$A$25,A468)&lt;&gt;1,"",IF(INDEX(资产清单!$H$6:$H$25,MATCH(A468,资产清单!$A$6:$A$25,0))="","",INDEX(资产清单!$H$6:$H$25,MATCH(A468,资产清单!$A$6:$A$25,0))))&lt;&gt;"车位",IF(COUNTIFS(资产清单!$A$6:$A$25,A468)&lt;&gt;1,"",IF(INDEX(资产清单!$H$6:$H$25,MATCH(A468,资产清单!$A$6:$A$25,0))="","",INDEX(资产清单!$H$6:$H$25,MATCH(A468,资产清单!$A$6:$A$25,0))))&lt;&gt;"通信基站"),"适用","不适用采用100/100")</f>
        <v>不适用采用100/100</v>
      </c>
      <c r="F468" s="17" t="str">
        <f>IF(AND(IF(COUNTIFS(资产清单!$A$6:$A$25,A468)&lt;&gt;1,"",IF(INDEX(资产清单!$H$6:$H$25,MATCH(A468,资产清单!$A$6:$A$25,0))="","",INDEX(资产清单!$H$6:$H$25,MATCH(A468,资产清单!$A$6:$A$25,0))))&lt;&gt;"场地",IF(COUNTIFS(资产清单!$A$6:$A$25,A468)&lt;&gt;1,"",IF(INDEX(资产清单!$H$6:$H$25,MATCH(A468,资产清单!$A$6:$A$25,0))="","",INDEX(资产清单!$H$6:$H$25,MATCH(A468,资产清单!$A$6:$A$25,0))))&lt;&gt;"车位",IF(COUNTIFS(资产清单!$A$6:$A$25,A468)&lt;&gt;1,"",IF(INDEX(资产清单!$H$6:$H$25,MATCH(A468,资产清单!$A$6:$A$25,0))="","",INDEX(资产清单!$H$6:$H$25,MATCH(A468,资产清单!$A$6:$A$25,0))))&lt;&gt;"通信基站"),IF(COUNTIFS(资产清单!$A$6:$A$25,A468)&lt;&gt;1,"",IF(INDEX(资产清单!$I$6:$I$25,MATCH(A468,资产清单!$A$6:$A$25,0))="","",INDEX(资产清单!$I$6:$I$25,MATCH(A468,资产清单!$A$6:$A$25,0)))),"不适用")</f>
        <v>不适用</v>
      </c>
      <c r="G468" s="17" t="str">
        <f>IF(AND(IF(COUNTIFS(资产清单!$A$6:$A$25,A468)&lt;&gt;1,"",IF(INDEX(资产清单!$H$6:$H$25,MATCH(A468,资产清单!$A$6:$A$25,0))="","",INDEX(资产清单!$H$6:$H$25,MATCH(A468,资产清单!$A$6:$A$25,0))))&lt;&gt;"场地",IF(COUNTIFS(资产清单!$A$6:$A$25,A468)&lt;&gt;1,"",IF(INDEX(资产清单!$H$6:$H$25,MATCH(A468,资产清单!$A$6:$A$25,0))="","",INDEX(资产清单!$H$6:$H$25,MATCH(A468,资产清单!$A$6:$A$25,0))))&lt;&gt;"车位",IF(COUNTIFS(资产清单!$A$6:$A$25,A468)&lt;&gt;1,"",IF(INDEX(资产清单!$H$6:$H$25,MATCH(A468,资产清单!$A$6:$A$25,0))="","",INDEX(资产清单!$H$6:$H$25,MATCH(A468,资产清单!$A$6:$A$25,0))))&lt;&gt;"通信基站"),IF(COUNTIFS(市场案例库!$A$6:$A$35,C468)&lt;&gt;1,"",IF(INDEX(市场案例库!$O$6:$O$35,MATCH(C468,市场案例库!$A$6:$A$35,0))="","",INDEX(市场案例库!$O$6:$O$35,MATCH(C468,市场案例库!$A$6:$A$35,0)))),"不适用")</f>
        <v>不适用</v>
      </c>
      <c r="H468" s="19">
        <f>测算参数!$B$6</f>
        <v>100</v>
      </c>
      <c r="I468" s="10">
        <v>100</v>
      </c>
      <c r="J468" s="21">
        <f>IF(OR(C468&lt;&gt;N468,COUNT(H468:I468)&lt;&gt;2,H468&lt;=0,I468&lt;=0),"",IF(AND(IF(COUNTIFS(资产清单!$A$6:$A$25,A468)&lt;&gt;1,"",IF(INDEX(资产清单!$H$6:$H$25,MATCH(A468,资产清单!$A$6:$A$25,0))="","",INDEX(资产清单!$H$6:$H$25,MATCH(A468,资产清单!$A$6:$A$25,0))))&lt;&gt;"场地",IF(COUNTIFS(资产清单!$A$6:$A$25,A468)&lt;&gt;1,"",IF(INDEX(资产清单!$H$6:$H$25,MATCH(A468,资产清单!$A$6:$A$25,0))="","",INDEX(资产清单!$H$6:$H$25,MATCH(A468,资产清单!$A$6:$A$25,0))))&lt;&gt;"车位",IF(COUNTIFS(资产清单!$A$6:$A$25,A468)&lt;&gt;1,"",IF(INDEX(资产清单!$H$6:$H$25,MATCH(A468,资产清单!$A$6:$A$25,0))="","",INDEX(资产清单!$H$6:$H$25,MATCH(A468,资产清单!$A$6:$A$25,0))))&lt;&gt;"通信基站"),H468/I468,H468/H468))</f>
        <v>1</v>
      </c>
      <c r="K468" s="16" t="s">
        <v>246</v>
      </c>
      <c r="L468" s="16" t="s">
        <v>215</v>
      </c>
      <c r="M468" s="16" t="str">
        <f t="shared" si="63"/>
        <v>模拟评分记录完整</v>
      </c>
      <c r="N468" s="8" t="s">
        <v>175</v>
      </c>
    </row>
    <row r="469" spans="1:14" ht="46.05" customHeight="1">
      <c r="A469" s="16" t="s">
        <v>82</v>
      </c>
      <c r="B469" s="16">
        <v>2</v>
      </c>
      <c r="C469" s="17" t="str">
        <f>三案例选用!C15</f>
        <v>SC-023</v>
      </c>
      <c r="D469" s="16" t="s">
        <v>232</v>
      </c>
      <c r="E469" s="16" t="str">
        <f>IF(TRUE,"适用","不适用采用100/100")</f>
        <v>适用</v>
      </c>
      <c r="F469" s="17" t="str">
        <f>IF(TRUE,IF(COUNTIFS(资产清单!$A$6:$A$25,A469)&lt;&gt;1,"",IF(INDEX(资产清单!$I$6:$I$25,MATCH(A469,资产清单!$A$6:$A$25,0))="","",INDEX(资产清单!$I$6:$I$25,MATCH(A469,资产清单!$A$6:$A$25,0)))),"不适用")</f>
        <v>停车位</v>
      </c>
      <c r="G469" s="17" t="str">
        <f>IF(TRUE,IF(COUNTIFS(市场案例库!$A$6:$A$35,C469)&lt;&gt;1,"",IF(INDEX(市场案例库!$O$6:$O$35,MATCH(C469,市场案例库!$A$6:$A$35,0))="","",INDEX(市场案例库!$O$6:$O$35,MATCH(C469,市场案例库!$A$6:$A$35,0)))),"不适用")</f>
        <v>停车位</v>
      </c>
      <c r="H469" s="19">
        <f>测算参数!$B$6</f>
        <v>100</v>
      </c>
      <c r="I469" s="10">
        <v>100</v>
      </c>
      <c r="J469" s="20">
        <f>IF(OR(C469&lt;&gt;N469,COUNT(H469:I469)&lt;&gt;2,H469&lt;=0,I469&lt;=0),"",IF(TRUE,H469/I469,H469/H469))</f>
        <v>1</v>
      </c>
      <c r="K469" s="16" t="s">
        <v>246</v>
      </c>
      <c r="L469" s="16" t="s">
        <v>215</v>
      </c>
      <c r="M469" s="16" t="str">
        <f t="shared" si="63"/>
        <v>模拟评分记录完整</v>
      </c>
      <c r="N469" s="8" t="s">
        <v>175</v>
      </c>
    </row>
    <row r="470" spans="1:14" ht="46.05" customHeight="1">
      <c r="A470" s="16" t="s">
        <v>82</v>
      </c>
      <c r="B470" s="16">
        <v>3</v>
      </c>
      <c r="C470" s="17" t="str">
        <f>三案例选用!D15</f>
        <v>SC-024</v>
      </c>
      <c r="D470" s="16" t="s">
        <v>209</v>
      </c>
      <c r="E470" s="16" t="str">
        <f>IF(TRUE,"适用","不适用采用100/100")</f>
        <v>适用</v>
      </c>
      <c r="F470" s="17" t="str">
        <f>IF(TRUE,IF(COUNTIFS(资产清单!$A$6:$A$25,A470)&lt;&gt;1,"",IF(INDEX(资产清单!$I$6:$I$25,MATCH(A470,资产清单!$A$6:$A$25,0))="","",INDEX(资产清单!$I$6:$I$25,MATCH(A470,资产清单!$A$6:$A$25,0)))),"不适用")</f>
        <v>停车位</v>
      </c>
      <c r="G470" s="17" t="str">
        <f>IF(TRUE,IF(COUNTIFS(市场案例库!$A$6:$A$35,C470)&lt;&gt;1,"",IF(INDEX(市场案例库!$O$6:$O$35,MATCH(C470,市场案例库!$A$6:$A$35,0))="","",INDEX(市场案例库!$O$6:$O$35,MATCH(C470,市场案例库!$A$6:$A$35,0)))),"不适用")</f>
        <v>停车位</v>
      </c>
      <c r="H470" s="19">
        <f>测算参数!$B$6</f>
        <v>100</v>
      </c>
      <c r="I470" s="19">
        <f>IF(OR(COUNTIFS(市场案例库!$A$6:$A$35,C470)&lt;&gt;1),"",IF(COUNTIFS(市场案例库!$A$6:$A$35,C470)&lt;&gt;1,"",IF(COUNT(INDEX(市场案例库!$M$6:$M$35,MATCH(C470,市场案例库!$A$6:$A$35,0)))&lt;&gt;1,"",INDEX(市场案例库!$M$6:$M$35,MATCH(C470,市场案例库!$A$6:$A$35,0)))))</f>
        <v>100</v>
      </c>
      <c r="J470" s="20">
        <f>IF(OR(C470&lt;&gt;N470,COUNT(H470:I470)&lt;&gt;2,H470&lt;=0,I470&lt;=0),"",IF(TRUE,H470/I470,H470/H470))</f>
        <v>1</v>
      </c>
      <c r="K470" s="16" t="s">
        <v>246</v>
      </c>
      <c r="L470" s="16" t="s">
        <v>211</v>
      </c>
      <c r="M470" s="16" t="str">
        <f t="shared" si="63"/>
        <v>模拟评分记录完整</v>
      </c>
      <c r="N470" s="8" t="s">
        <v>176</v>
      </c>
    </row>
    <row r="471" spans="1:14" ht="46.05" customHeight="1">
      <c r="A471" s="16" t="s">
        <v>82</v>
      </c>
      <c r="B471" s="16">
        <v>3</v>
      </c>
      <c r="C471" s="17" t="str">
        <f>三案例选用!D15</f>
        <v>SC-024</v>
      </c>
      <c r="D471" s="16" t="s">
        <v>212</v>
      </c>
      <c r="E471" s="16" t="str">
        <f>IF(TRUE,"适用","不适用采用100/100")</f>
        <v>适用</v>
      </c>
      <c r="F471" s="17" t="str">
        <f>IF(TRUE,IF(COUNTIFS(资产清单!$A$6:$A$25,A471)&lt;&gt;1,"",IF(INDEX(资产清单!$I$6:$I$25,MATCH(A471,资产清单!$A$6:$A$25,0))="","",INDEX(资产清单!$I$6:$I$25,MATCH(A471,资产清单!$A$6:$A$25,0)))),"不适用")</f>
        <v>停车位</v>
      </c>
      <c r="G471" s="17" t="str">
        <f>IF(TRUE,IF(COUNTIFS(市场案例库!$A$6:$A$35,C471)&lt;&gt;1,"",IF(INDEX(市场案例库!$O$6:$O$35,MATCH(C471,市场案例库!$A$6:$A$35,0))="","",INDEX(市场案例库!$O$6:$O$35,MATCH(C471,市场案例库!$A$6:$A$35,0)))),"不适用")</f>
        <v>停车位</v>
      </c>
      <c r="H471" s="19">
        <f>测算参数!$B$6</f>
        <v>100</v>
      </c>
      <c r="I471" s="19">
        <f>IF(OR(COUNTIFS(市场案例库!$A$6:$A$35,C471)&lt;&gt;1),"",IF(COUNTIFS(市场案例库!$A$6:$A$35,C471)&lt;&gt;1,"",IF(COUNT(INDEX(市场案例库!$N$6:$N$35,MATCH(C471,市场案例库!$A$6:$A$35,0)))&lt;&gt;1,"",INDEX(市场案例库!$N$6:$N$35,MATCH(C471,市场案例库!$A$6:$A$35,0)))))</f>
        <v>100</v>
      </c>
      <c r="J471" s="20">
        <f>IF(OR(C471&lt;&gt;N471,COUNT(H471:I471)&lt;&gt;2,H471&lt;=0,I471&lt;=0),"",IF(TRUE,H471/I471,H471/H471))</f>
        <v>1</v>
      </c>
      <c r="K471" s="16" t="s">
        <v>246</v>
      </c>
      <c r="L471" s="16" t="s">
        <v>213</v>
      </c>
      <c r="M471" s="16" t="str">
        <f t="shared" si="63"/>
        <v>模拟评分记录完整</v>
      </c>
      <c r="N471" s="8" t="s">
        <v>176</v>
      </c>
    </row>
    <row r="472" spans="1:14" ht="46.05" customHeight="1">
      <c r="A472" s="16" t="s">
        <v>82</v>
      </c>
      <c r="B472" s="16">
        <v>3</v>
      </c>
      <c r="C472" s="17" t="str">
        <f>三案例选用!D15</f>
        <v>SC-024</v>
      </c>
      <c r="D472" s="16" t="s">
        <v>214</v>
      </c>
      <c r="E472" s="16" t="str">
        <f>IF(TRUE,"适用","不适用采用100/100")</f>
        <v>适用</v>
      </c>
      <c r="F472" s="17" t="str">
        <f>IF(TRUE,IF(COUNTIFS(资产清单!$A$6:$A$25,A472)&lt;&gt;1,"",IF(INDEX(资产清单!$I$6:$I$25,MATCH(A472,资产清单!$A$6:$A$25,0))="","",INDEX(资产清单!$I$6:$I$25,MATCH(A472,资产清单!$A$6:$A$25,0)))),"不适用")</f>
        <v>停车位</v>
      </c>
      <c r="G472" s="17" t="str">
        <f>IF(TRUE,IF(COUNTIFS(市场案例库!$A$6:$A$35,C472)&lt;&gt;1,"",IF(INDEX(市场案例库!$O$6:$O$35,MATCH(C472,市场案例库!$A$6:$A$35,0))="","",INDEX(市场案例库!$O$6:$O$35,MATCH(C472,市场案例库!$A$6:$A$35,0)))),"不适用")</f>
        <v>停车位</v>
      </c>
      <c r="H472" s="19">
        <f>测算参数!$B$6</f>
        <v>100</v>
      </c>
      <c r="I472" s="10">
        <v>100</v>
      </c>
      <c r="J472" s="20">
        <f>IF(OR(C472&lt;&gt;N472,COUNT(H472:I472)&lt;&gt;2,H472&lt;=0,I472&lt;=0),"",IF(TRUE,H472/I472,H472/H472))</f>
        <v>1</v>
      </c>
      <c r="K472" s="16" t="s">
        <v>246</v>
      </c>
      <c r="L472" s="16" t="s">
        <v>215</v>
      </c>
      <c r="M472" s="16" t="str">
        <f t="shared" si="63"/>
        <v>模拟评分记录完整</v>
      </c>
      <c r="N472" s="8" t="s">
        <v>176</v>
      </c>
    </row>
    <row r="473" spans="1:14" ht="46.05" customHeight="1">
      <c r="A473" s="16" t="s">
        <v>82</v>
      </c>
      <c r="B473" s="16">
        <v>3</v>
      </c>
      <c r="C473" s="17" t="str">
        <f>三案例选用!D15</f>
        <v>SC-024</v>
      </c>
      <c r="D473" s="16" t="s">
        <v>216</v>
      </c>
      <c r="E473" s="16" t="str">
        <f>IF(TRUE,"适用","不适用采用100/100")</f>
        <v>适用</v>
      </c>
      <c r="F473" s="17" t="str">
        <f>IF(TRUE,IF(COUNTIFS(资产清单!$A$6:$A$25,A473)&lt;&gt;1,"",IF(INDEX(资产清单!$I$6:$I$25,MATCH(A473,资产清单!$A$6:$A$25,0))="","",INDEX(资产清单!$I$6:$I$25,MATCH(A473,资产清单!$A$6:$A$25,0)))),"不适用")</f>
        <v>停车位</v>
      </c>
      <c r="G473" s="17" t="str">
        <f>IF(TRUE,IF(COUNTIFS(市场案例库!$A$6:$A$35,C473)&lt;&gt;1,"",IF(INDEX(市场案例库!$O$6:$O$35,MATCH(C473,市场案例库!$A$6:$A$35,0))="","",INDEX(市场案例库!$O$6:$O$35,MATCH(C473,市场案例库!$A$6:$A$35,0)))),"不适用")</f>
        <v>停车位</v>
      </c>
      <c r="H473" s="19">
        <f>测算参数!$B$6</f>
        <v>100</v>
      </c>
      <c r="I473" s="10">
        <v>100</v>
      </c>
      <c r="J473" s="20">
        <f>IF(OR(C473&lt;&gt;N473,COUNT(H473:I473)&lt;&gt;2,H473&lt;=0,I473&lt;=0),"",IF(TRUE,H473/I473,H473/H473))</f>
        <v>1</v>
      </c>
      <c r="K473" s="16" t="s">
        <v>246</v>
      </c>
      <c r="L473" s="16" t="s">
        <v>215</v>
      </c>
      <c r="M473" s="16" t="str">
        <f t="shared" si="63"/>
        <v>模拟评分记录完整</v>
      </c>
      <c r="N473" s="8" t="s">
        <v>176</v>
      </c>
    </row>
    <row r="474" spans="1:14" ht="46.05" customHeight="1">
      <c r="A474" s="16" t="s">
        <v>82</v>
      </c>
      <c r="B474" s="16">
        <v>3</v>
      </c>
      <c r="C474" s="17" t="str">
        <f>三案例选用!D15</f>
        <v>SC-024</v>
      </c>
      <c r="D474" s="16" t="s">
        <v>217</v>
      </c>
      <c r="E474" s="17" t="str">
        <f>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"适用","不适用采用100/100")</f>
        <v>不适用采用100/100</v>
      </c>
      <c r="F474" s="17" t="str">
        <f>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IF(COUNTIFS(资产清单!$A$6:$A$25,A474)&lt;&gt;1,"",IF(COUNT(INDEX(资产清单!$M$6:$M$25,MATCH(A474,资产清单!$A$6:$A$25,0)))&lt;&gt;1,"",INDEX(资产清单!$M$6:$M$25,MATCH(A474,资产清单!$A$6:$A$25,0)))),"不适用")</f>
        <v>不适用</v>
      </c>
      <c r="G474" s="17" t="str">
        <f>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IF(COUNTIFS(市场案例库!$A$6:$A$35,C474)&lt;&gt;1,"",IF(COUNT(INDEX(市场案例库!$H$6:$H$35,MATCH(C474,市场案例库!$A$6:$A$35,0)))&lt;&gt;1,"",INDEX(市场案例库!$H$6:$H$35,MATCH(C474,市场案例库!$A$6:$A$35,0)))),"不适用")</f>
        <v>不适用</v>
      </c>
      <c r="H474" s="19">
        <f>测算参数!$B$6</f>
        <v>100</v>
      </c>
      <c r="I474" s="19">
        <f>IF(OR(COUNTIFS(市场案例库!$A$6:$A$35,C474)&lt;&gt;1,AND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COUNT(IF(COUNTIFS(资产清单!$A$6:$A$25,A474)&lt;&gt;1,"",IF(COUNT(INDEX(资产清单!$M$6:$M$25,MATCH(A474,资产清单!$A$6:$A$25,0)))&lt;&gt;1,"",INDEX(资产清单!$M$6:$M$25,MATCH(A474,资产清单!$A$6:$A$25,0)))),IF(COUNTIFS(市场案例库!$A$6:$A$35,C474)&lt;&gt;1,"",IF(COUNT(INDEX(市场案例库!$H$6:$H$35,MATCH(C474,市场案例库!$A$6:$A$35,0)))&lt;&gt;1,"",INDEX(市场案例库!$H$6:$H$35,MATCH(C474,市场案例库!$A$6:$A$35,0)))))&lt;&gt;2)),"",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INDEX(测算参数!$B$25:$B$31,MATCH(MAX(-测算参数!$B$11,MIN(测算参数!$B$11,IF(COUNTIFS(资产清单!$A$6:$A$25,A474)&lt;&gt;1,"",IF(COUNT(INDEX(资产清单!$M$6:$M$25,MATCH(A474,资产清单!$A$6:$A$25,0)))&lt;&gt;1,"",INDEX(资产清单!$M$6:$M$25,MATCH(A474,资产清单!$A$6:$A$25,0))))-IF(COUNTIFS(市场案例库!$A$6:$A$35,C474)&lt;&gt;1,"",IF(COUNT(INDEX(市场案例库!$H$6:$H$35,MATCH(C474,市场案例库!$A$6:$A$35,0)))&lt;&gt;1,"",INDEX(市场案例库!$H$6:$H$35,MATCH(C474,市场案例库!$A$6:$A$35,0)))))),测算参数!$A$25:$A$31,0)),测算参数!$B$6))</f>
        <v>100</v>
      </c>
      <c r="J474" s="21">
        <f>IF(OR(C474&lt;&gt;N474,COUNT(H474:I474)&lt;&gt;2,H474&lt;=0,I474&lt;=0),"",IF(OR(IF(COUNTIFS(资产清单!$A$6:$A$25,A474)&lt;&gt;1,"",IF(INDEX(资产清单!$H$6:$H$25,MATCH(A474,资产清单!$A$6:$A$25,0))="","",INDEX(资产清单!$H$6:$H$25,MATCH(A474,资产清单!$A$6:$A$25,0))))="商业",IF(COUNTIFS(资产清单!$A$6:$A$25,A474)&lt;&gt;1,"",IF(INDEX(资产清单!$H$6:$H$25,MATCH(A474,资产清单!$A$6:$A$25,0))="","",INDEX(资产清单!$H$6:$H$25,MATCH(A474,资产清单!$A$6:$A$25,0))))="办公",IF(COUNTIFS(资产清单!$A$6:$A$25,A474)&lt;&gt;1,"",IF(INDEX(资产清单!$H$6:$H$25,MATCH(A474,资产清单!$A$6:$A$25,0))="","",INDEX(资产清单!$H$6:$H$25,MATCH(A474,资产清单!$A$6:$A$25,0))))="住宅"),H474/I474,H474/H474))</f>
        <v>1</v>
      </c>
      <c r="K474" s="16" t="s">
        <v>246</v>
      </c>
      <c r="L474" s="16" t="s">
        <v>218</v>
      </c>
      <c r="M474" s="16" t="str">
        <f t="shared" si="63"/>
        <v>模拟评分记录完整</v>
      </c>
      <c r="N474" s="8" t="s">
        <v>176</v>
      </c>
    </row>
    <row r="475" spans="1:14" ht="46.05" customHeight="1">
      <c r="A475" s="16" t="s">
        <v>82</v>
      </c>
      <c r="B475" s="16">
        <v>3</v>
      </c>
      <c r="C475" s="17" t="str">
        <f>三案例选用!D15</f>
        <v>SC-024</v>
      </c>
      <c r="D475" s="16" t="s">
        <v>219</v>
      </c>
      <c r="E475" s="17" t="str">
        <f>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"适用","不适用采用100/100")</f>
        <v>不适用采用100/100</v>
      </c>
      <c r="F475" s="17" t="str">
        <f>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IF(COUNTIFS(资产清单!$A$6:$A$25,A475)&lt;&gt;1,"",IF(COUNT(INDEX(资产清单!$L$6:$L$25,MATCH(A475,资产清单!$A$6:$A$25,0)))&lt;&gt;1,"",INDEX(资产清单!$L$6:$L$25,MATCH(A475,资产清单!$A$6:$A$25,0)))),"不适用")</f>
        <v>不适用</v>
      </c>
      <c r="G475" s="17" t="str">
        <f>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IF(COUNTIFS(市场案例库!$A$6:$A$35,C475)&lt;&gt;1,"",IF(COUNT(INDEX(市场案例库!$G$6:$G$35,MATCH(C475,市场案例库!$A$6:$A$35,0)))&lt;&gt;1,"",INDEX(市场案例库!$G$6:$G$35,MATCH(C475,市场案例库!$A$6:$A$35,0)))),"不适用")</f>
        <v>不适用</v>
      </c>
      <c r="H475" s="19">
        <f>测算参数!$B$6</f>
        <v>100</v>
      </c>
      <c r="I475" s="19">
        <f>IF(OR(COUNTIFS(市场案例库!$A$6:$A$35,C475)&lt;&gt;1,AND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OR(COUNT(IF(COUNTIFS(资产清单!$A$6:$A$25,A475)&lt;&gt;1,"",IF(COUNT(INDEX(资产清单!$L$6:$L$25,MATCH(A475,资产清单!$A$6:$A$25,0)))&lt;&gt;1,"",INDEX(资产清单!$L$6:$L$25,MATCH(A475,资产清单!$A$6:$A$25,0)))),IF(COUNTIFS(市场案例库!$A$6:$A$35,C475)&lt;&gt;1,"",IF(COUNT(INDEX(市场案例库!$G$6:$G$35,MATCH(C475,市场案例库!$A$6:$A$35,0)))&lt;&gt;1,"",INDEX(市场案例库!$G$6:$G$35,MATCH(C475,市场案例库!$A$6:$A$35,0)))))&lt;&gt;2,IF(COUNTIFS(资产清单!$A$6:$A$25,A475)&lt;&gt;1,"",IF(COUNT(INDEX(资产清单!$L$6:$L$25,MATCH(A475,资产清单!$A$6:$A$25,0)))&lt;&gt;1,"",INDEX(资产清单!$L$6:$L$25,MATCH(A475,资产清单!$A$6:$A$25,0))))&lt;=0,IF(COUNTIFS(市场案例库!$A$6:$A$35,C475)&lt;&gt;1,"",IF(COUNT(INDEX(市场案例库!$G$6:$G$35,MATCH(C475,市场案例库!$A$6:$A$35,0)))&lt;&gt;1,"",INDEX(市场案例库!$G$6:$G$35,MATCH(C475,市场案例库!$A$6:$A$35,0))))&lt;=0))),"",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LOOKUP(IF(COUNTIFS(市场案例库!$A$6:$A$35,C475)&lt;&gt;1,"",IF(COUNT(INDEX(市场案例库!$G$6:$G$35,MATCH(C475,市场案例库!$A$6:$A$35,0)))&lt;&gt;1,"",INDEX(市场案例库!$G$6:$G$35,MATCH(C475,市场案例库!$A$6:$A$35,0))))/IF(COUNTIFS(资产清单!$A$6:$A$25,A475)&lt;&gt;1,"",IF(COUNT(INDEX(资产清单!$L$6:$L$25,MATCH(A475,资产清单!$A$6:$A$25,0)))&lt;&gt;1,"",INDEX(资产清单!$L$6:$L$25,MATCH(A475,资产清单!$A$6:$A$25,0)))),测算参数!$A$15:$A$21,测算参数!$C$15:$C$21),测算参数!$B$6))</f>
        <v>100</v>
      </c>
      <c r="J475" s="21">
        <f>IF(OR(C475&lt;&gt;N475,COUNT(H475:I475)&lt;&gt;2,H475&lt;=0,I475&lt;=0),"",IF(AND(IF(COUNTIFS(资产清单!$A$6:$A$25,A475)&lt;&gt;1,"",IF(INDEX(资产清单!$J$6:$J$25,MATCH(A475,资产清单!$A$6:$A$25,0))="","",INDEX(资产清单!$J$6:$J$25,MATCH(A475,资产清单!$A$6:$A$25,0))))="元/㎡/月",IF(COUNTIFS(资产清单!$A$6:$A$25,A475)&lt;&gt;1,"",IF(INDEX(资产清单!$H$6:$H$25,MATCH(A475,资产清单!$A$6:$A$25,0))="","",INDEX(资产清单!$H$6:$H$25,MATCH(A475,资产清单!$A$6:$A$25,0))))&lt;&gt;"场地"),H475/I475,H475/H475))</f>
        <v>1</v>
      </c>
      <c r="K475" s="16" t="s">
        <v>246</v>
      </c>
      <c r="L475" s="16" t="s">
        <v>220</v>
      </c>
      <c r="M475" s="16" t="str">
        <f t="shared" si="63"/>
        <v>模拟评分记录完整</v>
      </c>
      <c r="N475" s="8" t="s">
        <v>176</v>
      </c>
    </row>
    <row r="476" spans="1:14" ht="46.05" customHeight="1">
      <c r="A476" s="16" t="s">
        <v>82</v>
      </c>
      <c r="B476" s="16">
        <v>3</v>
      </c>
      <c r="C476" s="17" t="str">
        <f>三案例选用!D15</f>
        <v>SC-024</v>
      </c>
      <c r="D476" s="16" t="s">
        <v>221</v>
      </c>
      <c r="E476" s="16" t="str">
        <f t="shared" ref="E476:E481" si="66">IF(TRUE,"适用","不适用采用100/100")</f>
        <v>适用</v>
      </c>
      <c r="F476" s="17" t="str">
        <f>IF(TRUE,IF(COUNTIFS(资产清单!$A$6:$A$25,A476)&lt;&gt;1,"",IF(INDEX(资产清单!$I$6:$I$25,MATCH(A476,资产清单!$A$6:$A$25,0))="","",INDEX(资产清单!$I$6:$I$25,MATCH(A476,资产清单!$A$6:$A$25,0)))),"不适用")</f>
        <v>停车位</v>
      </c>
      <c r="G476" s="17" t="str">
        <f>IF(TRUE,IF(COUNTIFS(市场案例库!$A$6:$A$35,C476)&lt;&gt;1,"",IF(INDEX(市场案例库!$O$6:$O$35,MATCH(C476,市场案例库!$A$6:$A$35,0))="","",INDEX(市场案例库!$O$6:$O$35,MATCH(C476,市场案例库!$A$6:$A$35,0)))),"不适用")</f>
        <v>停车位</v>
      </c>
      <c r="H476" s="19">
        <f>测算参数!$B$6</f>
        <v>100</v>
      </c>
      <c r="I476" s="10">
        <v>100</v>
      </c>
      <c r="J476" s="20">
        <f t="shared" ref="J476:J481" si="67">IF(OR(C476&lt;&gt;N476,COUNT(H476:I476)&lt;&gt;2,H476&lt;=0,I476&lt;=0),"",IF(TRUE,H476/I476,H476/H476))</f>
        <v>1</v>
      </c>
      <c r="K476" s="16" t="s">
        <v>246</v>
      </c>
      <c r="L476" s="16" t="s">
        <v>215</v>
      </c>
      <c r="M476" s="16" t="str">
        <f t="shared" si="63"/>
        <v>模拟评分记录完整</v>
      </c>
      <c r="N476" s="8" t="s">
        <v>176</v>
      </c>
    </row>
    <row r="477" spans="1:14" ht="46.05" customHeight="1">
      <c r="A477" s="16" t="s">
        <v>82</v>
      </c>
      <c r="B477" s="16">
        <v>3</v>
      </c>
      <c r="C477" s="17" t="str">
        <f>三案例选用!D15</f>
        <v>SC-024</v>
      </c>
      <c r="D477" s="16" t="s">
        <v>222</v>
      </c>
      <c r="E477" s="16" t="str">
        <f t="shared" si="66"/>
        <v>适用</v>
      </c>
      <c r="F477" s="17" t="str">
        <f>IF(TRUE,IF(COUNTIFS(资产清单!$A$6:$A$25,A477)&lt;&gt;1,"",IF(INDEX(资产清单!$I$6:$I$25,MATCH(A477,资产清单!$A$6:$A$25,0))="","",INDEX(资产清单!$I$6:$I$25,MATCH(A477,资产清单!$A$6:$A$25,0)))),"不适用")</f>
        <v>停车位</v>
      </c>
      <c r="G477" s="17" t="str">
        <f>IF(TRUE,IF(COUNTIFS(市场案例库!$A$6:$A$35,C477)&lt;&gt;1,"",IF(INDEX(市场案例库!$O$6:$O$35,MATCH(C477,市场案例库!$A$6:$A$35,0))="","",INDEX(市场案例库!$O$6:$O$35,MATCH(C477,市场案例库!$A$6:$A$35,0)))),"不适用")</f>
        <v>停车位</v>
      </c>
      <c r="H477" s="19">
        <f>测算参数!$B$6</f>
        <v>100</v>
      </c>
      <c r="I477" s="10">
        <v>100</v>
      </c>
      <c r="J477" s="20">
        <f t="shared" si="67"/>
        <v>1</v>
      </c>
      <c r="K477" s="16" t="s">
        <v>246</v>
      </c>
      <c r="L477" s="16" t="s">
        <v>215</v>
      </c>
      <c r="M477" s="16" t="str">
        <f t="shared" si="63"/>
        <v>模拟评分记录完整</v>
      </c>
      <c r="N477" s="8" t="s">
        <v>176</v>
      </c>
    </row>
    <row r="478" spans="1:14" ht="46.05" customHeight="1">
      <c r="A478" s="16" t="s">
        <v>82</v>
      </c>
      <c r="B478" s="16">
        <v>3</v>
      </c>
      <c r="C478" s="17" t="str">
        <f>三案例选用!D15</f>
        <v>SC-024</v>
      </c>
      <c r="D478" s="16" t="s">
        <v>224</v>
      </c>
      <c r="E478" s="16" t="str">
        <f t="shared" si="66"/>
        <v>适用</v>
      </c>
      <c r="F478" s="17" t="str">
        <f>IF(TRUE,IF(COUNTIFS(资产清单!$A$6:$A$25,A478)&lt;&gt;1,"",IF(INDEX(资产清单!$I$6:$I$25,MATCH(A478,资产清单!$A$6:$A$25,0))="","",INDEX(资产清单!$I$6:$I$25,MATCH(A478,资产清单!$A$6:$A$25,0)))),"不适用")</f>
        <v>停车位</v>
      </c>
      <c r="G478" s="17" t="str">
        <f>IF(TRUE,IF(COUNTIFS(市场案例库!$A$6:$A$35,C478)&lt;&gt;1,"",IF(INDEX(市场案例库!$O$6:$O$35,MATCH(C478,市场案例库!$A$6:$A$35,0))="","",INDEX(市场案例库!$O$6:$O$35,MATCH(C478,市场案例库!$A$6:$A$35,0)))),"不适用")</f>
        <v>停车位</v>
      </c>
      <c r="H478" s="19">
        <f>测算参数!$B$6</f>
        <v>100</v>
      </c>
      <c r="I478" s="10">
        <v>100</v>
      </c>
      <c r="J478" s="20">
        <f t="shared" si="67"/>
        <v>1</v>
      </c>
      <c r="K478" s="16" t="s">
        <v>246</v>
      </c>
      <c r="L478" s="16" t="s">
        <v>215</v>
      </c>
      <c r="M478" s="16" t="str">
        <f t="shared" si="63"/>
        <v>模拟评分记录完整</v>
      </c>
      <c r="N478" s="8" t="s">
        <v>176</v>
      </c>
    </row>
    <row r="479" spans="1:14" ht="46.05" customHeight="1">
      <c r="A479" s="16" t="s">
        <v>82</v>
      </c>
      <c r="B479" s="16">
        <v>3</v>
      </c>
      <c r="C479" s="17" t="str">
        <f>三案例选用!D15</f>
        <v>SC-024</v>
      </c>
      <c r="D479" s="16" t="s">
        <v>225</v>
      </c>
      <c r="E479" s="16" t="str">
        <f t="shared" si="66"/>
        <v>适用</v>
      </c>
      <c r="F479" s="17" t="str">
        <f>IF(TRUE,IF(COUNTIFS(资产清单!$A$6:$A$25,A479)&lt;&gt;1,"",IF(INDEX(资产清单!$I$6:$I$25,MATCH(A479,资产清单!$A$6:$A$25,0))="","",INDEX(资产清单!$I$6:$I$25,MATCH(A479,资产清单!$A$6:$A$25,0)))),"不适用")</f>
        <v>停车位</v>
      </c>
      <c r="G479" s="17" t="str">
        <f>IF(TRUE,IF(COUNTIFS(市场案例库!$A$6:$A$35,C479)&lt;&gt;1,"",IF(INDEX(市场案例库!$O$6:$O$35,MATCH(C479,市场案例库!$A$6:$A$35,0))="","",INDEX(市场案例库!$O$6:$O$35,MATCH(C479,市场案例库!$A$6:$A$35,0)))),"不适用")</f>
        <v>停车位</v>
      </c>
      <c r="H479" s="19">
        <f>测算参数!$B$6</f>
        <v>100</v>
      </c>
      <c r="I479" s="10">
        <v>100</v>
      </c>
      <c r="J479" s="20">
        <f t="shared" si="67"/>
        <v>1</v>
      </c>
      <c r="K479" s="16" t="s">
        <v>246</v>
      </c>
      <c r="L479" s="16" t="s">
        <v>215</v>
      </c>
      <c r="M479" s="16" t="str">
        <f t="shared" si="63"/>
        <v>模拟评分记录完整</v>
      </c>
      <c r="N479" s="8" t="s">
        <v>176</v>
      </c>
    </row>
    <row r="480" spans="1:14" ht="46.05" customHeight="1">
      <c r="A480" s="16" t="s">
        <v>82</v>
      </c>
      <c r="B480" s="16">
        <v>3</v>
      </c>
      <c r="C480" s="17" t="str">
        <f>三案例选用!D15</f>
        <v>SC-024</v>
      </c>
      <c r="D480" s="16" t="s">
        <v>226</v>
      </c>
      <c r="E480" s="16" t="str">
        <f t="shared" si="66"/>
        <v>适用</v>
      </c>
      <c r="F480" s="17" t="str">
        <f>IF(TRUE,IF(COUNTIFS(资产清单!$A$6:$A$25,A480)&lt;&gt;1,"",IF(INDEX(资产清单!$I$6:$I$25,MATCH(A480,资产清单!$A$6:$A$25,0))="","",INDEX(资产清单!$I$6:$I$25,MATCH(A480,资产清单!$A$6:$A$25,0)))),"不适用")</f>
        <v>停车位</v>
      </c>
      <c r="G480" s="17" t="str">
        <f>IF(TRUE,IF(COUNTIFS(市场案例库!$A$6:$A$35,C480)&lt;&gt;1,"",IF(INDEX(市场案例库!$O$6:$O$35,MATCH(C480,市场案例库!$A$6:$A$35,0))="","",INDEX(市场案例库!$O$6:$O$35,MATCH(C480,市场案例库!$A$6:$A$35,0)))),"不适用")</f>
        <v>停车位</v>
      </c>
      <c r="H480" s="19">
        <f>测算参数!$B$6</f>
        <v>100</v>
      </c>
      <c r="I480" s="10">
        <v>100</v>
      </c>
      <c r="J480" s="20">
        <f t="shared" si="67"/>
        <v>1</v>
      </c>
      <c r="K480" s="16" t="s">
        <v>246</v>
      </c>
      <c r="L480" s="16" t="s">
        <v>215</v>
      </c>
      <c r="M480" s="16" t="str">
        <f t="shared" si="63"/>
        <v>模拟评分记录完整</v>
      </c>
      <c r="N480" s="8" t="s">
        <v>176</v>
      </c>
    </row>
    <row r="481" spans="1:14" ht="46.05" customHeight="1">
      <c r="A481" s="16" t="s">
        <v>82</v>
      </c>
      <c r="B481" s="16">
        <v>3</v>
      </c>
      <c r="C481" s="17" t="str">
        <f>三案例选用!D15</f>
        <v>SC-024</v>
      </c>
      <c r="D481" s="16" t="s">
        <v>227</v>
      </c>
      <c r="E481" s="16" t="str">
        <f t="shared" si="66"/>
        <v>适用</v>
      </c>
      <c r="F481" s="17" t="str">
        <f>IF(TRUE,IF(COUNTIFS(资产清单!$A$6:$A$25,A481)&lt;&gt;1,"",IF(INDEX(资产清单!$I$6:$I$25,MATCH(A481,资产清单!$A$6:$A$25,0))="","",INDEX(资产清单!$I$6:$I$25,MATCH(A481,资产清单!$A$6:$A$25,0)))),"不适用")</f>
        <v>停车位</v>
      </c>
      <c r="G481" s="17" t="str">
        <f>IF(TRUE,IF(COUNTIFS(市场案例库!$A$6:$A$35,C481)&lt;&gt;1,"",IF(INDEX(市场案例库!$O$6:$O$35,MATCH(C481,市场案例库!$A$6:$A$35,0))="","",INDEX(市场案例库!$O$6:$O$35,MATCH(C481,市场案例库!$A$6:$A$35,0)))),"不适用")</f>
        <v>停车位</v>
      </c>
      <c r="H481" s="19">
        <f>测算参数!$B$6</f>
        <v>100</v>
      </c>
      <c r="I481" s="10">
        <v>100</v>
      </c>
      <c r="J481" s="20">
        <f t="shared" si="67"/>
        <v>1</v>
      </c>
      <c r="K481" s="16" t="s">
        <v>246</v>
      </c>
      <c r="L481" s="16" t="s">
        <v>215</v>
      </c>
      <c r="M481" s="16" t="str">
        <f t="shared" si="63"/>
        <v>模拟评分记录完整</v>
      </c>
      <c r="N481" s="8" t="s">
        <v>176</v>
      </c>
    </row>
    <row r="482" spans="1:14" ht="46.05" customHeight="1">
      <c r="A482" s="16" t="s">
        <v>82</v>
      </c>
      <c r="B482" s="16">
        <v>3</v>
      </c>
      <c r="C482" s="17" t="str">
        <f>三案例选用!D15</f>
        <v>SC-024</v>
      </c>
      <c r="D482" s="16" t="s">
        <v>228</v>
      </c>
      <c r="E482" s="17" t="str">
        <f>IF(AND(IF(COUNTIFS(资产清单!$A$6:$A$25,A482)&lt;&gt;1,"",IF(INDEX(资产清单!$H$6:$H$25,MATCH(A482,资产清单!$A$6:$A$25,0))="","",INDEX(资产清单!$H$6:$H$25,MATCH(A482,资产清单!$A$6:$A$25,0))))&lt;&gt;"场地",IF(COUNTIFS(资产清单!$A$6:$A$25,A482)&lt;&gt;1,"",IF(INDEX(资产清单!$H$6:$H$25,MATCH(A482,资产清单!$A$6:$A$25,0))="","",INDEX(资产清单!$H$6:$H$25,MATCH(A482,资产清单!$A$6:$A$25,0))))&lt;&gt;"车位",IF(COUNTIFS(资产清单!$A$6:$A$25,A482)&lt;&gt;1,"",IF(INDEX(资产清单!$H$6:$H$25,MATCH(A482,资产清单!$A$6:$A$25,0))="","",INDEX(资产清单!$H$6:$H$25,MATCH(A482,资产清单!$A$6:$A$25,0))))&lt;&gt;"通信基站"),"适用","不适用采用100/100")</f>
        <v>不适用采用100/100</v>
      </c>
      <c r="F482" s="17" t="str">
        <f>IF(AND(IF(COUNTIFS(资产清单!$A$6:$A$25,A482)&lt;&gt;1,"",IF(INDEX(资产清单!$H$6:$H$25,MATCH(A482,资产清单!$A$6:$A$25,0))="","",INDEX(资产清单!$H$6:$H$25,MATCH(A482,资产清单!$A$6:$A$25,0))))&lt;&gt;"场地",IF(COUNTIFS(资产清单!$A$6:$A$25,A482)&lt;&gt;1,"",IF(INDEX(资产清单!$H$6:$H$25,MATCH(A482,资产清单!$A$6:$A$25,0))="","",INDEX(资产清单!$H$6:$H$25,MATCH(A482,资产清单!$A$6:$A$25,0))))&lt;&gt;"车位",IF(COUNTIFS(资产清单!$A$6:$A$25,A482)&lt;&gt;1,"",IF(INDEX(资产清单!$H$6:$H$25,MATCH(A482,资产清单!$A$6:$A$25,0))="","",INDEX(资产清单!$H$6:$H$25,MATCH(A482,资产清单!$A$6:$A$25,0))))&lt;&gt;"通信基站"),IF(COUNTIFS(资产清单!$A$6:$A$25,A482)&lt;&gt;1,"",IF(INDEX(资产清单!$I$6:$I$25,MATCH(A482,资产清单!$A$6:$A$25,0))="","",INDEX(资产清单!$I$6:$I$25,MATCH(A482,资产清单!$A$6:$A$25,0)))),"不适用")</f>
        <v>不适用</v>
      </c>
      <c r="G482" s="17" t="str">
        <f>IF(AND(IF(COUNTIFS(资产清单!$A$6:$A$25,A482)&lt;&gt;1,"",IF(INDEX(资产清单!$H$6:$H$25,MATCH(A482,资产清单!$A$6:$A$25,0))="","",INDEX(资产清单!$H$6:$H$25,MATCH(A482,资产清单!$A$6:$A$25,0))))&lt;&gt;"场地",IF(COUNTIFS(资产清单!$A$6:$A$25,A482)&lt;&gt;1,"",IF(INDEX(资产清单!$H$6:$H$25,MATCH(A482,资产清单!$A$6:$A$25,0))="","",INDEX(资产清单!$H$6:$H$25,MATCH(A482,资产清单!$A$6:$A$25,0))))&lt;&gt;"车位",IF(COUNTIFS(资产清单!$A$6:$A$25,A482)&lt;&gt;1,"",IF(INDEX(资产清单!$H$6:$H$25,MATCH(A482,资产清单!$A$6:$A$25,0))="","",INDEX(资产清单!$H$6:$H$25,MATCH(A482,资产清单!$A$6:$A$25,0))))&lt;&gt;"通信基站"),IF(COUNTIFS(市场案例库!$A$6:$A$35,C482)&lt;&gt;1,"",IF(INDEX(市场案例库!$O$6:$O$35,MATCH(C482,市场案例库!$A$6:$A$35,0))="","",INDEX(市场案例库!$O$6:$O$35,MATCH(C482,市场案例库!$A$6:$A$35,0)))),"不适用")</f>
        <v>不适用</v>
      </c>
      <c r="H482" s="19">
        <f>测算参数!$B$6</f>
        <v>100</v>
      </c>
      <c r="I482" s="10">
        <v>100</v>
      </c>
      <c r="J482" s="21">
        <f>IF(OR(C482&lt;&gt;N482,COUNT(H482:I482)&lt;&gt;2,H482&lt;=0,I482&lt;=0),"",IF(AND(IF(COUNTIFS(资产清单!$A$6:$A$25,A482)&lt;&gt;1,"",IF(INDEX(资产清单!$H$6:$H$25,MATCH(A482,资产清单!$A$6:$A$25,0))="","",INDEX(资产清单!$H$6:$H$25,MATCH(A482,资产清单!$A$6:$A$25,0))))&lt;&gt;"场地",IF(COUNTIFS(资产清单!$A$6:$A$25,A482)&lt;&gt;1,"",IF(INDEX(资产清单!$H$6:$H$25,MATCH(A482,资产清单!$A$6:$A$25,0))="","",INDEX(资产清单!$H$6:$H$25,MATCH(A482,资产清单!$A$6:$A$25,0))))&lt;&gt;"车位",IF(COUNTIFS(资产清单!$A$6:$A$25,A482)&lt;&gt;1,"",IF(INDEX(资产清单!$H$6:$H$25,MATCH(A482,资产清单!$A$6:$A$25,0))="","",INDEX(资产清单!$H$6:$H$25,MATCH(A482,资产清单!$A$6:$A$25,0))))&lt;&gt;"通信基站"),H482/I482,H482/H482))</f>
        <v>1</v>
      </c>
      <c r="K482" s="16" t="s">
        <v>246</v>
      </c>
      <c r="L482" s="16" t="s">
        <v>215</v>
      </c>
      <c r="M482" s="16" t="str">
        <f t="shared" si="63"/>
        <v>模拟评分记录完整</v>
      </c>
      <c r="N482" s="8" t="s">
        <v>176</v>
      </c>
    </row>
    <row r="483" spans="1:14" ht="46.05" customHeight="1">
      <c r="A483" s="16" t="s">
        <v>82</v>
      </c>
      <c r="B483" s="16">
        <v>3</v>
      </c>
      <c r="C483" s="17" t="str">
        <f>三案例选用!D15</f>
        <v>SC-024</v>
      </c>
      <c r="D483" s="16" t="s">
        <v>229</v>
      </c>
      <c r="E483" s="17" t="str">
        <f>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"适用","不适用采用100/100")</f>
        <v>不适用采用100/100</v>
      </c>
      <c r="F483" s="17" t="str">
        <f>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IF(COUNTIFS(资产清单!$A$6:$A$25,A483)&lt;&gt;1,"",IF(COUNT(INDEX(资产清单!$N$6:$N$25,MATCH(A483,资产清单!$A$6:$A$25,0)))&lt;&gt;1,"",INDEX(资产清单!$N$6:$N$25,MATCH(A483,资产清单!$A$6:$A$25,0)))),"不适用")</f>
        <v>不适用</v>
      </c>
      <c r="G483" s="17" t="str">
        <f>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IF(COUNTIFS(市场案例库!$A$6:$A$35,C483)&lt;&gt;1,"",IF(COUNT(INDEX(市场案例库!$I$6:$I$35,MATCH(C483,市场案例库!$A$6:$A$35,0)))&lt;&gt;1,"",INDEX(市场案例库!$I$6:$I$35,MATCH(C483,市场案例库!$A$6:$A$35,0)))),"不适用")</f>
        <v>不适用</v>
      </c>
      <c r="H483" s="19">
        <f>测算参数!$B$6</f>
        <v>100</v>
      </c>
      <c r="I483" s="19">
        <f>IF(OR(COUNTIFS(市场案例库!$A$6:$A$35,C483)&lt;&gt;1,AND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OR(COUNT(IF(COUNTIFS(资产清单!$A$6:$A$25,A483)&lt;&gt;1,"",IF(COUNT(INDEX(资产清单!$N$6:$N$25,MATCH(A483,资产清单!$A$6:$A$25,0)))&lt;&gt;1,"",INDEX(资产清单!$N$6:$N$25,MATCH(A483,资产清单!$A$6:$A$25,0)))),IF(COUNTIFS(市场案例库!$A$6:$A$35,C483)&lt;&gt;1,"",IF(COUNT(INDEX(市场案例库!$I$6:$I$35,MATCH(C483,市场案例库!$A$6:$A$35,0)))&lt;&gt;1,"",INDEX(市场案例库!$I$6:$I$35,MATCH(C483,市场案例库!$A$6:$A$35,0)))))&lt;&gt;2,IF(COUNTIFS(资产清单!$A$6:$A$25,A483)&lt;&gt;1,"",IF(COUNT(INDEX(资产清单!$N$6:$N$25,MATCH(A483,资产清单!$A$6:$A$25,0)))&lt;&gt;1,"",INDEX(资产清单!$N$6:$N$25,MATCH(A483,资产清单!$A$6:$A$25,0))))&lt;1,IF(COUNTIFS(资产清单!$A$6:$A$25,A483)&lt;&gt;1,"",IF(COUNT(INDEX(资产清单!$N$6:$N$25,MATCH(A483,资产清单!$A$6:$A$25,0)))&lt;&gt;1,"",INDEX(资产清单!$N$6:$N$25,MATCH(A483,资产清单!$A$6:$A$25,0))))&gt;4,IF(COUNTIFS(市场案例库!$A$6:$A$35,C483)&lt;&gt;1,"",IF(COUNT(INDEX(市场案例库!$I$6:$I$35,MATCH(C483,市场案例库!$A$6:$A$35,0)))&lt;&gt;1,"",INDEX(市场案例库!$I$6:$I$35,MATCH(C483,市场案例库!$A$6:$A$35,0))))&lt;1,IF(COUNTIFS(市场案例库!$A$6:$A$35,C483)&lt;&gt;1,"",IF(COUNT(INDEX(市场案例库!$I$6:$I$35,MATCH(C483,市场案例库!$A$6:$A$35,0)))&lt;&gt;1,"",INDEX(市场案例库!$I$6:$I$35,MATCH(C483,市场案例库!$A$6:$A$35,0))))&gt;4))),"",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INDEX(测算参数!$B$35:$B$41,MATCH(IF(COUNTIFS(市场案例库!$A$6:$A$35,C483)&lt;&gt;1,"",IF(COUNT(INDEX(市场案例库!$I$6:$I$35,MATCH(C483,市场案例库!$A$6:$A$35,0)))&lt;&gt;1,"",INDEX(市场案例库!$I$6:$I$35,MATCH(C483,市场案例库!$A$6:$A$35,0))))-IF(COUNTIFS(资产清单!$A$6:$A$25,A483)&lt;&gt;1,"",IF(COUNT(INDEX(资产清单!$N$6:$N$25,MATCH(A483,资产清单!$A$6:$A$25,0)))&lt;&gt;1,"",INDEX(资产清单!$N$6:$N$25,MATCH(A483,资产清单!$A$6:$A$25,0)))),测算参数!$A$35:$A$41,0)),测算参数!$B$6))</f>
        <v>100</v>
      </c>
      <c r="J483" s="21">
        <f>IF(OR(C483&lt;&gt;N483,COUNT(H483:I483)&lt;&gt;2,H483&lt;=0,I483&lt;=0),"",IF(AND(IF(COUNTIFS(资产清单!$A$6:$A$25,A483)&lt;&gt;1,"",IF(INDEX(资产清单!$H$6:$H$25,MATCH(A483,资产清单!$A$6:$A$25,0))="","",INDEX(资产清单!$H$6:$H$25,MATCH(A483,资产清单!$A$6:$A$25,0))))&lt;&gt;"场地",IF(COUNTIFS(资产清单!$A$6:$A$25,A483)&lt;&gt;1,"",IF(INDEX(资产清单!$H$6:$H$25,MATCH(A483,资产清单!$A$6:$A$25,0))="","",INDEX(资产清单!$H$6:$H$25,MATCH(A483,资产清单!$A$6:$A$25,0))))&lt;&gt;"车位",IF(COUNTIFS(资产清单!$A$6:$A$25,A483)&lt;&gt;1,"",IF(INDEX(资产清单!$H$6:$H$25,MATCH(A483,资产清单!$A$6:$A$25,0))="","",INDEX(资产清单!$H$6:$H$25,MATCH(A483,资产清单!$A$6:$A$25,0))))&lt;&gt;"通信基站"),H483/I483,H483/H483))</f>
        <v>1</v>
      </c>
      <c r="K483" s="16" t="s">
        <v>246</v>
      </c>
      <c r="L483" s="16" t="s">
        <v>230</v>
      </c>
      <c r="M483" s="16" t="str">
        <f t="shared" si="63"/>
        <v>模拟评分记录完整</v>
      </c>
      <c r="N483" s="8" t="s">
        <v>176</v>
      </c>
    </row>
    <row r="484" spans="1:14" ht="46.05" customHeight="1">
      <c r="A484" s="16" t="s">
        <v>82</v>
      </c>
      <c r="B484" s="16">
        <v>3</v>
      </c>
      <c r="C484" s="17" t="str">
        <f>三案例选用!D15</f>
        <v>SC-024</v>
      </c>
      <c r="D484" s="16" t="s">
        <v>231</v>
      </c>
      <c r="E484" s="17" t="str">
        <f>IF(AND(IF(COUNTIFS(资产清单!$A$6:$A$25,A484)&lt;&gt;1,"",IF(INDEX(资产清单!$H$6:$H$25,MATCH(A484,资产清单!$A$6:$A$25,0))="","",INDEX(资产清单!$H$6:$H$25,MATCH(A484,资产清单!$A$6:$A$25,0))))&lt;&gt;"场地",IF(COUNTIFS(资产清单!$A$6:$A$25,A484)&lt;&gt;1,"",IF(INDEX(资产清单!$H$6:$H$25,MATCH(A484,资产清单!$A$6:$A$25,0))="","",INDEX(资产清单!$H$6:$H$25,MATCH(A484,资产清单!$A$6:$A$25,0))))&lt;&gt;"车位",IF(COUNTIFS(资产清单!$A$6:$A$25,A484)&lt;&gt;1,"",IF(INDEX(资产清单!$H$6:$H$25,MATCH(A484,资产清单!$A$6:$A$25,0))="","",INDEX(资产清单!$H$6:$H$25,MATCH(A484,资产清单!$A$6:$A$25,0))))&lt;&gt;"通信基站"),"适用","不适用采用100/100")</f>
        <v>不适用采用100/100</v>
      </c>
      <c r="F484" s="17" t="str">
        <f>IF(AND(IF(COUNTIFS(资产清单!$A$6:$A$25,A484)&lt;&gt;1,"",IF(INDEX(资产清单!$H$6:$H$25,MATCH(A484,资产清单!$A$6:$A$25,0))="","",INDEX(资产清单!$H$6:$H$25,MATCH(A484,资产清单!$A$6:$A$25,0))))&lt;&gt;"场地",IF(COUNTIFS(资产清单!$A$6:$A$25,A484)&lt;&gt;1,"",IF(INDEX(资产清单!$H$6:$H$25,MATCH(A484,资产清单!$A$6:$A$25,0))="","",INDEX(资产清单!$H$6:$H$25,MATCH(A484,资产清单!$A$6:$A$25,0))))&lt;&gt;"车位",IF(COUNTIFS(资产清单!$A$6:$A$25,A484)&lt;&gt;1,"",IF(INDEX(资产清单!$H$6:$H$25,MATCH(A484,资产清单!$A$6:$A$25,0))="","",INDEX(资产清单!$H$6:$H$25,MATCH(A484,资产清单!$A$6:$A$25,0))))&lt;&gt;"通信基站"),IF(COUNTIFS(资产清单!$A$6:$A$25,A484)&lt;&gt;1,"",IF(INDEX(资产清单!$I$6:$I$25,MATCH(A484,资产清单!$A$6:$A$25,0))="","",INDEX(资产清单!$I$6:$I$25,MATCH(A484,资产清单!$A$6:$A$25,0)))),"不适用")</f>
        <v>不适用</v>
      </c>
      <c r="G484" s="17" t="str">
        <f>IF(AND(IF(COUNTIFS(资产清单!$A$6:$A$25,A484)&lt;&gt;1,"",IF(INDEX(资产清单!$H$6:$H$25,MATCH(A484,资产清单!$A$6:$A$25,0))="","",INDEX(资产清单!$H$6:$H$25,MATCH(A484,资产清单!$A$6:$A$25,0))))&lt;&gt;"场地",IF(COUNTIFS(资产清单!$A$6:$A$25,A484)&lt;&gt;1,"",IF(INDEX(资产清单!$H$6:$H$25,MATCH(A484,资产清单!$A$6:$A$25,0))="","",INDEX(资产清单!$H$6:$H$25,MATCH(A484,资产清单!$A$6:$A$25,0))))&lt;&gt;"车位",IF(COUNTIFS(资产清单!$A$6:$A$25,A484)&lt;&gt;1,"",IF(INDEX(资产清单!$H$6:$H$25,MATCH(A484,资产清单!$A$6:$A$25,0))="","",INDEX(资产清单!$H$6:$H$25,MATCH(A484,资产清单!$A$6:$A$25,0))))&lt;&gt;"通信基站"),IF(COUNTIFS(市场案例库!$A$6:$A$35,C484)&lt;&gt;1,"",IF(INDEX(市场案例库!$O$6:$O$35,MATCH(C484,市场案例库!$A$6:$A$35,0))="","",INDEX(市场案例库!$O$6:$O$35,MATCH(C484,市场案例库!$A$6:$A$35,0)))),"不适用")</f>
        <v>不适用</v>
      </c>
      <c r="H484" s="19">
        <f>测算参数!$B$6</f>
        <v>100</v>
      </c>
      <c r="I484" s="10">
        <v>100</v>
      </c>
      <c r="J484" s="21">
        <f>IF(OR(C484&lt;&gt;N484,COUNT(H484:I484)&lt;&gt;2,H484&lt;=0,I484&lt;=0),"",IF(AND(IF(COUNTIFS(资产清单!$A$6:$A$25,A484)&lt;&gt;1,"",IF(INDEX(资产清单!$H$6:$H$25,MATCH(A484,资产清单!$A$6:$A$25,0))="","",INDEX(资产清单!$H$6:$H$25,MATCH(A484,资产清单!$A$6:$A$25,0))))&lt;&gt;"场地",IF(COUNTIFS(资产清单!$A$6:$A$25,A484)&lt;&gt;1,"",IF(INDEX(资产清单!$H$6:$H$25,MATCH(A484,资产清单!$A$6:$A$25,0))="","",INDEX(资产清单!$H$6:$H$25,MATCH(A484,资产清单!$A$6:$A$25,0))))&lt;&gt;"车位",IF(COUNTIFS(资产清单!$A$6:$A$25,A484)&lt;&gt;1,"",IF(INDEX(资产清单!$H$6:$H$25,MATCH(A484,资产清单!$A$6:$A$25,0))="","",INDEX(资产清单!$H$6:$H$25,MATCH(A484,资产清单!$A$6:$A$25,0))))&lt;&gt;"通信基站"),H484/I484,H484/H484))</f>
        <v>1</v>
      </c>
      <c r="K484" s="16" t="s">
        <v>246</v>
      </c>
      <c r="L484" s="16" t="s">
        <v>215</v>
      </c>
      <c r="M484" s="16" t="str">
        <f t="shared" si="63"/>
        <v>模拟评分记录完整</v>
      </c>
      <c r="N484" s="8" t="s">
        <v>176</v>
      </c>
    </row>
    <row r="485" spans="1:14" ht="46.05" customHeight="1">
      <c r="A485" s="16" t="s">
        <v>82</v>
      </c>
      <c r="B485" s="16">
        <v>3</v>
      </c>
      <c r="C485" s="17" t="str">
        <f>三案例选用!D15</f>
        <v>SC-024</v>
      </c>
      <c r="D485" s="16" t="s">
        <v>232</v>
      </c>
      <c r="E485" s="16" t="str">
        <f>IF(TRUE,"适用","不适用采用100/100")</f>
        <v>适用</v>
      </c>
      <c r="F485" s="17" t="str">
        <f>IF(TRUE,IF(COUNTIFS(资产清单!$A$6:$A$25,A485)&lt;&gt;1,"",IF(INDEX(资产清单!$I$6:$I$25,MATCH(A485,资产清单!$A$6:$A$25,0))="","",INDEX(资产清单!$I$6:$I$25,MATCH(A485,资产清单!$A$6:$A$25,0)))),"不适用")</f>
        <v>停车位</v>
      </c>
      <c r="G485" s="17" t="str">
        <f>IF(TRUE,IF(COUNTIFS(市场案例库!$A$6:$A$35,C485)&lt;&gt;1,"",IF(INDEX(市场案例库!$O$6:$O$35,MATCH(C485,市场案例库!$A$6:$A$35,0))="","",INDEX(市场案例库!$O$6:$O$35,MATCH(C485,市场案例库!$A$6:$A$35,0)))),"不适用")</f>
        <v>停车位</v>
      </c>
      <c r="H485" s="19">
        <f>测算参数!$B$6</f>
        <v>100</v>
      </c>
      <c r="I485" s="10">
        <v>100</v>
      </c>
      <c r="J485" s="20">
        <f>IF(OR(C485&lt;&gt;N485,COUNT(H485:I485)&lt;&gt;2,H485&lt;=0,I485&lt;=0),"",IF(TRUE,H485/I485,H485/H485))</f>
        <v>1</v>
      </c>
      <c r="K485" s="16" t="s">
        <v>246</v>
      </c>
      <c r="L485" s="16" t="s">
        <v>215</v>
      </c>
      <c r="M485" s="16" t="str">
        <f t="shared" si="63"/>
        <v>模拟评分记录完整</v>
      </c>
      <c r="N485" s="8" t="s">
        <v>176</v>
      </c>
    </row>
    <row r="486" spans="1:14" ht="46.05" customHeight="1">
      <c r="A486" s="16" t="s">
        <v>83</v>
      </c>
      <c r="B486" s="16">
        <v>1</v>
      </c>
      <c r="C486" s="17" t="str">
        <f>三案例选用!B16</f>
        <v>SC-025</v>
      </c>
      <c r="D486" s="16" t="s">
        <v>209</v>
      </c>
      <c r="E486" s="16" t="str">
        <f>IF(TRUE,"适用","不适用采用100/100")</f>
        <v>适用</v>
      </c>
      <c r="F486" s="17" t="str">
        <f>IF(TRUE,IF(COUNTIFS(资产清单!$A$6:$A$25,A486)&lt;&gt;1,"",IF(INDEX(资产清单!$I$6:$I$25,MATCH(A486,资产清单!$A$6:$A$25,0))="","",INDEX(资产清单!$I$6:$I$25,MATCH(A486,资产清单!$A$6:$A$25,0)))),"不适用")</f>
        <v>宿舍</v>
      </c>
      <c r="G486" s="17" t="str">
        <f>IF(TRUE,IF(COUNTIFS(市场案例库!$A$6:$A$35,C486)&lt;&gt;1,"",IF(INDEX(市场案例库!$O$6:$O$35,MATCH(C486,市场案例库!$A$6:$A$35,0))="","",INDEX(市场案例库!$O$6:$O$35,MATCH(C486,市场案例库!$A$6:$A$35,0)))),"不适用")</f>
        <v>宿舍</v>
      </c>
      <c r="H486" s="19">
        <f>测算参数!$B$6</f>
        <v>100</v>
      </c>
      <c r="I486" s="19">
        <f>IF(OR(COUNTIFS(市场案例库!$A$6:$A$35,C486)&lt;&gt;1),"",IF(COUNTIFS(市场案例库!$A$6:$A$35,C486)&lt;&gt;1,"",IF(COUNT(INDEX(市场案例库!$M$6:$M$35,MATCH(C486,市场案例库!$A$6:$A$35,0)))&lt;&gt;1,"",INDEX(市场案例库!$M$6:$M$35,MATCH(C486,市场案例库!$A$6:$A$35,0)))))</f>
        <v>102</v>
      </c>
      <c r="J486" s="20">
        <f>IF(OR(C486&lt;&gt;N486,COUNT(H486:I486)&lt;&gt;2,H486&lt;=0,I486&lt;=0),"",IF(TRUE,H486/I486,H486/H486))</f>
        <v>0.98039215686274506</v>
      </c>
      <c r="K486" s="16" t="s">
        <v>247</v>
      </c>
      <c r="L486" s="16" t="s">
        <v>211</v>
      </c>
      <c r="M486" s="16" t="str">
        <f t="shared" si="63"/>
        <v>模拟评分记录完整</v>
      </c>
      <c r="N486" s="8" t="s">
        <v>177</v>
      </c>
    </row>
    <row r="487" spans="1:14" ht="46.05" customHeight="1">
      <c r="A487" s="16" t="s">
        <v>83</v>
      </c>
      <c r="B487" s="16">
        <v>1</v>
      </c>
      <c r="C487" s="17" t="str">
        <f>三案例选用!B16</f>
        <v>SC-025</v>
      </c>
      <c r="D487" s="16" t="s">
        <v>212</v>
      </c>
      <c r="E487" s="16" t="str">
        <f>IF(TRUE,"适用","不适用采用100/100")</f>
        <v>适用</v>
      </c>
      <c r="F487" s="17" t="str">
        <f>IF(TRUE,IF(COUNTIFS(资产清单!$A$6:$A$25,A487)&lt;&gt;1,"",IF(INDEX(资产清单!$I$6:$I$25,MATCH(A487,资产清单!$A$6:$A$25,0))="","",INDEX(资产清单!$I$6:$I$25,MATCH(A487,资产清单!$A$6:$A$25,0)))),"不适用")</f>
        <v>宿舍</v>
      </c>
      <c r="G487" s="17" t="str">
        <f>IF(TRUE,IF(COUNTIFS(市场案例库!$A$6:$A$35,C487)&lt;&gt;1,"",IF(INDEX(市场案例库!$O$6:$O$35,MATCH(C487,市场案例库!$A$6:$A$35,0))="","",INDEX(市场案例库!$O$6:$O$35,MATCH(C487,市场案例库!$A$6:$A$35,0)))),"不适用")</f>
        <v>宿舍</v>
      </c>
      <c r="H487" s="19">
        <f>测算参数!$B$6</f>
        <v>100</v>
      </c>
      <c r="I487" s="19">
        <f>IF(OR(COUNTIFS(市场案例库!$A$6:$A$35,C487)&lt;&gt;1),"",IF(COUNTIFS(市场案例库!$A$6:$A$35,C487)&lt;&gt;1,"",IF(COUNT(INDEX(市场案例库!$N$6:$N$35,MATCH(C487,市场案例库!$A$6:$A$35,0)))&lt;&gt;1,"",INDEX(市场案例库!$N$6:$N$35,MATCH(C487,市场案例库!$A$6:$A$35,0)))))</f>
        <v>100</v>
      </c>
      <c r="J487" s="20">
        <f>IF(OR(C487&lt;&gt;N487,COUNT(H487:I487)&lt;&gt;2,H487&lt;=0,I487&lt;=0),"",IF(TRUE,H487/I487,H487/H487))</f>
        <v>1</v>
      </c>
      <c r="K487" s="16" t="s">
        <v>247</v>
      </c>
      <c r="L487" s="16" t="s">
        <v>213</v>
      </c>
      <c r="M487" s="16" t="str">
        <f t="shared" si="63"/>
        <v>模拟评分记录完整</v>
      </c>
      <c r="N487" s="8" t="s">
        <v>177</v>
      </c>
    </row>
    <row r="488" spans="1:14" ht="46.05" customHeight="1">
      <c r="A488" s="16" t="s">
        <v>83</v>
      </c>
      <c r="B488" s="16">
        <v>1</v>
      </c>
      <c r="C488" s="17" t="str">
        <f>三案例选用!B16</f>
        <v>SC-025</v>
      </c>
      <c r="D488" s="16" t="s">
        <v>214</v>
      </c>
      <c r="E488" s="16" t="str">
        <f>IF(TRUE,"适用","不适用采用100/100")</f>
        <v>适用</v>
      </c>
      <c r="F488" s="17" t="str">
        <f>IF(TRUE,IF(COUNTIFS(资产清单!$A$6:$A$25,A488)&lt;&gt;1,"",IF(INDEX(资产清单!$I$6:$I$25,MATCH(A488,资产清单!$A$6:$A$25,0))="","",INDEX(资产清单!$I$6:$I$25,MATCH(A488,资产清单!$A$6:$A$25,0)))),"不适用")</f>
        <v>宿舍</v>
      </c>
      <c r="G488" s="17" t="str">
        <f>IF(TRUE,IF(COUNTIFS(市场案例库!$A$6:$A$35,C488)&lt;&gt;1,"",IF(INDEX(市场案例库!$O$6:$O$35,MATCH(C488,市场案例库!$A$6:$A$35,0))="","",INDEX(市场案例库!$O$6:$O$35,MATCH(C488,市场案例库!$A$6:$A$35,0)))),"不适用")</f>
        <v>宿舍</v>
      </c>
      <c r="H488" s="19">
        <f>测算参数!$B$6</f>
        <v>100</v>
      </c>
      <c r="I488" s="10">
        <v>100</v>
      </c>
      <c r="J488" s="20">
        <f>IF(OR(C488&lt;&gt;N488,COUNT(H488:I488)&lt;&gt;2,H488&lt;=0,I488&lt;=0),"",IF(TRUE,H488/I488,H488/H488))</f>
        <v>1</v>
      </c>
      <c r="K488" s="16" t="s">
        <v>247</v>
      </c>
      <c r="L488" s="16" t="s">
        <v>215</v>
      </c>
      <c r="M488" s="16" t="str">
        <f t="shared" si="63"/>
        <v>模拟评分记录完整</v>
      </c>
      <c r="N488" s="8" t="s">
        <v>177</v>
      </c>
    </row>
    <row r="489" spans="1:14" ht="46.05" customHeight="1">
      <c r="A489" s="16" t="s">
        <v>83</v>
      </c>
      <c r="B489" s="16">
        <v>1</v>
      </c>
      <c r="C489" s="17" t="str">
        <f>三案例选用!B16</f>
        <v>SC-025</v>
      </c>
      <c r="D489" s="16" t="s">
        <v>216</v>
      </c>
      <c r="E489" s="16" t="str">
        <f>IF(TRUE,"适用","不适用采用100/100")</f>
        <v>适用</v>
      </c>
      <c r="F489" s="17" t="str">
        <f>IF(TRUE,IF(COUNTIFS(资产清单!$A$6:$A$25,A489)&lt;&gt;1,"",IF(INDEX(资产清单!$I$6:$I$25,MATCH(A489,资产清单!$A$6:$A$25,0))="","",INDEX(资产清单!$I$6:$I$25,MATCH(A489,资产清单!$A$6:$A$25,0)))),"不适用")</f>
        <v>宿舍</v>
      </c>
      <c r="G489" s="17" t="str">
        <f>IF(TRUE,IF(COUNTIFS(市场案例库!$A$6:$A$35,C489)&lt;&gt;1,"",IF(INDEX(市场案例库!$O$6:$O$35,MATCH(C489,市场案例库!$A$6:$A$35,0))="","",INDEX(市场案例库!$O$6:$O$35,MATCH(C489,市场案例库!$A$6:$A$35,0)))),"不适用")</f>
        <v>宿舍</v>
      </c>
      <c r="H489" s="19">
        <f>测算参数!$B$6</f>
        <v>100</v>
      </c>
      <c r="I489" s="10">
        <v>100</v>
      </c>
      <c r="J489" s="20">
        <f>IF(OR(C489&lt;&gt;N489,COUNT(H489:I489)&lt;&gt;2,H489&lt;=0,I489&lt;=0),"",IF(TRUE,H489/I489,H489/H489))</f>
        <v>1</v>
      </c>
      <c r="K489" s="16" t="s">
        <v>247</v>
      </c>
      <c r="L489" s="16" t="s">
        <v>215</v>
      </c>
      <c r="M489" s="16" t="str">
        <f t="shared" si="63"/>
        <v>模拟评分记录完整</v>
      </c>
      <c r="N489" s="8" t="s">
        <v>177</v>
      </c>
    </row>
    <row r="490" spans="1:14" ht="46.05" customHeight="1">
      <c r="A490" s="16" t="s">
        <v>83</v>
      </c>
      <c r="B490" s="16">
        <v>1</v>
      </c>
      <c r="C490" s="17" t="str">
        <f>三案例选用!B16</f>
        <v>SC-025</v>
      </c>
      <c r="D490" s="16" t="s">
        <v>217</v>
      </c>
      <c r="E490" s="17" t="str">
        <f>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"适用","不适用采用100/100")</f>
        <v>适用</v>
      </c>
      <c r="F490" s="17">
        <f>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IF(COUNTIFS(资产清单!$A$6:$A$25,A490)&lt;&gt;1,"",IF(COUNT(INDEX(资产清单!$M$6:$M$25,MATCH(A490,资产清单!$A$6:$A$25,0)))&lt;&gt;1,"",INDEX(资产清单!$M$6:$M$25,MATCH(A490,资产清单!$A$6:$A$25,0)))),"不适用")</f>
        <v>2</v>
      </c>
      <c r="G490" s="17">
        <f>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IF(COUNTIFS(市场案例库!$A$6:$A$35,C490)&lt;&gt;1,"",IF(COUNT(INDEX(市场案例库!$H$6:$H$35,MATCH(C490,市场案例库!$A$6:$A$35,0)))&lt;&gt;1,"",INDEX(市场案例库!$H$6:$H$35,MATCH(C490,市场案例库!$A$6:$A$35,0)))),"不适用")</f>
        <v>2</v>
      </c>
      <c r="H490" s="19">
        <f>测算参数!$B$6</f>
        <v>100</v>
      </c>
      <c r="I490" s="19">
        <f>IF(OR(COUNTIFS(市场案例库!$A$6:$A$35,C490)&lt;&gt;1,AND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COUNT(IF(COUNTIFS(资产清单!$A$6:$A$25,A490)&lt;&gt;1,"",IF(COUNT(INDEX(资产清单!$M$6:$M$25,MATCH(A490,资产清单!$A$6:$A$25,0)))&lt;&gt;1,"",INDEX(资产清单!$M$6:$M$25,MATCH(A490,资产清单!$A$6:$A$25,0)))),IF(COUNTIFS(市场案例库!$A$6:$A$35,C490)&lt;&gt;1,"",IF(COUNT(INDEX(市场案例库!$H$6:$H$35,MATCH(C490,市场案例库!$A$6:$A$35,0)))&lt;&gt;1,"",INDEX(市场案例库!$H$6:$H$35,MATCH(C490,市场案例库!$A$6:$A$35,0)))))&lt;&gt;2)),"",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INDEX(测算参数!$B$25:$B$31,MATCH(MAX(-测算参数!$B$11,MIN(测算参数!$B$11,IF(COUNTIFS(资产清单!$A$6:$A$25,A490)&lt;&gt;1,"",IF(COUNT(INDEX(资产清单!$M$6:$M$25,MATCH(A490,资产清单!$A$6:$A$25,0)))&lt;&gt;1,"",INDEX(资产清单!$M$6:$M$25,MATCH(A490,资产清单!$A$6:$A$25,0))))-IF(COUNTIFS(市场案例库!$A$6:$A$35,C490)&lt;&gt;1,"",IF(COUNT(INDEX(市场案例库!$H$6:$H$35,MATCH(C490,市场案例库!$A$6:$A$35,0)))&lt;&gt;1,"",INDEX(市场案例库!$H$6:$H$35,MATCH(C490,市场案例库!$A$6:$A$35,0)))))),测算参数!$A$25:$A$31,0)),测算参数!$B$6))</f>
        <v>100</v>
      </c>
      <c r="J490" s="21">
        <f>IF(OR(C490&lt;&gt;N490,COUNT(H490:I490)&lt;&gt;2,H490&lt;=0,I490&lt;=0),"",IF(OR(IF(COUNTIFS(资产清单!$A$6:$A$25,A490)&lt;&gt;1,"",IF(INDEX(资产清单!$H$6:$H$25,MATCH(A490,资产清单!$A$6:$A$25,0))="","",INDEX(资产清单!$H$6:$H$25,MATCH(A490,资产清单!$A$6:$A$25,0))))="商业",IF(COUNTIFS(资产清单!$A$6:$A$25,A490)&lt;&gt;1,"",IF(INDEX(资产清单!$H$6:$H$25,MATCH(A490,资产清单!$A$6:$A$25,0))="","",INDEX(资产清单!$H$6:$H$25,MATCH(A490,资产清单!$A$6:$A$25,0))))="办公",IF(COUNTIFS(资产清单!$A$6:$A$25,A490)&lt;&gt;1,"",IF(INDEX(资产清单!$H$6:$H$25,MATCH(A490,资产清单!$A$6:$A$25,0))="","",INDEX(资产清单!$H$6:$H$25,MATCH(A490,资产清单!$A$6:$A$25,0))))="住宅"),H490/I490,H490/H490))</f>
        <v>1</v>
      </c>
      <c r="K490" s="16" t="s">
        <v>247</v>
      </c>
      <c r="L490" s="16" t="s">
        <v>218</v>
      </c>
      <c r="M490" s="16" t="str">
        <f t="shared" si="63"/>
        <v>模拟评分记录完整</v>
      </c>
      <c r="N490" s="8" t="s">
        <v>177</v>
      </c>
    </row>
    <row r="491" spans="1:14" ht="46.05" customHeight="1">
      <c r="A491" s="16" t="s">
        <v>83</v>
      </c>
      <c r="B491" s="16">
        <v>1</v>
      </c>
      <c r="C491" s="17" t="str">
        <f>三案例选用!B16</f>
        <v>SC-025</v>
      </c>
      <c r="D491" s="16" t="s">
        <v>219</v>
      </c>
      <c r="E491" s="17" t="str">
        <f>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"适用","不适用采用100/100")</f>
        <v>不适用采用100/100</v>
      </c>
      <c r="F491" s="17" t="str">
        <f>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IF(COUNTIFS(资产清单!$A$6:$A$25,A491)&lt;&gt;1,"",IF(COUNT(INDEX(资产清单!$L$6:$L$25,MATCH(A491,资产清单!$A$6:$A$25,0)))&lt;&gt;1,"",INDEX(资产清单!$L$6:$L$25,MATCH(A491,资产清单!$A$6:$A$25,0)))),"不适用")</f>
        <v>不适用</v>
      </c>
      <c r="G491" s="17" t="str">
        <f>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IF(COUNTIFS(市场案例库!$A$6:$A$35,C491)&lt;&gt;1,"",IF(COUNT(INDEX(市场案例库!$G$6:$G$35,MATCH(C491,市场案例库!$A$6:$A$35,0)))&lt;&gt;1,"",INDEX(市场案例库!$G$6:$G$35,MATCH(C491,市场案例库!$A$6:$A$35,0)))),"不适用")</f>
        <v>不适用</v>
      </c>
      <c r="H491" s="19">
        <f>测算参数!$B$6</f>
        <v>100</v>
      </c>
      <c r="I491" s="19">
        <f>IF(OR(COUNTIFS(市场案例库!$A$6:$A$35,C491)&lt;&gt;1,AND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OR(COUNT(IF(COUNTIFS(资产清单!$A$6:$A$25,A491)&lt;&gt;1,"",IF(COUNT(INDEX(资产清单!$L$6:$L$25,MATCH(A491,资产清单!$A$6:$A$25,0)))&lt;&gt;1,"",INDEX(资产清单!$L$6:$L$25,MATCH(A491,资产清单!$A$6:$A$25,0)))),IF(COUNTIFS(市场案例库!$A$6:$A$35,C491)&lt;&gt;1,"",IF(COUNT(INDEX(市场案例库!$G$6:$G$35,MATCH(C491,市场案例库!$A$6:$A$35,0)))&lt;&gt;1,"",INDEX(市场案例库!$G$6:$G$35,MATCH(C491,市场案例库!$A$6:$A$35,0)))))&lt;&gt;2,IF(COUNTIFS(资产清单!$A$6:$A$25,A491)&lt;&gt;1,"",IF(COUNT(INDEX(资产清单!$L$6:$L$25,MATCH(A491,资产清单!$A$6:$A$25,0)))&lt;&gt;1,"",INDEX(资产清单!$L$6:$L$25,MATCH(A491,资产清单!$A$6:$A$25,0))))&lt;=0,IF(COUNTIFS(市场案例库!$A$6:$A$35,C491)&lt;&gt;1,"",IF(COUNT(INDEX(市场案例库!$G$6:$G$35,MATCH(C491,市场案例库!$A$6:$A$35,0)))&lt;&gt;1,"",INDEX(市场案例库!$G$6:$G$35,MATCH(C491,市场案例库!$A$6:$A$35,0))))&lt;=0))),"",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LOOKUP(IF(COUNTIFS(市场案例库!$A$6:$A$35,C491)&lt;&gt;1,"",IF(COUNT(INDEX(市场案例库!$G$6:$G$35,MATCH(C491,市场案例库!$A$6:$A$35,0)))&lt;&gt;1,"",INDEX(市场案例库!$G$6:$G$35,MATCH(C491,市场案例库!$A$6:$A$35,0))))/IF(COUNTIFS(资产清单!$A$6:$A$25,A491)&lt;&gt;1,"",IF(COUNT(INDEX(资产清单!$L$6:$L$25,MATCH(A491,资产清单!$A$6:$A$25,0)))&lt;&gt;1,"",INDEX(资产清单!$L$6:$L$25,MATCH(A491,资产清单!$A$6:$A$25,0)))),测算参数!$A$15:$A$21,测算参数!$C$15:$C$21),测算参数!$B$6))</f>
        <v>100</v>
      </c>
      <c r="J491" s="21">
        <f>IF(OR(C491&lt;&gt;N491,COUNT(H491:I491)&lt;&gt;2,H491&lt;=0,I491&lt;=0),"",IF(AND(IF(COUNTIFS(资产清单!$A$6:$A$25,A491)&lt;&gt;1,"",IF(INDEX(资产清单!$J$6:$J$25,MATCH(A491,资产清单!$A$6:$A$25,0))="","",INDEX(资产清单!$J$6:$J$25,MATCH(A491,资产清单!$A$6:$A$25,0))))="元/㎡/月",IF(COUNTIFS(资产清单!$A$6:$A$25,A491)&lt;&gt;1,"",IF(INDEX(资产清单!$H$6:$H$25,MATCH(A491,资产清单!$A$6:$A$25,0))="","",INDEX(资产清单!$H$6:$H$25,MATCH(A491,资产清单!$A$6:$A$25,0))))&lt;&gt;"场地"),H491/I491,H491/H491))</f>
        <v>1</v>
      </c>
      <c r="K491" s="16" t="s">
        <v>247</v>
      </c>
      <c r="L491" s="16" t="s">
        <v>220</v>
      </c>
      <c r="M491" s="16" t="str">
        <f t="shared" si="63"/>
        <v>模拟评分记录完整</v>
      </c>
      <c r="N491" s="8" t="s">
        <v>177</v>
      </c>
    </row>
    <row r="492" spans="1:14" ht="46.05" customHeight="1">
      <c r="A492" s="16" t="s">
        <v>83</v>
      </c>
      <c r="B492" s="16">
        <v>1</v>
      </c>
      <c r="C492" s="17" t="str">
        <f>三案例选用!B16</f>
        <v>SC-025</v>
      </c>
      <c r="D492" s="16" t="s">
        <v>221</v>
      </c>
      <c r="E492" s="16" t="str">
        <f t="shared" ref="E492:E497" si="68">IF(TRUE,"适用","不适用采用100/100")</f>
        <v>适用</v>
      </c>
      <c r="F492" s="17" t="str">
        <f>IF(TRUE,IF(COUNTIFS(资产清单!$A$6:$A$25,A492)&lt;&gt;1,"",IF(INDEX(资产清单!$I$6:$I$25,MATCH(A492,资产清单!$A$6:$A$25,0))="","",INDEX(资产清单!$I$6:$I$25,MATCH(A492,资产清单!$A$6:$A$25,0)))),"不适用")</f>
        <v>宿舍</v>
      </c>
      <c r="G492" s="17" t="str">
        <f>IF(TRUE,IF(COUNTIFS(市场案例库!$A$6:$A$35,C492)&lt;&gt;1,"",IF(INDEX(市场案例库!$O$6:$O$35,MATCH(C492,市场案例库!$A$6:$A$35,0))="","",INDEX(市场案例库!$O$6:$O$35,MATCH(C492,市场案例库!$A$6:$A$35,0)))),"不适用")</f>
        <v>宿舍</v>
      </c>
      <c r="H492" s="19">
        <f>测算参数!$B$6</f>
        <v>100</v>
      </c>
      <c r="I492" s="10">
        <v>100</v>
      </c>
      <c r="J492" s="20">
        <f t="shared" ref="J492:J497" si="69">IF(OR(C492&lt;&gt;N492,COUNT(H492:I492)&lt;&gt;2,H492&lt;=0,I492&lt;=0),"",IF(TRUE,H492/I492,H492/H492))</f>
        <v>1</v>
      </c>
      <c r="K492" s="16" t="s">
        <v>247</v>
      </c>
      <c r="L492" s="16" t="s">
        <v>215</v>
      </c>
      <c r="M492" s="16" t="str">
        <f t="shared" si="63"/>
        <v>模拟评分记录完整</v>
      </c>
      <c r="N492" s="8" t="s">
        <v>177</v>
      </c>
    </row>
    <row r="493" spans="1:14" ht="46.05" customHeight="1">
      <c r="A493" s="16" t="s">
        <v>83</v>
      </c>
      <c r="B493" s="16">
        <v>1</v>
      </c>
      <c r="C493" s="17" t="str">
        <f>三案例选用!B16</f>
        <v>SC-025</v>
      </c>
      <c r="D493" s="16" t="s">
        <v>222</v>
      </c>
      <c r="E493" s="16" t="str">
        <f t="shared" si="68"/>
        <v>适用</v>
      </c>
      <c r="F493" s="17" t="str">
        <f>IF(TRUE,IF(COUNTIFS(资产清单!$A$6:$A$25,A493)&lt;&gt;1,"",IF(INDEX(资产清单!$I$6:$I$25,MATCH(A493,资产清单!$A$6:$A$25,0))="","",INDEX(资产清单!$I$6:$I$25,MATCH(A493,资产清单!$A$6:$A$25,0)))),"不适用")</f>
        <v>宿舍</v>
      </c>
      <c r="G493" s="17" t="str">
        <f>IF(TRUE,IF(COUNTIFS(市场案例库!$A$6:$A$35,C493)&lt;&gt;1,"",IF(INDEX(市场案例库!$O$6:$O$35,MATCH(C493,市场案例库!$A$6:$A$35,0))="","",INDEX(市场案例库!$O$6:$O$35,MATCH(C493,市场案例库!$A$6:$A$35,0)))),"不适用")</f>
        <v>宿舍</v>
      </c>
      <c r="H493" s="19">
        <f>测算参数!$B$6</f>
        <v>100</v>
      </c>
      <c r="I493" s="10">
        <v>100</v>
      </c>
      <c r="J493" s="20">
        <f t="shared" si="69"/>
        <v>1</v>
      </c>
      <c r="K493" s="16" t="s">
        <v>247</v>
      </c>
      <c r="L493" s="16" t="s">
        <v>215</v>
      </c>
      <c r="M493" s="16" t="str">
        <f t="shared" si="63"/>
        <v>模拟评分记录完整</v>
      </c>
      <c r="N493" s="8" t="s">
        <v>177</v>
      </c>
    </row>
    <row r="494" spans="1:14" ht="46.05" customHeight="1">
      <c r="A494" s="16" t="s">
        <v>83</v>
      </c>
      <c r="B494" s="16">
        <v>1</v>
      </c>
      <c r="C494" s="17" t="str">
        <f>三案例选用!B16</f>
        <v>SC-025</v>
      </c>
      <c r="D494" s="16" t="s">
        <v>224</v>
      </c>
      <c r="E494" s="16" t="str">
        <f t="shared" si="68"/>
        <v>适用</v>
      </c>
      <c r="F494" s="17" t="str">
        <f>IF(TRUE,IF(COUNTIFS(资产清单!$A$6:$A$25,A494)&lt;&gt;1,"",IF(INDEX(资产清单!$I$6:$I$25,MATCH(A494,资产清单!$A$6:$A$25,0))="","",INDEX(资产清单!$I$6:$I$25,MATCH(A494,资产清单!$A$6:$A$25,0)))),"不适用")</f>
        <v>宿舍</v>
      </c>
      <c r="G494" s="17" t="str">
        <f>IF(TRUE,IF(COUNTIFS(市场案例库!$A$6:$A$35,C494)&lt;&gt;1,"",IF(INDEX(市场案例库!$O$6:$O$35,MATCH(C494,市场案例库!$A$6:$A$35,0))="","",INDEX(市场案例库!$O$6:$O$35,MATCH(C494,市场案例库!$A$6:$A$35,0)))),"不适用")</f>
        <v>宿舍</v>
      </c>
      <c r="H494" s="19">
        <f>测算参数!$B$6</f>
        <v>100</v>
      </c>
      <c r="I494" s="10">
        <v>100</v>
      </c>
      <c r="J494" s="20">
        <f t="shared" si="69"/>
        <v>1</v>
      </c>
      <c r="K494" s="16" t="s">
        <v>247</v>
      </c>
      <c r="L494" s="16" t="s">
        <v>215</v>
      </c>
      <c r="M494" s="16" t="str">
        <f t="shared" si="63"/>
        <v>模拟评分记录完整</v>
      </c>
      <c r="N494" s="8" t="s">
        <v>177</v>
      </c>
    </row>
    <row r="495" spans="1:14" ht="46.05" customHeight="1">
      <c r="A495" s="16" t="s">
        <v>83</v>
      </c>
      <c r="B495" s="16">
        <v>1</v>
      </c>
      <c r="C495" s="17" t="str">
        <f>三案例选用!B16</f>
        <v>SC-025</v>
      </c>
      <c r="D495" s="16" t="s">
        <v>225</v>
      </c>
      <c r="E495" s="16" t="str">
        <f t="shared" si="68"/>
        <v>适用</v>
      </c>
      <c r="F495" s="17" t="str">
        <f>IF(TRUE,IF(COUNTIFS(资产清单!$A$6:$A$25,A495)&lt;&gt;1,"",IF(INDEX(资产清单!$I$6:$I$25,MATCH(A495,资产清单!$A$6:$A$25,0))="","",INDEX(资产清单!$I$6:$I$25,MATCH(A495,资产清单!$A$6:$A$25,0)))),"不适用")</f>
        <v>宿舍</v>
      </c>
      <c r="G495" s="17" t="str">
        <f>IF(TRUE,IF(COUNTIFS(市场案例库!$A$6:$A$35,C495)&lt;&gt;1,"",IF(INDEX(市场案例库!$O$6:$O$35,MATCH(C495,市场案例库!$A$6:$A$35,0))="","",INDEX(市场案例库!$O$6:$O$35,MATCH(C495,市场案例库!$A$6:$A$35,0)))),"不适用")</f>
        <v>宿舍</v>
      </c>
      <c r="H495" s="19">
        <f>测算参数!$B$6</f>
        <v>100</v>
      </c>
      <c r="I495" s="10">
        <v>100</v>
      </c>
      <c r="J495" s="20">
        <f t="shared" si="69"/>
        <v>1</v>
      </c>
      <c r="K495" s="16" t="s">
        <v>247</v>
      </c>
      <c r="L495" s="16" t="s">
        <v>215</v>
      </c>
      <c r="M495" s="16" t="str">
        <f t="shared" si="63"/>
        <v>模拟评分记录完整</v>
      </c>
      <c r="N495" s="8" t="s">
        <v>177</v>
      </c>
    </row>
    <row r="496" spans="1:14" ht="46.05" customHeight="1">
      <c r="A496" s="16" t="s">
        <v>83</v>
      </c>
      <c r="B496" s="16">
        <v>1</v>
      </c>
      <c r="C496" s="17" t="str">
        <f>三案例选用!B16</f>
        <v>SC-025</v>
      </c>
      <c r="D496" s="16" t="s">
        <v>226</v>
      </c>
      <c r="E496" s="16" t="str">
        <f t="shared" si="68"/>
        <v>适用</v>
      </c>
      <c r="F496" s="17" t="str">
        <f>IF(TRUE,IF(COUNTIFS(资产清单!$A$6:$A$25,A496)&lt;&gt;1,"",IF(INDEX(资产清单!$I$6:$I$25,MATCH(A496,资产清单!$A$6:$A$25,0))="","",INDEX(资产清单!$I$6:$I$25,MATCH(A496,资产清单!$A$6:$A$25,0)))),"不适用")</f>
        <v>宿舍</v>
      </c>
      <c r="G496" s="17" t="str">
        <f>IF(TRUE,IF(COUNTIFS(市场案例库!$A$6:$A$35,C496)&lt;&gt;1,"",IF(INDEX(市场案例库!$O$6:$O$35,MATCH(C496,市场案例库!$A$6:$A$35,0))="","",INDEX(市场案例库!$O$6:$O$35,MATCH(C496,市场案例库!$A$6:$A$35,0)))),"不适用")</f>
        <v>宿舍</v>
      </c>
      <c r="H496" s="19">
        <f>测算参数!$B$6</f>
        <v>100</v>
      </c>
      <c r="I496" s="10">
        <v>100</v>
      </c>
      <c r="J496" s="20">
        <f t="shared" si="69"/>
        <v>1</v>
      </c>
      <c r="K496" s="16" t="s">
        <v>247</v>
      </c>
      <c r="L496" s="16" t="s">
        <v>215</v>
      </c>
      <c r="M496" s="16" t="str">
        <f t="shared" si="63"/>
        <v>模拟评分记录完整</v>
      </c>
      <c r="N496" s="8" t="s">
        <v>177</v>
      </c>
    </row>
    <row r="497" spans="1:14" ht="46.05" customHeight="1">
      <c r="A497" s="16" t="s">
        <v>83</v>
      </c>
      <c r="B497" s="16">
        <v>1</v>
      </c>
      <c r="C497" s="17" t="str">
        <f>三案例选用!B16</f>
        <v>SC-025</v>
      </c>
      <c r="D497" s="16" t="s">
        <v>227</v>
      </c>
      <c r="E497" s="16" t="str">
        <f t="shared" si="68"/>
        <v>适用</v>
      </c>
      <c r="F497" s="17" t="str">
        <f>IF(TRUE,IF(COUNTIFS(资产清单!$A$6:$A$25,A497)&lt;&gt;1,"",IF(INDEX(资产清单!$I$6:$I$25,MATCH(A497,资产清单!$A$6:$A$25,0))="","",INDEX(资产清单!$I$6:$I$25,MATCH(A497,资产清单!$A$6:$A$25,0)))),"不适用")</f>
        <v>宿舍</v>
      </c>
      <c r="G497" s="17" t="str">
        <f>IF(TRUE,IF(COUNTIFS(市场案例库!$A$6:$A$35,C497)&lt;&gt;1,"",IF(INDEX(市场案例库!$O$6:$O$35,MATCH(C497,市场案例库!$A$6:$A$35,0))="","",INDEX(市场案例库!$O$6:$O$35,MATCH(C497,市场案例库!$A$6:$A$35,0)))),"不适用")</f>
        <v>宿舍</v>
      </c>
      <c r="H497" s="19">
        <f>测算参数!$B$6</f>
        <v>100</v>
      </c>
      <c r="I497" s="10">
        <v>100</v>
      </c>
      <c r="J497" s="20">
        <f t="shared" si="69"/>
        <v>1</v>
      </c>
      <c r="K497" s="16" t="s">
        <v>247</v>
      </c>
      <c r="L497" s="16" t="s">
        <v>215</v>
      </c>
      <c r="M497" s="16" t="str">
        <f t="shared" si="63"/>
        <v>模拟评分记录完整</v>
      </c>
      <c r="N497" s="8" t="s">
        <v>177</v>
      </c>
    </row>
    <row r="498" spans="1:14" ht="46.05" customHeight="1">
      <c r="A498" s="16" t="s">
        <v>83</v>
      </c>
      <c r="B498" s="16">
        <v>1</v>
      </c>
      <c r="C498" s="17" t="str">
        <f>三案例选用!B16</f>
        <v>SC-025</v>
      </c>
      <c r="D498" s="16" t="s">
        <v>228</v>
      </c>
      <c r="E498" s="17" t="str">
        <f>IF(AND(IF(COUNTIFS(资产清单!$A$6:$A$25,A498)&lt;&gt;1,"",IF(INDEX(资产清单!$H$6:$H$25,MATCH(A498,资产清单!$A$6:$A$25,0))="","",INDEX(资产清单!$H$6:$H$25,MATCH(A498,资产清单!$A$6:$A$25,0))))&lt;&gt;"场地",IF(COUNTIFS(资产清单!$A$6:$A$25,A498)&lt;&gt;1,"",IF(INDEX(资产清单!$H$6:$H$25,MATCH(A498,资产清单!$A$6:$A$25,0))="","",INDEX(资产清单!$H$6:$H$25,MATCH(A498,资产清单!$A$6:$A$25,0))))&lt;&gt;"车位",IF(COUNTIFS(资产清单!$A$6:$A$25,A498)&lt;&gt;1,"",IF(INDEX(资产清单!$H$6:$H$25,MATCH(A498,资产清单!$A$6:$A$25,0))="","",INDEX(资产清单!$H$6:$H$25,MATCH(A498,资产清单!$A$6:$A$25,0))))&lt;&gt;"通信基站"),"适用","不适用采用100/100")</f>
        <v>适用</v>
      </c>
      <c r="F498" s="17" t="str">
        <f>IF(AND(IF(COUNTIFS(资产清单!$A$6:$A$25,A498)&lt;&gt;1,"",IF(INDEX(资产清单!$H$6:$H$25,MATCH(A498,资产清单!$A$6:$A$25,0))="","",INDEX(资产清单!$H$6:$H$25,MATCH(A498,资产清单!$A$6:$A$25,0))))&lt;&gt;"场地",IF(COUNTIFS(资产清单!$A$6:$A$25,A498)&lt;&gt;1,"",IF(INDEX(资产清单!$H$6:$H$25,MATCH(A498,资产清单!$A$6:$A$25,0))="","",INDEX(资产清单!$H$6:$H$25,MATCH(A498,资产清单!$A$6:$A$25,0))))&lt;&gt;"车位",IF(COUNTIFS(资产清单!$A$6:$A$25,A498)&lt;&gt;1,"",IF(INDEX(资产清单!$H$6:$H$25,MATCH(A498,资产清单!$A$6:$A$25,0))="","",INDEX(资产清单!$H$6:$H$25,MATCH(A498,资产清单!$A$6:$A$25,0))))&lt;&gt;"通信基站"),IF(COUNTIFS(资产清单!$A$6:$A$25,A498)&lt;&gt;1,"",IF(INDEX(资产清单!$I$6:$I$25,MATCH(A498,资产清单!$A$6:$A$25,0))="","",INDEX(资产清单!$I$6:$I$25,MATCH(A498,资产清单!$A$6:$A$25,0)))),"不适用")</f>
        <v>宿舍</v>
      </c>
      <c r="G498" s="17" t="str">
        <f>IF(AND(IF(COUNTIFS(资产清单!$A$6:$A$25,A498)&lt;&gt;1,"",IF(INDEX(资产清单!$H$6:$H$25,MATCH(A498,资产清单!$A$6:$A$25,0))="","",INDEX(资产清单!$H$6:$H$25,MATCH(A498,资产清单!$A$6:$A$25,0))))&lt;&gt;"场地",IF(COUNTIFS(资产清单!$A$6:$A$25,A498)&lt;&gt;1,"",IF(INDEX(资产清单!$H$6:$H$25,MATCH(A498,资产清单!$A$6:$A$25,0))="","",INDEX(资产清单!$H$6:$H$25,MATCH(A498,资产清单!$A$6:$A$25,0))))&lt;&gt;"车位",IF(COUNTIFS(资产清单!$A$6:$A$25,A498)&lt;&gt;1,"",IF(INDEX(资产清单!$H$6:$H$25,MATCH(A498,资产清单!$A$6:$A$25,0))="","",INDEX(资产清单!$H$6:$H$25,MATCH(A498,资产清单!$A$6:$A$25,0))))&lt;&gt;"通信基站"),IF(COUNTIFS(市场案例库!$A$6:$A$35,C498)&lt;&gt;1,"",IF(INDEX(市场案例库!$O$6:$O$35,MATCH(C498,市场案例库!$A$6:$A$35,0))="","",INDEX(市场案例库!$O$6:$O$35,MATCH(C498,市场案例库!$A$6:$A$35,0)))),"不适用")</f>
        <v>宿舍</v>
      </c>
      <c r="H498" s="19">
        <f>测算参数!$B$6</f>
        <v>100</v>
      </c>
      <c r="I498" s="10">
        <v>100</v>
      </c>
      <c r="J498" s="21">
        <f>IF(OR(C498&lt;&gt;N498,COUNT(H498:I498)&lt;&gt;2,H498&lt;=0,I498&lt;=0),"",IF(AND(IF(COUNTIFS(资产清单!$A$6:$A$25,A498)&lt;&gt;1,"",IF(INDEX(资产清单!$H$6:$H$25,MATCH(A498,资产清单!$A$6:$A$25,0))="","",INDEX(资产清单!$H$6:$H$25,MATCH(A498,资产清单!$A$6:$A$25,0))))&lt;&gt;"场地",IF(COUNTIFS(资产清单!$A$6:$A$25,A498)&lt;&gt;1,"",IF(INDEX(资产清单!$H$6:$H$25,MATCH(A498,资产清单!$A$6:$A$25,0))="","",INDEX(资产清单!$H$6:$H$25,MATCH(A498,资产清单!$A$6:$A$25,0))))&lt;&gt;"车位",IF(COUNTIFS(资产清单!$A$6:$A$25,A498)&lt;&gt;1,"",IF(INDEX(资产清单!$H$6:$H$25,MATCH(A498,资产清单!$A$6:$A$25,0))="","",INDEX(资产清单!$H$6:$H$25,MATCH(A498,资产清单!$A$6:$A$25,0))))&lt;&gt;"通信基站"),H498/I498,H498/H498))</f>
        <v>1</v>
      </c>
      <c r="K498" s="16" t="s">
        <v>247</v>
      </c>
      <c r="L498" s="16" t="s">
        <v>215</v>
      </c>
      <c r="M498" s="16" t="str">
        <f t="shared" si="63"/>
        <v>模拟评分记录完整</v>
      </c>
      <c r="N498" s="8" t="s">
        <v>177</v>
      </c>
    </row>
    <row r="499" spans="1:14" ht="46.05" customHeight="1">
      <c r="A499" s="16" t="s">
        <v>83</v>
      </c>
      <c r="B499" s="16">
        <v>1</v>
      </c>
      <c r="C499" s="17" t="str">
        <f>三案例选用!B16</f>
        <v>SC-025</v>
      </c>
      <c r="D499" s="16" t="s">
        <v>229</v>
      </c>
      <c r="E499" s="17" t="str">
        <f>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"适用","不适用采用100/100")</f>
        <v>适用</v>
      </c>
      <c r="F499" s="17">
        <f>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IF(COUNTIFS(资产清单!$A$6:$A$25,A499)&lt;&gt;1,"",IF(COUNT(INDEX(资产清单!$N$6:$N$25,MATCH(A499,资产清单!$A$6:$A$25,0)))&lt;&gt;1,"",INDEX(资产清单!$N$6:$N$25,MATCH(A499,资产清单!$A$6:$A$25,0)))),"不适用")</f>
        <v>2</v>
      </c>
      <c r="G499" s="17">
        <f>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IF(COUNTIFS(市场案例库!$A$6:$A$35,C499)&lt;&gt;1,"",IF(COUNT(INDEX(市场案例库!$I$6:$I$35,MATCH(C499,市场案例库!$A$6:$A$35,0)))&lt;&gt;1,"",INDEX(市场案例库!$I$6:$I$35,MATCH(C499,市场案例库!$A$6:$A$35,0)))),"不适用")</f>
        <v>2</v>
      </c>
      <c r="H499" s="19">
        <f>测算参数!$B$6</f>
        <v>100</v>
      </c>
      <c r="I499" s="19">
        <f>IF(OR(COUNTIFS(市场案例库!$A$6:$A$35,C499)&lt;&gt;1,AND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OR(COUNT(IF(COUNTIFS(资产清单!$A$6:$A$25,A499)&lt;&gt;1,"",IF(COUNT(INDEX(资产清单!$N$6:$N$25,MATCH(A499,资产清单!$A$6:$A$25,0)))&lt;&gt;1,"",INDEX(资产清单!$N$6:$N$25,MATCH(A499,资产清单!$A$6:$A$25,0)))),IF(COUNTIFS(市场案例库!$A$6:$A$35,C499)&lt;&gt;1,"",IF(COUNT(INDEX(市场案例库!$I$6:$I$35,MATCH(C499,市场案例库!$A$6:$A$35,0)))&lt;&gt;1,"",INDEX(市场案例库!$I$6:$I$35,MATCH(C499,市场案例库!$A$6:$A$35,0)))))&lt;&gt;2,IF(COUNTIFS(资产清单!$A$6:$A$25,A499)&lt;&gt;1,"",IF(COUNT(INDEX(资产清单!$N$6:$N$25,MATCH(A499,资产清单!$A$6:$A$25,0)))&lt;&gt;1,"",INDEX(资产清单!$N$6:$N$25,MATCH(A499,资产清单!$A$6:$A$25,0))))&lt;1,IF(COUNTIFS(资产清单!$A$6:$A$25,A499)&lt;&gt;1,"",IF(COUNT(INDEX(资产清单!$N$6:$N$25,MATCH(A499,资产清单!$A$6:$A$25,0)))&lt;&gt;1,"",INDEX(资产清单!$N$6:$N$25,MATCH(A499,资产清单!$A$6:$A$25,0))))&gt;4,IF(COUNTIFS(市场案例库!$A$6:$A$35,C499)&lt;&gt;1,"",IF(COUNT(INDEX(市场案例库!$I$6:$I$35,MATCH(C499,市场案例库!$A$6:$A$35,0)))&lt;&gt;1,"",INDEX(市场案例库!$I$6:$I$35,MATCH(C499,市场案例库!$A$6:$A$35,0))))&lt;1,IF(COUNTIFS(市场案例库!$A$6:$A$35,C499)&lt;&gt;1,"",IF(COUNT(INDEX(市场案例库!$I$6:$I$35,MATCH(C499,市场案例库!$A$6:$A$35,0)))&lt;&gt;1,"",INDEX(市场案例库!$I$6:$I$35,MATCH(C499,市场案例库!$A$6:$A$35,0))))&gt;4))),"",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INDEX(测算参数!$B$35:$B$41,MATCH(IF(COUNTIFS(市场案例库!$A$6:$A$35,C499)&lt;&gt;1,"",IF(COUNT(INDEX(市场案例库!$I$6:$I$35,MATCH(C499,市场案例库!$A$6:$A$35,0)))&lt;&gt;1,"",INDEX(市场案例库!$I$6:$I$35,MATCH(C499,市场案例库!$A$6:$A$35,0))))-IF(COUNTIFS(资产清单!$A$6:$A$25,A499)&lt;&gt;1,"",IF(COUNT(INDEX(资产清单!$N$6:$N$25,MATCH(A499,资产清单!$A$6:$A$25,0)))&lt;&gt;1,"",INDEX(资产清单!$N$6:$N$25,MATCH(A499,资产清单!$A$6:$A$25,0)))),测算参数!$A$35:$A$41,0)),测算参数!$B$6))</f>
        <v>100</v>
      </c>
      <c r="J499" s="21">
        <f>IF(OR(C499&lt;&gt;N499,COUNT(H499:I499)&lt;&gt;2,H499&lt;=0,I499&lt;=0),"",IF(AND(IF(COUNTIFS(资产清单!$A$6:$A$25,A499)&lt;&gt;1,"",IF(INDEX(资产清单!$H$6:$H$25,MATCH(A499,资产清单!$A$6:$A$25,0))="","",INDEX(资产清单!$H$6:$H$25,MATCH(A499,资产清单!$A$6:$A$25,0))))&lt;&gt;"场地",IF(COUNTIFS(资产清单!$A$6:$A$25,A499)&lt;&gt;1,"",IF(INDEX(资产清单!$H$6:$H$25,MATCH(A499,资产清单!$A$6:$A$25,0))="","",INDEX(资产清单!$H$6:$H$25,MATCH(A499,资产清单!$A$6:$A$25,0))))&lt;&gt;"车位",IF(COUNTIFS(资产清单!$A$6:$A$25,A499)&lt;&gt;1,"",IF(INDEX(资产清单!$H$6:$H$25,MATCH(A499,资产清单!$A$6:$A$25,0))="","",INDEX(资产清单!$H$6:$H$25,MATCH(A499,资产清单!$A$6:$A$25,0))))&lt;&gt;"通信基站"),H499/I499,H499/H499))</f>
        <v>1</v>
      </c>
      <c r="K499" s="16" t="s">
        <v>247</v>
      </c>
      <c r="L499" s="16" t="s">
        <v>230</v>
      </c>
      <c r="M499" s="16" t="str">
        <f t="shared" si="63"/>
        <v>模拟评分记录完整</v>
      </c>
      <c r="N499" s="8" t="s">
        <v>177</v>
      </c>
    </row>
    <row r="500" spans="1:14" ht="46.05" customHeight="1">
      <c r="A500" s="16" t="s">
        <v>83</v>
      </c>
      <c r="B500" s="16">
        <v>1</v>
      </c>
      <c r="C500" s="17" t="str">
        <f>三案例选用!B16</f>
        <v>SC-025</v>
      </c>
      <c r="D500" s="16" t="s">
        <v>231</v>
      </c>
      <c r="E500" s="17" t="str">
        <f>IF(AND(IF(COUNTIFS(资产清单!$A$6:$A$25,A500)&lt;&gt;1,"",IF(INDEX(资产清单!$H$6:$H$25,MATCH(A500,资产清单!$A$6:$A$25,0))="","",INDEX(资产清单!$H$6:$H$25,MATCH(A500,资产清单!$A$6:$A$25,0))))&lt;&gt;"场地",IF(COUNTIFS(资产清单!$A$6:$A$25,A500)&lt;&gt;1,"",IF(INDEX(资产清单!$H$6:$H$25,MATCH(A500,资产清单!$A$6:$A$25,0))="","",INDEX(资产清单!$H$6:$H$25,MATCH(A500,资产清单!$A$6:$A$25,0))))&lt;&gt;"车位",IF(COUNTIFS(资产清单!$A$6:$A$25,A500)&lt;&gt;1,"",IF(INDEX(资产清单!$H$6:$H$25,MATCH(A500,资产清单!$A$6:$A$25,0))="","",INDEX(资产清单!$H$6:$H$25,MATCH(A500,资产清单!$A$6:$A$25,0))))&lt;&gt;"通信基站"),"适用","不适用采用100/100")</f>
        <v>适用</v>
      </c>
      <c r="F500" s="17" t="str">
        <f>IF(AND(IF(COUNTIFS(资产清单!$A$6:$A$25,A500)&lt;&gt;1,"",IF(INDEX(资产清单!$H$6:$H$25,MATCH(A500,资产清单!$A$6:$A$25,0))="","",INDEX(资产清单!$H$6:$H$25,MATCH(A500,资产清单!$A$6:$A$25,0))))&lt;&gt;"场地",IF(COUNTIFS(资产清单!$A$6:$A$25,A500)&lt;&gt;1,"",IF(INDEX(资产清单!$H$6:$H$25,MATCH(A500,资产清单!$A$6:$A$25,0))="","",INDEX(资产清单!$H$6:$H$25,MATCH(A500,资产清单!$A$6:$A$25,0))))&lt;&gt;"车位",IF(COUNTIFS(资产清单!$A$6:$A$25,A500)&lt;&gt;1,"",IF(INDEX(资产清单!$H$6:$H$25,MATCH(A500,资产清单!$A$6:$A$25,0))="","",INDEX(资产清单!$H$6:$H$25,MATCH(A500,资产清单!$A$6:$A$25,0))))&lt;&gt;"通信基站"),IF(COUNTIFS(资产清单!$A$6:$A$25,A500)&lt;&gt;1,"",IF(INDEX(资产清单!$I$6:$I$25,MATCH(A500,资产清单!$A$6:$A$25,0))="","",INDEX(资产清单!$I$6:$I$25,MATCH(A500,资产清单!$A$6:$A$25,0)))),"不适用")</f>
        <v>宿舍</v>
      </c>
      <c r="G500" s="17" t="str">
        <f>IF(AND(IF(COUNTIFS(资产清单!$A$6:$A$25,A500)&lt;&gt;1,"",IF(INDEX(资产清单!$H$6:$H$25,MATCH(A500,资产清单!$A$6:$A$25,0))="","",INDEX(资产清单!$H$6:$H$25,MATCH(A500,资产清单!$A$6:$A$25,0))))&lt;&gt;"场地",IF(COUNTIFS(资产清单!$A$6:$A$25,A500)&lt;&gt;1,"",IF(INDEX(资产清单!$H$6:$H$25,MATCH(A500,资产清单!$A$6:$A$25,0))="","",INDEX(资产清单!$H$6:$H$25,MATCH(A500,资产清单!$A$6:$A$25,0))))&lt;&gt;"车位",IF(COUNTIFS(资产清单!$A$6:$A$25,A500)&lt;&gt;1,"",IF(INDEX(资产清单!$H$6:$H$25,MATCH(A500,资产清单!$A$6:$A$25,0))="","",INDEX(资产清单!$H$6:$H$25,MATCH(A500,资产清单!$A$6:$A$25,0))))&lt;&gt;"通信基站"),IF(COUNTIFS(市场案例库!$A$6:$A$35,C500)&lt;&gt;1,"",IF(INDEX(市场案例库!$O$6:$O$35,MATCH(C500,市场案例库!$A$6:$A$35,0))="","",INDEX(市场案例库!$O$6:$O$35,MATCH(C500,市场案例库!$A$6:$A$35,0)))),"不适用")</f>
        <v>宿舍</v>
      </c>
      <c r="H500" s="19">
        <f>测算参数!$B$6</f>
        <v>100</v>
      </c>
      <c r="I500" s="10">
        <v>100</v>
      </c>
      <c r="J500" s="21">
        <f>IF(OR(C500&lt;&gt;N500,COUNT(H500:I500)&lt;&gt;2,H500&lt;=0,I500&lt;=0),"",IF(AND(IF(COUNTIFS(资产清单!$A$6:$A$25,A500)&lt;&gt;1,"",IF(INDEX(资产清单!$H$6:$H$25,MATCH(A500,资产清单!$A$6:$A$25,0))="","",INDEX(资产清单!$H$6:$H$25,MATCH(A500,资产清单!$A$6:$A$25,0))))&lt;&gt;"场地",IF(COUNTIFS(资产清单!$A$6:$A$25,A500)&lt;&gt;1,"",IF(INDEX(资产清单!$H$6:$H$25,MATCH(A500,资产清单!$A$6:$A$25,0))="","",INDEX(资产清单!$H$6:$H$25,MATCH(A500,资产清单!$A$6:$A$25,0))))&lt;&gt;"车位",IF(COUNTIFS(资产清单!$A$6:$A$25,A500)&lt;&gt;1,"",IF(INDEX(资产清单!$H$6:$H$25,MATCH(A500,资产清单!$A$6:$A$25,0))="","",INDEX(资产清单!$H$6:$H$25,MATCH(A500,资产清单!$A$6:$A$25,0))))&lt;&gt;"通信基站"),H500/I500,H500/H500))</f>
        <v>1</v>
      </c>
      <c r="K500" s="16" t="s">
        <v>247</v>
      </c>
      <c r="L500" s="16" t="s">
        <v>215</v>
      </c>
      <c r="M500" s="16" t="str">
        <f t="shared" si="63"/>
        <v>模拟评分记录完整</v>
      </c>
      <c r="N500" s="8" t="s">
        <v>177</v>
      </c>
    </row>
    <row r="501" spans="1:14" ht="46.05" customHeight="1">
      <c r="A501" s="16" t="s">
        <v>83</v>
      </c>
      <c r="B501" s="16">
        <v>1</v>
      </c>
      <c r="C501" s="17" t="str">
        <f>三案例选用!B16</f>
        <v>SC-025</v>
      </c>
      <c r="D501" s="16" t="s">
        <v>232</v>
      </c>
      <c r="E501" s="16" t="str">
        <f>IF(TRUE,"适用","不适用采用100/100")</f>
        <v>适用</v>
      </c>
      <c r="F501" s="17" t="str">
        <f>IF(TRUE,IF(COUNTIFS(资产清单!$A$6:$A$25,A501)&lt;&gt;1,"",IF(INDEX(资产清单!$I$6:$I$25,MATCH(A501,资产清单!$A$6:$A$25,0))="","",INDEX(资产清单!$I$6:$I$25,MATCH(A501,资产清单!$A$6:$A$25,0)))),"不适用")</f>
        <v>宿舍</v>
      </c>
      <c r="G501" s="17" t="str">
        <f>IF(TRUE,IF(COUNTIFS(市场案例库!$A$6:$A$35,C501)&lt;&gt;1,"",IF(INDEX(市场案例库!$O$6:$O$35,MATCH(C501,市场案例库!$A$6:$A$35,0))="","",INDEX(市场案例库!$O$6:$O$35,MATCH(C501,市场案例库!$A$6:$A$35,0)))),"不适用")</f>
        <v>宿舍</v>
      </c>
      <c r="H501" s="19">
        <f>测算参数!$B$6</f>
        <v>100</v>
      </c>
      <c r="I501" s="10">
        <v>100</v>
      </c>
      <c r="J501" s="20">
        <f>IF(OR(C501&lt;&gt;N501,COUNT(H501:I501)&lt;&gt;2,H501&lt;=0,I501&lt;=0),"",IF(TRUE,H501/I501,H501/H501))</f>
        <v>1</v>
      </c>
      <c r="K501" s="16" t="s">
        <v>247</v>
      </c>
      <c r="L501" s="16" t="s">
        <v>215</v>
      </c>
      <c r="M501" s="16" t="str">
        <f t="shared" si="63"/>
        <v>模拟评分记录完整</v>
      </c>
      <c r="N501" s="8" t="s">
        <v>177</v>
      </c>
    </row>
    <row r="502" spans="1:14" ht="46.05" customHeight="1">
      <c r="A502" s="16" t="s">
        <v>83</v>
      </c>
      <c r="B502" s="16">
        <v>2</v>
      </c>
      <c r="C502" s="17" t="str">
        <f>三案例选用!C16</f>
        <v>SC-026</v>
      </c>
      <c r="D502" s="16" t="s">
        <v>209</v>
      </c>
      <c r="E502" s="16" t="str">
        <f>IF(TRUE,"适用","不适用采用100/100")</f>
        <v>适用</v>
      </c>
      <c r="F502" s="17" t="str">
        <f>IF(TRUE,IF(COUNTIFS(资产清单!$A$6:$A$25,A502)&lt;&gt;1,"",IF(INDEX(资产清单!$I$6:$I$25,MATCH(A502,资产清单!$A$6:$A$25,0))="","",INDEX(资产清单!$I$6:$I$25,MATCH(A502,资产清单!$A$6:$A$25,0)))),"不适用")</f>
        <v>宿舍</v>
      </c>
      <c r="G502" s="17" t="str">
        <f>IF(TRUE,IF(COUNTIFS(市场案例库!$A$6:$A$35,C502)&lt;&gt;1,"",IF(INDEX(市场案例库!$O$6:$O$35,MATCH(C502,市场案例库!$A$6:$A$35,0))="","",INDEX(市场案例库!$O$6:$O$35,MATCH(C502,市场案例库!$A$6:$A$35,0)))),"不适用")</f>
        <v>宿舍</v>
      </c>
      <c r="H502" s="19">
        <f>测算参数!$B$6</f>
        <v>100</v>
      </c>
      <c r="I502" s="19">
        <f>IF(OR(COUNTIFS(市场案例库!$A$6:$A$35,C502)&lt;&gt;1),"",IF(COUNTIFS(市场案例库!$A$6:$A$35,C502)&lt;&gt;1,"",IF(COUNT(INDEX(市场案例库!$M$6:$M$35,MATCH(C502,市场案例库!$A$6:$A$35,0)))&lt;&gt;1,"",INDEX(市场案例库!$M$6:$M$35,MATCH(C502,市场案例库!$A$6:$A$35,0)))))</f>
        <v>102</v>
      </c>
      <c r="J502" s="20">
        <f>IF(OR(C502&lt;&gt;N502,COUNT(H502:I502)&lt;&gt;2,H502&lt;=0,I502&lt;=0),"",IF(TRUE,H502/I502,H502/H502))</f>
        <v>0.98039215686274506</v>
      </c>
      <c r="K502" s="16" t="s">
        <v>247</v>
      </c>
      <c r="L502" s="16" t="s">
        <v>211</v>
      </c>
      <c r="M502" s="16" t="str">
        <f t="shared" si="63"/>
        <v>模拟评分记录完整</v>
      </c>
      <c r="N502" s="8" t="s">
        <v>178</v>
      </c>
    </row>
    <row r="503" spans="1:14" ht="46.05" customHeight="1">
      <c r="A503" s="16" t="s">
        <v>83</v>
      </c>
      <c r="B503" s="16">
        <v>2</v>
      </c>
      <c r="C503" s="17" t="str">
        <f>三案例选用!C16</f>
        <v>SC-026</v>
      </c>
      <c r="D503" s="16" t="s">
        <v>212</v>
      </c>
      <c r="E503" s="16" t="str">
        <f>IF(TRUE,"适用","不适用采用100/100")</f>
        <v>适用</v>
      </c>
      <c r="F503" s="17" t="str">
        <f>IF(TRUE,IF(COUNTIFS(资产清单!$A$6:$A$25,A503)&lt;&gt;1,"",IF(INDEX(资产清单!$I$6:$I$25,MATCH(A503,资产清单!$A$6:$A$25,0))="","",INDEX(资产清单!$I$6:$I$25,MATCH(A503,资产清单!$A$6:$A$25,0)))),"不适用")</f>
        <v>宿舍</v>
      </c>
      <c r="G503" s="17" t="str">
        <f>IF(TRUE,IF(COUNTIFS(市场案例库!$A$6:$A$35,C503)&lt;&gt;1,"",IF(INDEX(市场案例库!$O$6:$O$35,MATCH(C503,市场案例库!$A$6:$A$35,0))="","",INDEX(市场案例库!$O$6:$O$35,MATCH(C503,市场案例库!$A$6:$A$35,0)))),"不适用")</f>
        <v>宿舍</v>
      </c>
      <c r="H503" s="19">
        <f>测算参数!$B$6</f>
        <v>100</v>
      </c>
      <c r="I503" s="19">
        <f>IF(OR(COUNTIFS(市场案例库!$A$6:$A$35,C503)&lt;&gt;1),"",IF(COUNTIFS(市场案例库!$A$6:$A$35,C503)&lt;&gt;1,"",IF(COUNT(INDEX(市场案例库!$N$6:$N$35,MATCH(C503,市场案例库!$A$6:$A$35,0)))&lt;&gt;1,"",INDEX(市场案例库!$N$6:$N$35,MATCH(C503,市场案例库!$A$6:$A$35,0)))))</f>
        <v>100</v>
      </c>
      <c r="J503" s="20">
        <f>IF(OR(C503&lt;&gt;N503,COUNT(H503:I503)&lt;&gt;2,H503&lt;=0,I503&lt;=0),"",IF(TRUE,H503/I503,H503/H503))</f>
        <v>1</v>
      </c>
      <c r="K503" s="16" t="s">
        <v>247</v>
      </c>
      <c r="L503" s="16" t="s">
        <v>213</v>
      </c>
      <c r="M503" s="16" t="str">
        <f t="shared" si="63"/>
        <v>模拟评分记录完整</v>
      </c>
      <c r="N503" s="8" t="s">
        <v>178</v>
      </c>
    </row>
    <row r="504" spans="1:14" ht="46.05" customHeight="1">
      <c r="A504" s="16" t="s">
        <v>83</v>
      </c>
      <c r="B504" s="16">
        <v>2</v>
      </c>
      <c r="C504" s="17" t="str">
        <f>三案例选用!C16</f>
        <v>SC-026</v>
      </c>
      <c r="D504" s="16" t="s">
        <v>214</v>
      </c>
      <c r="E504" s="16" t="str">
        <f>IF(TRUE,"适用","不适用采用100/100")</f>
        <v>适用</v>
      </c>
      <c r="F504" s="17" t="str">
        <f>IF(TRUE,IF(COUNTIFS(资产清单!$A$6:$A$25,A504)&lt;&gt;1,"",IF(INDEX(资产清单!$I$6:$I$25,MATCH(A504,资产清单!$A$6:$A$25,0))="","",INDEX(资产清单!$I$6:$I$25,MATCH(A504,资产清单!$A$6:$A$25,0)))),"不适用")</f>
        <v>宿舍</v>
      </c>
      <c r="G504" s="17" t="str">
        <f>IF(TRUE,IF(COUNTIFS(市场案例库!$A$6:$A$35,C504)&lt;&gt;1,"",IF(INDEX(市场案例库!$O$6:$O$35,MATCH(C504,市场案例库!$A$6:$A$35,0))="","",INDEX(市场案例库!$O$6:$O$35,MATCH(C504,市场案例库!$A$6:$A$35,0)))),"不适用")</f>
        <v>宿舍</v>
      </c>
      <c r="H504" s="19">
        <f>测算参数!$B$6</f>
        <v>100</v>
      </c>
      <c r="I504" s="10">
        <v>100</v>
      </c>
      <c r="J504" s="20">
        <f>IF(OR(C504&lt;&gt;N504,COUNT(H504:I504)&lt;&gt;2,H504&lt;=0,I504&lt;=0),"",IF(TRUE,H504/I504,H504/H504))</f>
        <v>1</v>
      </c>
      <c r="K504" s="16" t="s">
        <v>247</v>
      </c>
      <c r="L504" s="16" t="s">
        <v>215</v>
      </c>
      <c r="M504" s="16" t="str">
        <f t="shared" si="63"/>
        <v>模拟评分记录完整</v>
      </c>
      <c r="N504" s="8" t="s">
        <v>178</v>
      </c>
    </row>
    <row r="505" spans="1:14" ht="46.05" customHeight="1">
      <c r="A505" s="16" t="s">
        <v>83</v>
      </c>
      <c r="B505" s="16">
        <v>2</v>
      </c>
      <c r="C505" s="17" t="str">
        <f>三案例选用!C16</f>
        <v>SC-026</v>
      </c>
      <c r="D505" s="16" t="s">
        <v>216</v>
      </c>
      <c r="E505" s="16" t="str">
        <f>IF(TRUE,"适用","不适用采用100/100")</f>
        <v>适用</v>
      </c>
      <c r="F505" s="17" t="str">
        <f>IF(TRUE,IF(COUNTIFS(资产清单!$A$6:$A$25,A505)&lt;&gt;1,"",IF(INDEX(资产清单!$I$6:$I$25,MATCH(A505,资产清单!$A$6:$A$25,0))="","",INDEX(资产清单!$I$6:$I$25,MATCH(A505,资产清单!$A$6:$A$25,0)))),"不适用")</f>
        <v>宿舍</v>
      </c>
      <c r="G505" s="17" t="str">
        <f>IF(TRUE,IF(COUNTIFS(市场案例库!$A$6:$A$35,C505)&lt;&gt;1,"",IF(INDEX(市场案例库!$O$6:$O$35,MATCH(C505,市场案例库!$A$6:$A$35,0))="","",INDEX(市场案例库!$O$6:$O$35,MATCH(C505,市场案例库!$A$6:$A$35,0)))),"不适用")</f>
        <v>宿舍</v>
      </c>
      <c r="H505" s="19">
        <f>测算参数!$B$6</f>
        <v>100</v>
      </c>
      <c r="I505" s="10">
        <v>100</v>
      </c>
      <c r="J505" s="20">
        <f>IF(OR(C505&lt;&gt;N505,COUNT(H505:I505)&lt;&gt;2,H505&lt;=0,I505&lt;=0),"",IF(TRUE,H505/I505,H505/H505))</f>
        <v>1</v>
      </c>
      <c r="K505" s="16" t="s">
        <v>247</v>
      </c>
      <c r="L505" s="16" t="s">
        <v>215</v>
      </c>
      <c r="M505" s="16" t="str">
        <f t="shared" si="63"/>
        <v>模拟评分记录完整</v>
      </c>
      <c r="N505" s="8" t="s">
        <v>178</v>
      </c>
    </row>
    <row r="506" spans="1:14" ht="46.05" customHeight="1">
      <c r="A506" s="16" t="s">
        <v>83</v>
      </c>
      <c r="B506" s="16">
        <v>2</v>
      </c>
      <c r="C506" s="17" t="str">
        <f>三案例选用!C16</f>
        <v>SC-026</v>
      </c>
      <c r="D506" s="16" t="s">
        <v>217</v>
      </c>
      <c r="E506" s="17" t="str">
        <f>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"适用","不适用采用100/100")</f>
        <v>适用</v>
      </c>
      <c r="F506" s="17">
        <f>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IF(COUNTIFS(资产清单!$A$6:$A$25,A506)&lt;&gt;1,"",IF(COUNT(INDEX(资产清单!$M$6:$M$25,MATCH(A506,资产清单!$A$6:$A$25,0)))&lt;&gt;1,"",INDEX(资产清单!$M$6:$M$25,MATCH(A506,资产清单!$A$6:$A$25,0)))),"不适用")</f>
        <v>2</v>
      </c>
      <c r="G506" s="17">
        <f>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IF(COUNTIFS(市场案例库!$A$6:$A$35,C506)&lt;&gt;1,"",IF(COUNT(INDEX(市场案例库!$H$6:$H$35,MATCH(C506,市场案例库!$A$6:$A$35,0)))&lt;&gt;1,"",INDEX(市场案例库!$H$6:$H$35,MATCH(C506,市场案例库!$A$6:$A$35,0)))),"不适用")</f>
        <v>3</v>
      </c>
      <c r="H506" s="19">
        <f>测算参数!$B$6</f>
        <v>100</v>
      </c>
      <c r="I506" s="19">
        <f>IF(OR(COUNTIFS(市场案例库!$A$6:$A$35,C506)&lt;&gt;1,AND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COUNT(IF(COUNTIFS(资产清单!$A$6:$A$25,A506)&lt;&gt;1,"",IF(COUNT(INDEX(资产清单!$M$6:$M$25,MATCH(A506,资产清单!$A$6:$A$25,0)))&lt;&gt;1,"",INDEX(资产清单!$M$6:$M$25,MATCH(A506,资产清单!$A$6:$A$25,0)))),IF(COUNTIFS(市场案例库!$A$6:$A$35,C506)&lt;&gt;1,"",IF(COUNT(INDEX(市场案例库!$H$6:$H$35,MATCH(C506,市场案例库!$A$6:$A$35,0)))&lt;&gt;1,"",INDEX(市场案例库!$H$6:$H$35,MATCH(C506,市场案例库!$A$6:$A$35,0)))))&lt;&gt;2)),"",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INDEX(测算参数!$B$25:$B$31,MATCH(MAX(-测算参数!$B$11,MIN(测算参数!$B$11,IF(COUNTIFS(资产清单!$A$6:$A$25,A506)&lt;&gt;1,"",IF(COUNT(INDEX(资产清单!$M$6:$M$25,MATCH(A506,资产清单!$A$6:$A$25,0)))&lt;&gt;1,"",INDEX(资产清单!$M$6:$M$25,MATCH(A506,资产清单!$A$6:$A$25,0))))-IF(COUNTIFS(市场案例库!$A$6:$A$35,C506)&lt;&gt;1,"",IF(COUNT(INDEX(市场案例库!$H$6:$H$35,MATCH(C506,市场案例库!$A$6:$A$35,0)))&lt;&gt;1,"",INDEX(市场案例库!$H$6:$H$35,MATCH(C506,市场案例库!$A$6:$A$35,0)))))),测算参数!$A$25:$A$31,0)),测算参数!$B$6))</f>
        <v>99</v>
      </c>
      <c r="J506" s="21">
        <f>IF(OR(C506&lt;&gt;N506,COUNT(H506:I506)&lt;&gt;2,H506&lt;=0,I506&lt;=0),"",IF(OR(IF(COUNTIFS(资产清单!$A$6:$A$25,A506)&lt;&gt;1,"",IF(INDEX(资产清单!$H$6:$H$25,MATCH(A506,资产清单!$A$6:$A$25,0))="","",INDEX(资产清单!$H$6:$H$25,MATCH(A506,资产清单!$A$6:$A$25,0))))="商业",IF(COUNTIFS(资产清单!$A$6:$A$25,A506)&lt;&gt;1,"",IF(INDEX(资产清单!$H$6:$H$25,MATCH(A506,资产清单!$A$6:$A$25,0))="","",INDEX(资产清单!$H$6:$H$25,MATCH(A506,资产清单!$A$6:$A$25,0))))="办公",IF(COUNTIFS(资产清单!$A$6:$A$25,A506)&lt;&gt;1,"",IF(INDEX(资产清单!$H$6:$H$25,MATCH(A506,资产清单!$A$6:$A$25,0))="","",INDEX(资产清单!$H$6:$H$25,MATCH(A506,资产清单!$A$6:$A$25,0))))="住宅"),H506/I506,H506/H506))</f>
        <v>1.0101010101010102</v>
      </c>
      <c r="K506" s="16" t="s">
        <v>247</v>
      </c>
      <c r="L506" s="16" t="s">
        <v>218</v>
      </c>
      <c r="M506" s="16" t="str">
        <f t="shared" si="63"/>
        <v>模拟评分记录完整</v>
      </c>
      <c r="N506" s="8" t="s">
        <v>178</v>
      </c>
    </row>
    <row r="507" spans="1:14" ht="46.05" customHeight="1">
      <c r="A507" s="16" t="s">
        <v>83</v>
      </c>
      <c r="B507" s="16">
        <v>2</v>
      </c>
      <c r="C507" s="17" t="str">
        <f>三案例选用!C16</f>
        <v>SC-026</v>
      </c>
      <c r="D507" s="16" t="s">
        <v>219</v>
      </c>
      <c r="E507" s="17" t="str">
        <f>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"适用","不适用采用100/100")</f>
        <v>不适用采用100/100</v>
      </c>
      <c r="F507" s="17" t="str">
        <f>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IF(COUNTIFS(资产清单!$A$6:$A$25,A507)&lt;&gt;1,"",IF(COUNT(INDEX(资产清单!$L$6:$L$25,MATCH(A507,资产清单!$A$6:$A$25,0)))&lt;&gt;1,"",INDEX(资产清单!$L$6:$L$25,MATCH(A507,资产清单!$A$6:$A$25,0)))),"不适用")</f>
        <v>不适用</v>
      </c>
      <c r="G507" s="17" t="str">
        <f>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IF(COUNTIFS(市场案例库!$A$6:$A$35,C507)&lt;&gt;1,"",IF(COUNT(INDEX(市场案例库!$G$6:$G$35,MATCH(C507,市场案例库!$A$6:$A$35,0)))&lt;&gt;1,"",INDEX(市场案例库!$G$6:$G$35,MATCH(C507,市场案例库!$A$6:$A$35,0)))),"不适用")</f>
        <v>不适用</v>
      </c>
      <c r="H507" s="19">
        <f>测算参数!$B$6</f>
        <v>100</v>
      </c>
      <c r="I507" s="19">
        <f>IF(OR(COUNTIFS(市场案例库!$A$6:$A$35,C507)&lt;&gt;1,AND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OR(COUNT(IF(COUNTIFS(资产清单!$A$6:$A$25,A507)&lt;&gt;1,"",IF(COUNT(INDEX(资产清单!$L$6:$L$25,MATCH(A507,资产清单!$A$6:$A$25,0)))&lt;&gt;1,"",INDEX(资产清单!$L$6:$L$25,MATCH(A507,资产清单!$A$6:$A$25,0)))),IF(COUNTIFS(市场案例库!$A$6:$A$35,C507)&lt;&gt;1,"",IF(COUNT(INDEX(市场案例库!$G$6:$G$35,MATCH(C507,市场案例库!$A$6:$A$35,0)))&lt;&gt;1,"",INDEX(市场案例库!$G$6:$G$35,MATCH(C507,市场案例库!$A$6:$A$35,0)))))&lt;&gt;2,IF(COUNTIFS(资产清单!$A$6:$A$25,A507)&lt;&gt;1,"",IF(COUNT(INDEX(资产清单!$L$6:$L$25,MATCH(A507,资产清单!$A$6:$A$25,0)))&lt;&gt;1,"",INDEX(资产清单!$L$6:$L$25,MATCH(A507,资产清单!$A$6:$A$25,0))))&lt;=0,IF(COUNTIFS(市场案例库!$A$6:$A$35,C507)&lt;&gt;1,"",IF(COUNT(INDEX(市场案例库!$G$6:$G$35,MATCH(C507,市场案例库!$A$6:$A$35,0)))&lt;&gt;1,"",INDEX(市场案例库!$G$6:$G$35,MATCH(C507,市场案例库!$A$6:$A$35,0))))&lt;=0))),"",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LOOKUP(IF(COUNTIFS(市场案例库!$A$6:$A$35,C507)&lt;&gt;1,"",IF(COUNT(INDEX(市场案例库!$G$6:$G$35,MATCH(C507,市场案例库!$A$6:$A$35,0)))&lt;&gt;1,"",INDEX(市场案例库!$G$6:$G$35,MATCH(C507,市场案例库!$A$6:$A$35,0))))/IF(COUNTIFS(资产清单!$A$6:$A$25,A507)&lt;&gt;1,"",IF(COUNT(INDEX(资产清单!$L$6:$L$25,MATCH(A507,资产清单!$A$6:$A$25,0)))&lt;&gt;1,"",INDEX(资产清单!$L$6:$L$25,MATCH(A507,资产清单!$A$6:$A$25,0)))),测算参数!$A$15:$A$21,测算参数!$C$15:$C$21),测算参数!$B$6))</f>
        <v>100</v>
      </c>
      <c r="J507" s="21">
        <f>IF(OR(C507&lt;&gt;N507,COUNT(H507:I507)&lt;&gt;2,H507&lt;=0,I507&lt;=0),"",IF(AND(IF(COUNTIFS(资产清单!$A$6:$A$25,A507)&lt;&gt;1,"",IF(INDEX(资产清单!$J$6:$J$25,MATCH(A507,资产清单!$A$6:$A$25,0))="","",INDEX(资产清单!$J$6:$J$25,MATCH(A507,资产清单!$A$6:$A$25,0))))="元/㎡/月",IF(COUNTIFS(资产清单!$A$6:$A$25,A507)&lt;&gt;1,"",IF(INDEX(资产清单!$H$6:$H$25,MATCH(A507,资产清单!$A$6:$A$25,0))="","",INDEX(资产清单!$H$6:$H$25,MATCH(A507,资产清单!$A$6:$A$25,0))))&lt;&gt;"场地"),H507/I507,H507/H507))</f>
        <v>1</v>
      </c>
      <c r="K507" s="16" t="s">
        <v>247</v>
      </c>
      <c r="L507" s="16" t="s">
        <v>220</v>
      </c>
      <c r="M507" s="16" t="str">
        <f t="shared" si="63"/>
        <v>模拟评分记录完整</v>
      </c>
      <c r="N507" s="8" t="s">
        <v>178</v>
      </c>
    </row>
    <row r="508" spans="1:14" ht="46.05" customHeight="1">
      <c r="A508" s="16" t="s">
        <v>83</v>
      </c>
      <c r="B508" s="16">
        <v>2</v>
      </c>
      <c r="C508" s="17" t="str">
        <f>三案例选用!C16</f>
        <v>SC-026</v>
      </c>
      <c r="D508" s="16" t="s">
        <v>221</v>
      </c>
      <c r="E508" s="16" t="str">
        <f t="shared" ref="E508:E513" si="70">IF(TRUE,"适用","不适用采用100/100")</f>
        <v>适用</v>
      </c>
      <c r="F508" s="17" t="str">
        <f>IF(TRUE,IF(COUNTIFS(资产清单!$A$6:$A$25,A508)&lt;&gt;1,"",IF(INDEX(资产清单!$I$6:$I$25,MATCH(A508,资产清单!$A$6:$A$25,0))="","",INDEX(资产清单!$I$6:$I$25,MATCH(A508,资产清单!$A$6:$A$25,0)))),"不适用")</f>
        <v>宿舍</v>
      </c>
      <c r="G508" s="17" t="str">
        <f>IF(TRUE,IF(COUNTIFS(市场案例库!$A$6:$A$35,C508)&lt;&gt;1,"",IF(INDEX(市场案例库!$O$6:$O$35,MATCH(C508,市场案例库!$A$6:$A$35,0))="","",INDEX(市场案例库!$O$6:$O$35,MATCH(C508,市场案例库!$A$6:$A$35,0)))),"不适用")</f>
        <v>宿舍</v>
      </c>
      <c r="H508" s="19">
        <f>测算参数!$B$6</f>
        <v>100</v>
      </c>
      <c r="I508" s="10">
        <v>100</v>
      </c>
      <c r="J508" s="20">
        <f t="shared" ref="J508:J513" si="71">IF(OR(C508&lt;&gt;N508,COUNT(H508:I508)&lt;&gt;2,H508&lt;=0,I508&lt;=0),"",IF(TRUE,H508/I508,H508/H508))</f>
        <v>1</v>
      </c>
      <c r="K508" s="16" t="s">
        <v>247</v>
      </c>
      <c r="L508" s="16" t="s">
        <v>215</v>
      </c>
      <c r="M508" s="16" t="str">
        <f t="shared" si="63"/>
        <v>模拟评分记录完整</v>
      </c>
      <c r="N508" s="8" t="s">
        <v>178</v>
      </c>
    </row>
    <row r="509" spans="1:14" ht="46.05" customHeight="1">
      <c r="A509" s="16" t="s">
        <v>83</v>
      </c>
      <c r="B509" s="16">
        <v>2</v>
      </c>
      <c r="C509" s="17" t="str">
        <f>三案例选用!C16</f>
        <v>SC-026</v>
      </c>
      <c r="D509" s="16" t="s">
        <v>222</v>
      </c>
      <c r="E509" s="16" t="str">
        <f t="shared" si="70"/>
        <v>适用</v>
      </c>
      <c r="F509" s="17" t="str">
        <f>IF(TRUE,IF(COUNTIFS(资产清单!$A$6:$A$25,A509)&lt;&gt;1,"",IF(INDEX(资产清单!$I$6:$I$25,MATCH(A509,资产清单!$A$6:$A$25,0))="","",INDEX(资产清单!$I$6:$I$25,MATCH(A509,资产清单!$A$6:$A$25,0)))),"不适用")</f>
        <v>宿舍</v>
      </c>
      <c r="G509" s="17" t="str">
        <f>IF(TRUE,IF(COUNTIFS(市场案例库!$A$6:$A$35,C509)&lt;&gt;1,"",IF(INDEX(市场案例库!$O$6:$O$35,MATCH(C509,市场案例库!$A$6:$A$35,0))="","",INDEX(市场案例库!$O$6:$O$35,MATCH(C509,市场案例库!$A$6:$A$35,0)))),"不适用")</f>
        <v>宿舍</v>
      </c>
      <c r="H509" s="19">
        <f>测算参数!$B$6</f>
        <v>100</v>
      </c>
      <c r="I509" s="10">
        <v>100</v>
      </c>
      <c r="J509" s="20">
        <f t="shared" si="71"/>
        <v>1</v>
      </c>
      <c r="K509" s="16" t="s">
        <v>247</v>
      </c>
      <c r="L509" s="16" t="s">
        <v>215</v>
      </c>
      <c r="M509" s="16" t="str">
        <f t="shared" si="63"/>
        <v>模拟评分记录完整</v>
      </c>
      <c r="N509" s="8" t="s">
        <v>178</v>
      </c>
    </row>
    <row r="510" spans="1:14" ht="46.05" customHeight="1">
      <c r="A510" s="16" t="s">
        <v>83</v>
      </c>
      <c r="B510" s="16">
        <v>2</v>
      </c>
      <c r="C510" s="17" t="str">
        <f>三案例选用!C16</f>
        <v>SC-026</v>
      </c>
      <c r="D510" s="16" t="s">
        <v>224</v>
      </c>
      <c r="E510" s="16" t="str">
        <f t="shared" si="70"/>
        <v>适用</v>
      </c>
      <c r="F510" s="17" t="str">
        <f>IF(TRUE,IF(COUNTIFS(资产清单!$A$6:$A$25,A510)&lt;&gt;1,"",IF(INDEX(资产清单!$I$6:$I$25,MATCH(A510,资产清单!$A$6:$A$25,0))="","",INDEX(资产清单!$I$6:$I$25,MATCH(A510,资产清单!$A$6:$A$25,0)))),"不适用")</f>
        <v>宿舍</v>
      </c>
      <c r="G510" s="17" t="str">
        <f>IF(TRUE,IF(COUNTIFS(市场案例库!$A$6:$A$35,C510)&lt;&gt;1,"",IF(INDEX(市场案例库!$O$6:$O$35,MATCH(C510,市场案例库!$A$6:$A$35,0))="","",INDEX(市场案例库!$O$6:$O$35,MATCH(C510,市场案例库!$A$6:$A$35,0)))),"不适用")</f>
        <v>宿舍</v>
      </c>
      <c r="H510" s="19">
        <f>测算参数!$B$6</f>
        <v>100</v>
      </c>
      <c r="I510" s="10">
        <v>100</v>
      </c>
      <c r="J510" s="20">
        <f t="shared" si="71"/>
        <v>1</v>
      </c>
      <c r="K510" s="16" t="s">
        <v>247</v>
      </c>
      <c r="L510" s="16" t="s">
        <v>215</v>
      </c>
      <c r="M510" s="16" t="str">
        <f t="shared" si="63"/>
        <v>模拟评分记录完整</v>
      </c>
      <c r="N510" s="8" t="s">
        <v>178</v>
      </c>
    </row>
    <row r="511" spans="1:14" ht="46.05" customHeight="1">
      <c r="A511" s="16" t="s">
        <v>83</v>
      </c>
      <c r="B511" s="16">
        <v>2</v>
      </c>
      <c r="C511" s="17" t="str">
        <f>三案例选用!C16</f>
        <v>SC-026</v>
      </c>
      <c r="D511" s="16" t="s">
        <v>225</v>
      </c>
      <c r="E511" s="16" t="str">
        <f t="shared" si="70"/>
        <v>适用</v>
      </c>
      <c r="F511" s="17" t="str">
        <f>IF(TRUE,IF(COUNTIFS(资产清单!$A$6:$A$25,A511)&lt;&gt;1,"",IF(INDEX(资产清单!$I$6:$I$25,MATCH(A511,资产清单!$A$6:$A$25,0))="","",INDEX(资产清单!$I$6:$I$25,MATCH(A511,资产清单!$A$6:$A$25,0)))),"不适用")</f>
        <v>宿舍</v>
      </c>
      <c r="G511" s="17" t="str">
        <f>IF(TRUE,IF(COUNTIFS(市场案例库!$A$6:$A$35,C511)&lt;&gt;1,"",IF(INDEX(市场案例库!$O$6:$O$35,MATCH(C511,市场案例库!$A$6:$A$35,0))="","",INDEX(市场案例库!$O$6:$O$35,MATCH(C511,市场案例库!$A$6:$A$35,0)))),"不适用")</f>
        <v>宿舍</v>
      </c>
      <c r="H511" s="19">
        <f>测算参数!$B$6</f>
        <v>100</v>
      </c>
      <c r="I511" s="10">
        <v>100</v>
      </c>
      <c r="J511" s="20">
        <f t="shared" si="71"/>
        <v>1</v>
      </c>
      <c r="K511" s="16" t="s">
        <v>247</v>
      </c>
      <c r="L511" s="16" t="s">
        <v>215</v>
      </c>
      <c r="M511" s="16" t="str">
        <f t="shared" si="63"/>
        <v>模拟评分记录完整</v>
      </c>
      <c r="N511" s="8" t="s">
        <v>178</v>
      </c>
    </row>
    <row r="512" spans="1:14" ht="46.05" customHeight="1">
      <c r="A512" s="16" t="s">
        <v>83</v>
      </c>
      <c r="B512" s="16">
        <v>2</v>
      </c>
      <c r="C512" s="17" t="str">
        <f>三案例选用!C16</f>
        <v>SC-026</v>
      </c>
      <c r="D512" s="16" t="s">
        <v>226</v>
      </c>
      <c r="E512" s="16" t="str">
        <f t="shared" si="70"/>
        <v>适用</v>
      </c>
      <c r="F512" s="17" t="str">
        <f>IF(TRUE,IF(COUNTIFS(资产清单!$A$6:$A$25,A512)&lt;&gt;1,"",IF(INDEX(资产清单!$I$6:$I$25,MATCH(A512,资产清单!$A$6:$A$25,0))="","",INDEX(资产清单!$I$6:$I$25,MATCH(A512,资产清单!$A$6:$A$25,0)))),"不适用")</f>
        <v>宿舍</v>
      </c>
      <c r="G512" s="17" t="str">
        <f>IF(TRUE,IF(COUNTIFS(市场案例库!$A$6:$A$35,C512)&lt;&gt;1,"",IF(INDEX(市场案例库!$O$6:$O$35,MATCH(C512,市场案例库!$A$6:$A$35,0))="","",INDEX(市场案例库!$O$6:$O$35,MATCH(C512,市场案例库!$A$6:$A$35,0)))),"不适用")</f>
        <v>宿舍</v>
      </c>
      <c r="H512" s="19">
        <f>测算参数!$B$6</f>
        <v>100</v>
      </c>
      <c r="I512" s="10">
        <v>100</v>
      </c>
      <c r="J512" s="20">
        <f t="shared" si="71"/>
        <v>1</v>
      </c>
      <c r="K512" s="16" t="s">
        <v>247</v>
      </c>
      <c r="L512" s="16" t="s">
        <v>215</v>
      </c>
      <c r="M512" s="16" t="str">
        <f t="shared" si="63"/>
        <v>模拟评分记录完整</v>
      </c>
      <c r="N512" s="8" t="s">
        <v>178</v>
      </c>
    </row>
    <row r="513" spans="1:14" ht="46.05" customHeight="1">
      <c r="A513" s="16" t="s">
        <v>83</v>
      </c>
      <c r="B513" s="16">
        <v>2</v>
      </c>
      <c r="C513" s="17" t="str">
        <f>三案例选用!C16</f>
        <v>SC-026</v>
      </c>
      <c r="D513" s="16" t="s">
        <v>227</v>
      </c>
      <c r="E513" s="16" t="str">
        <f t="shared" si="70"/>
        <v>适用</v>
      </c>
      <c r="F513" s="17" t="str">
        <f>IF(TRUE,IF(COUNTIFS(资产清单!$A$6:$A$25,A513)&lt;&gt;1,"",IF(INDEX(资产清单!$I$6:$I$25,MATCH(A513,资产清单!$A$6:$A$25,0))="","",INDEX(资产清单!$I$6:$I$25,MATCH(A513,资产清单!$A$6:$A$25,0)))),"不适用")</f>
        <v>宿舍</v>
      </c>
      <c r="G513" s="17" t="str">
        <f>IF(TRUE,IF(COUNTIFS(市场案例库!$A$6:$A$35,C513)&lt;&gt;1,"",IF(INDEX(市场案例库!$O$6:$O$35,MATCH(C513,市场案例库!$A$6:$A$35,0))="","",INDEX(市场案例库!$O$6:$O$35,MATCH(C513,市场案例库!$A$6:$A$35,0)))),"不适用")</f>
        <v>宿舍</v>
      </c>
      <c r="H513" s="19">
        <f>测算参数!$B$6</f>
        <v>100</v>
      </c>
      <c r="I513" s="10">
        <v>100</v>
      </c>
      <c r="J513" s="20">
        <f t="shared" si="71"/>
        <v>1</v>
      </c>
      <c r="K513" s="16" t="s">
        <v>247</v>
      </c>
      <c r="L513" s="16" t="s">
        <v>215</v>
      </c>
      <c r="M513" s="16" t="str">
        <f t="shared" si="63"/>
        <v>模拟评分记录完整</v>
      </c>
      <c r="N513" s="8" t="s">
        <v>178</v>
      </c>
    </row>
    <row r="514" spans="1:14" ht="46.05" customHeight="1">
      <c r="A514" s="16" t="s">
        <v>83</v>
      </c>
      <c r="B514" s="16">
        <v>2</v>
      </c>
      <c r="C514" s="17" t="str">
        <f>三案例选用!C16</f>
        <v>SC-026</v>
      </c>
      <c r="D514" s="16" t="s">
        <v>228</v>
      </c>
      <c r="E514" s="17" t="str">
        <f>IF(AND(IF(COUNTIFS(资产清单!$A$6:$A$25,A514)&lt;&gt;1,"",IF(INDEX(资产清单!$H$6:$H$25,MATCH(A514,资产清单!$A$6:$A$25,0))="","",INDEX(资产清单!$H$6:$H$25,MATCH(A514,资产清单!$A$6:$A$25,0))))&lt;&gt;"场地",IF(COUNTIFS(资产清单!$A$6:$A$25,A514)&lt;&gt;1,"",IF(INDEX(资产清单!$H$6:$H$25,MATCH(A514,资产清单!$A$6:$A$25,0))="","",INDEX(资产清单!$H$6:$H$25,MATCH(A514,资产清单!$A$6:$A$25,0))))&lt;&gt;"车位",IF(COUNTIFS(资产清单!$A$6:$A$25,A514)&lt;&gt;1,"",IF(INDEX(资产清单!$H$6:$H$25,MATCH(A514,资产清单!$A$6:$A$25,0))="","",INDEX(资产清单!$H$6:$H$25,MATCH(A514,资产清单!$A$6:$A$25,0))))&lt;&gt;"通信基站"),"适用","不适用采用100/100")</f>
        <v>适用</v>
      </c>
      <c r="F514" s="17" t="str">
        <f>IF(AND(IF(COUNTIFS(资产清单!$A$6:$A$25,A514)&lt;&gt;1,"",IF(INDEX(资产清单!$H$6:$H$25,MATCH(A514,资产清单!$A$6:$A$25,0))="","",INDEX(资产清单!$H$6:$H$25,MATCH(A514,资产清单!$A$6:$A$25,0))))&lt;&gt;"场地",IF(COUNTIFS(资产清单!$A$6:$A$25,A514)&lt;&gt;1,"",IF(INDEX(资产清单!$H$6:$H$25,MATCH(A514,资产清单!$A$6:$A$25,0))="","",INDEX(资产清单!$H$6:$H$25,MATCH(A514,资产清单!$A$6:$A$25,0))))&lt;&gt;"车位",IF(COUNTIFS(资产清单!$A$6:$A$25,A514)&lt;&gt;1,"",IF(INDEX(资产清单!$H$6:$H$25,MATCH(A514,资产清单!$A$6:$A$25,0))="","",INDEX(资产清单!$H$6:$H$25,MATCH(A514,资产清单!$A$6:$A$25,0))))&lt;&gt;"通信基站"),IF(COUNTIFS(资产清单!$A$6:$A$25,A514)&lt;&gt;1,"",IF(INDEX(资产清单!$I$6:$I$25,MATCH(A514,资产清单!$A$6:$A$25,0))="","",INDEX(资产清单!$I$6:$I$25,MATCH(A514,资产清单!$A$6:$A$25,0)))),"不适用")</f>
        <v>宿舍</v>
      </c>
      <c r="G514" s="17" t="str">
        <f>IF(AND(IF(COUNTIFS(资产清单!$A$6:$A$25,A514)&lt;&gt;1,"",IF(INDEX(资产清单!$H$6:$H$25,MATCH(A514,资产清单!$A$6:$A$25,0))="","",INDEX(资产清单!$H$6:$H$25,MATCH(A514,资产清单!$A$6:$A$25,0))))&lt;&gt;"场地",IF(COUNTIFS(资产清单!$A$6:$A$25,A514)&lt;&gt;1,"",IF(INDEX(资产清单!$H$6:$H$25,MATCH(A514,资产清单!$A$6:$A$25,0))="","",INDEX(资产清单!$H$6:$H$25,MATCH(A514,资产清单!$A$6:$A$25,0))))&lt;&gt;"车位",IF(COUNTIFS(资产清单!$A$6:$A$25,A514)&lt;&gt;1,"",IF(INDEX(资产清单!$H$6:$H$25,MATCH(A514,资产清单!$A$6:$A$25,0))="","",INDEX(资产清单!$H$6:$H$25,MATCH(A514,资产清单!$A$6:$A$25,0))))&lt;&gt;"通信基站"),IF(COUNTIFS(市场案例库!$A$6:$A$35,C514)&lt;&gt;1,"",IF(INDEX(市场案例库!$O$6:$O$35,MATCH(C514,市场案例库!$A$6:$A$35,0))="","",INDEX(市场案例库!$O$6:$O$35,MATCH(C514,市场案例库!$A$6:$A$35,0)))),"不适用")</f>
        <v>宿舍</v>
      </c>
      <c r="H514" s="19">
        <f>测算参数!$B$6</f>
        <v>100</v>
      </c>
      <c r="I514" s="10">
        <v>100</v>
      </c>
      <c r="J514" s="21">
        <f>IF(OR(C514&lt;&gt;N514,COUNT(H514:I514)&lt;&gt;2,H514&lt;=0,I514&lt;=0),"",IF(AND(IF(COUNTIFS(资产清单!$A$6:$A$25,A514)&lt;&gt;1,"",IF(INDEX(资产清单!$H$6:$H$25,MATCH(A514,资产清单!$A$6:$A$25,0))="","",INDEX(资产清单!$H$6:$H$25,MATCH(A514,资产清单!$A$6:$A$25,0))))&lt;&gt;"场地",IF(COUNTIFS(资产清单!$A$6:$A$25,A514)&lt;&gt;1,"",IF(INDEX(资产清单!$H$6:$H$25,MATCH(A514,资产清单!$A$6:$A$25,0))="","",INDEX(资产清单!$H$6:$H$25,MATCH(A514,资产清单!$A$6:$A$25,0))))&lt;&gt;"车位",IF(COUNTIFS(资产清单!$A$6:$A$25,A514)&lt;&gt;1,"",IF(INDEX(资产清单!$H$6:$H$25,MATCH(A514,资产清单!$A$6:$A$25,0))="","",INDEX(资产清单!$H$6:$H$25,MATCH(A514,资产清单!$A$6:$A$25,0))))&lt;&gt;"通信基站"),H514/I514,H514/H514))</f>
        <v>1</v>
      </c>
      <c r="K514" s="16" t="s">
        <v>247</v>
      </c>
      <c r="L514" s="16" t="s">
        <v>215</v>
      </c>
      <c r="M514" s="16" t="str">
        <f t="shared" si="63"/>
        <v>模拟评分记录完整</v>
      </c>
      <c r="N514" s="8" t="s">
        <v>178</v>
      </c>
    </row>
    <row r="515" spans="1:14" ht="46.05" customHeight="1">
      <c r="A515" s="16" t="s">
        <v>83</v>
      </c>
      <c r="B515" s="16">
        <v>2</v>
      </c>
      <c r="C515" s="17" t="str">
        <f>三案例选用!C16</f>
        <v>SC-026</v>
      </c>
      <c r="D515" s="16" t="s">
        <v>229</v>
      </c>
      <c r="E515" s="17" t="str">
        <f>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"适用","不适用采用100/100")</f>
        <v>适用</v>
      </c>
      <c r="F515" s="17">
        <f>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IF(COUNTIFS(资产清单!$A$6:$A$25,A515)&lt;&gt;1,"",IF(COUNT(INDEX(资产清单!$N$6:$N$25,MATCH(A515,资产清单!$A$6:$A$25,0)))&lt;&gt;1,"",INDEX(资产清单!$N$6:$N$25,MATCH(A515,资产清单!$A$6:$A$25,0)))),"不适用")</f>
        <v>2</v>
      </c>
      <c r="G515" s="17">
        <f>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IF(COUNTIFS(市场案例库!$A$6:$A$35,C515)&lt;&gt;1,"",IF(COUNT(INDEX(市场案例库!$I$6:$I$35,MATCH(C515,市场案例库!$A$6:$A$35,0)))&lt;&gt;1,"",INDEX(市场案例库!$I$6:$I$35,MATCH(C515,市场案例库!$A$6:$A$35,0)))),"不适用")</f>
        <v>3</v>
      </c>
      <c r="H515" s="19">
        <f>测算参数!$B$6</f>
        <v>100</v>
      </c>
      <c r="I515" s="19">
        <f>IF(OR(COUNTIFS(市场案例库!$A$6:$A$35,C515)&lt;&gt;1,AND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OR(COUNT(IF(COUNTIFS(资产清单!$A$6:$A$25,A515)&lt;&gt;1,"",IF(COUNT(INDEX(资产清单!$N$6:$N$25,MATCH(A515,资产清单!$A$6:$A$25,0)))&lt;&gt;1,"",INDEX(资产清单!$N$6:$N$25,MATCH(A515,资产清单!$A$6:$A$25,0)))),IF(COUNTIFS(市场案例库!$A$6:$A$35,C515)&lt;&gt;1,"",IF(COUNT(INDEX(市场案例库!$I$6:$I$35,MATCH(C515,市场案例库!$A$6:$A$35,0)))&lt;&gt;1,"",INDEX(市场案例库!$I$6:$I$35,MATCH(C515,市场案例库!$A$6:$A$35,0)))))&lt;&gt;2,IF(COUNTIFS(资产清单!$A$6:$A$25,A515)&lt;&gt;1,"",IF(COUNT(INDEX(资产清单!$N$6:$N$25,MATCH(A515,资产清单!$A$6:$A$25,0)))&lt;&gt;1,"",INDEX(资产清单!$N$6:$N$25,MATCH(A515,资产清单!$A$6:$A$25,0))))&lt;1,IF(COUNTIFS(资产清单!$A$6:$A$25,A515)&lt;&gt;1,"",IF(COUNT(INDEX(资产清单!$N$6:$N$25,MATCH(A515,资产清单!$A$6:$A$25,0)))&lt;&gt;1,"",INDEX(资产清单!$N$6:$N$25,MATCH(A515,资产清单!$A$6:$A$25,0))))&gt;4,IF(COUNTIFS(市场案例库!$A$6:$A$35,C515)&lt;&gt;1,"",IF(COUNT(INDEX(市场案例库!$I$6:$I$35,MATCH(C515,市场案例库!$A$6:$A$35,0)))&lt;&gt;1,"",INDEX(市场案例库!$I$6:$I$35,MATCH(C515,市场案例库!$A$6:$A$35,0))))&lt;1,IF(COUNTIFS(市场案例库!$A$6:$A$35,C515)&lt;&gt;1,"",IF(COUNT(INDEX(市场案例库!$I$6:$I$35,MATCH(C515,市场案例库!$A$6:$A$35,0)))&lt;&gt;1,"",INDEX(市场案例库!$I$6:$I$35,MATCH(C515,市场案例库!$A$6:$A$35,0))))&gt;4))),"",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INDEX(测算参数!$B$35:$B$41,MATCH(IF(COUNTIFS(市场案例库!$A$6:$A$35,C515)&lt;&gt;1,"",IF(COUNT(INDEX(市场案例库!$I$6:$I$35,MATCH(C515,市场案例库!$A$6:$A$35,0)))&lt;&gt;1,"",INDEX(市场案例库!$I$6:$I$35,MATCH(C515,市场案例库!$A$6:$A$35,0))))-IF(COUNTIFS(资产清单!$A$6:$A$25,A515)&lt;&gt;1,"",IF(COUNT(INDEX(资产清单!$N$6:$N$25,MATCH(A515,资产清单!$A$6:$A$25,0)))&lt;&gt;1,"",INDEX(资产清单!$N$6:$N$25,MATCH(A515,资产清单!$A$6:$A$25,0)))),测算参数!$A$35:$A$41,0)),测算参数!$B$6))</f>
        <v>102</v>
      </c>
      <c r="J515" s="21">
        <f>IF(OR(C515&lt;&gt;N515,COUNT(H515:I515)&lt;&gt;2,H515&lt;=0,I515&lt;=0),"",IF(AND(IF(COUNTIFS(资产清单!$A$6:$A$25,A515)&lt;&gt;1,"",IF(INDEX(资产清单!$H$6:$H$25,MATCH(A515,资产清单!$A$6:$A$25,0))="","",INDEX(资产清单!$H$6:$H$25,MATCH(A515,资产清单!$A$6:$A$25,0))))&lt;&gt;"场地",IF(COUNTIFS(资产清单!$A$6:$A$25,A515)&lt;&gt;1,"",IF(INDEX(资产清单!$H$6:$H$25,MATCH(A515,资产清单!$A$6:$A$25,0))="","",INDEX(资产清单!$H$6:$H$25,MATCH(A515,资产清单!$A$6:$A$25,0))))&lt;&gt;"车位",IF(COUNTIFS(资产清单!$A$6:$A$25,A515)&lt;&gt;1,"",IF(INDEX(资产清单!$H$6:$H$25,MATCH(A515,资产清单!$A$6:$A$25,0))="","",INDEX(资产清单!$H$6:$H$25,MATCH(A515,资产清单!$A$6:$A$25,0))))&lt;&gt;"通信基站"),H515/I515,H515/H515))</f>
        <v>0.98039215686274506</v>
      </c>
      <c r="K515" s="16" t="s">
        <v>247</v>
      </c>
      <c r="L515" s="16" t="s">
        <v>230</v>
      </c>
      <c r="M515" s="16" t="str">
        <f t="shared" si="63"/>
        <v>模拟评分记录完整</v>
      </c>
      <c r="N515" s="8" t="s">
        <v>178</v>
      </c>
    </row>
    <row r="516" spans="1:14" ht="46.05" customHeight="1">
      <c r="A516" s="16" t="s">
        <v>83</v>
      </c>
      <c r="B516" s="16">
        <v>2</v>
      </c>
      <c r="C516" s="17" t="str">
        <f>三案例选用!C16</f>
        <v>SC-026</v>
      </c>
      <c r="D516" s="16" t="s">
        <v>231</v>
      </c>
      <c r="E516" s="17" t="str">
        <f>IF(AND(IF(COUNTIFS(资产清单!$A$6:$A$25,A516)&lt;&gt;1,"",IF(INDEX(资产清单!$H$6:$H$25,MATCH(A516,资产清单!$A$6:$A$25,0))="","",INDEX(资产清单!$H$6:$H$25,MATCH(A516,资产清单!$A$6:$A$25,0))))&lt;&gt;"场地",IF(COUNTIFS(资产清单!$A$6:$A$25,A516)&lt;&gt;1,"",IF(INDEX(资产清单!$H$6:$H$25,MATCH(A516,资产清单!$A$6:$A$25,0))="","",INDEX(资产清单!$H$6:$H$25,MATCH(A516,资产清单!$A$6:$A$25,0))))&lt;&gt;"车位",IF(COUNTIFS(资产清单!$A$6:$A$25,A516)&lt;&gt;1,"",IF(INDEX(资产清单!$H$6:$H$25,MATCH(A516,资产清单!$A$6:$A$25,0))="","",INDEX(资产清单!$H$6:$H$25,MATCH(A516,资产清单!$A$6:$A$25,0))))&lt;&gt;"通信基站"),"适用","不适用采用100/100")</f>
        <v>适用</v>
      </c>
      <c r="F516" s="17" t="str">
        <f>IF(AND(IF(COUNTIFS(资产清单!$A$6:$A$25,A516)&lt;&gt;1,"",IF(INDEX(资产清单!$H$6:$H$25,MATCH(A516,资产清单!$A$6:$A$25,0))="","",INDEX(资产清单!$H$6:$H$25,MATCH(A516,资产清单!$A$6:$A$25,0))))&lt;&gt;"场地",IF(COUNTIFS(资产清单!$A$6:$A$25,A516)&lt;&gt;1,"",IF(INDEX(资产清单!$H$6:$H$25,MATCH(A516,资产清单!$A$6:$A$25,0))="","",INDEX(资产清单!$H$6:$H$25,MATCH(A516,资产清单!$A$6:$A$25,0))))&lt;&gt;"车位",IF(COUNTIFS(资产清单!$A$6:$A$25,A516)&lt;&gt;1,"",IF(INDEX(资产清单!$H$6:$H$25,MATCH(A516,资产清单!$A$6:$A$25,0))="","",INDEX(资产清单!$H$6:$H$25,MATCH(A516,资产清单!$A$6:$A$25,0))))&lt;&gt;"通信基站"),IF(COUNTIFS(资产清单!$A$6:$A$25,A516)&lt;&gt;1,"",IF(INDEX(资产清单!$I$6:$I$25,MATCH(A516,资产清单!$A$6:$A$25,0))="","",INDEX(资产清单!$I$6:$I$25,MATCH(A516,资产清单!$A$6:$A$25,0)))),"不适用")</f>
        <v>宿舍</v>
      </c>
      <c r="G516" s="17" t="str">
        <f>IF(AND(IF(COUNTIFS(资产清单!$A$6:$A$25,A516)&lt;&gt;1,"",IF(INDEX(资产清单!$H$6:$H$25,MATCH(A516,资产清单!$A$6:$A$25,0))="","",INDEX(资产清单!$H$6:$H$25,MATCH(A516,资产清单!$A$6:$A$25,0))))&lt;&gt;"场地",IF(COUNTIFS(资产清单!$A$6:$A$25,A516)&lt;&gt;1,"",IF(INDEX(资产清单!$H$6:$H$25,MATCH(A516,资产清单!$A$6:$A$25,0))="","",INDEX(资产清单!$H$6:$H$25,MATCH(A516,资产清单!$A$6:$A$25,0))))&lt;&gt;"车位",IF(COUNTIFS(资产清单!$A$6:$A$25,A516)&lt;&gt;1,"",IF(INDEX(资产清单!$H$6:$H$25,MATCH(A516,资产清单!$A$6:$A$25,0))="","",INDEX(资产清单!$H$6:$H$25,MATCH(A516,资产清单!$A$6:$A$25,0))))&lt;&gt;"通信基站"),IF(COUNTIFS(市场案例库!$A$6:$A$35,C516)&lt;&gt;1,"",IF(INDEX(市场案例库!$O$6:$O$35,MATCH(C516,市场案例库!$A$6:$A$35,0))="","",INDEX(市场案例库!$O$6:$O$35,MATCH(C516,市场案例库!$A$6:$A$35,0)))),"不适用")</f>
        <v>宿舍</v>
      </c>
      <c r="H516" s="19">
        <f>测算参数!$B$6</f>
        <v>100</v>
      </c>
      <c r="I516" s="10">
        <v>100</v>
      </c>
      <c r="J516" s="21">
        <f>IF(OR(C516&lt;&gt;N516,COUNT(H516:I516)&lt;&gt;2,H516&lt;=0,I516&lt;=0),"",IF(AND(IF(COUNTIFS(资产清单!$A$6:$A$25,A516)&lt;&gt;1,"",IF(INDEX(资产清单!$H$6:$H$25,MATCH(A516,资产清单!$A$6:$A$25,0))="","",INDEX(资产清单!$H$6:$H$25,MATCH(A516,资产清单!$A$6:$A$25,0))))&lt;&gt;"场地",IF(COUNTIFS(资产清单!$A$6:$A$25,A516)&lt;&gt;1,"",IF(INDEX(资产清单!$H$6:$H$25,MATCH(A516,资产清单!$A$6:$A$25,0))="","",INDEX(资产清单!$H$6:$H$25,MATCH(A516,资产清单!$A$6:$A$25,0))))&lt;&gt;"车位",IF(COUNTIFS(资产清单!$A$6:$A$25,A516)&lt;&gt;1,"",IF(INDEX(资产清单!$H$6:$H$25,MATCH(A516,资产清单!$A$6:$A$25,0))="","",INDEX(资产清单!$H$6:$H$25,MATCH(A516,资产清单!$A$6:$A$25,0))))&lt;&gt;"通信基站"),H516/I516,H516/H516))</f>
        <v>1</v>
      </c>
      <c r="K516" s="16" t="s">
        <v>247</v>
      </c>
      <c r="L516" s="16" t="s">
        <v>215</v>
      </c>
      <c r="M516" s="16" t="str">
        <f t="shared" si="63"/>
        <v>模拟评分记录完整</v>
      </c>
      <c r="N516" s="8" t="s">
        <v>178</v>
      </c>
    </row>
    <row r="517" spans="1:14" ht="46.05" customHeight="1">
      <c r="A517" s="16" t="s">
        <v>83</v>
      </c>
      <c r="B517" s="16">
        <v>2</v>
      </c>
      <c r="C517" s="17" t="str">
        <f>三案例选用!C16</f>
        <v>SC-026</v>
      </c>
      <c r="D517" s="16" t="s">
        <v>232</v>
      </c>
      <c r="E517" s="16" t="str">
        <f>IF(TRUE,"适用","不适用采用100/100")</f>
        <v>适用</v>
      </c>
      <c r="F517" s="17" t="str">
        <f>IF(TRUE,IF(COUNTIFS(资产清单!$A$6:$A$25,A517)&lt;&gt;1,"",IF(INDEX(资产清单!$I$6:$I$25,MATCH(A517,资产清单!$A$6:$A$25,0))="","",INDEX(资产清单!$I$6:$I$25,MATCH(A517,资产清单!$A$6:$A$25,0)))),"不适用")</f>
        <v>宿舍</v>
      </c>
      <c r="G517" s="17" t="str">
        <f>IF(TRUE,IF(COUNTIFS(市场案例库!$A$6:$A$35,C517)&lt;&gt;1,"",IF(INDEX(市场案例库!$O$6:$O$35,MATCH(C517,市场案例库!$A$6:$A$35,0))="","",INDEX(市场案例库!$O$6:$O$35,MATCH(C517,市场案例库!$A$6:$A$35,0)))),"不适用")</f>
        <v>宿舍</v>
      </c>
      <c r="H517" s="19">
        <f>测算参数!$B$6</f>
        <v>100</v>
      </c>
      <c r="I517" s="10">
        <v>100</v>
      </c>
      <c r="J517" s="20">
        <f>IF(OR(C517&lt;&gt;N517,COUNT(H517:I517)&lt;&gt;2,H517&lt;=0,I517&lt;=0),"",IF(TRUE,H517/I517,H517/H517))</f>
        <v>1</v>
      </c>
      <c r="K517" s="16" t="s">
        <v>247</v>
      </c>
      <c r="L517" s="16" t="s">
        <v>215</v>
      </c>
      <c r="M517" s="16" t="str">
        <f t="shared" si="63"/>
        <v>模拟评分记录完整</v>
      </c>
      <c r="N517" s="8" t="s">
        <v>178</v>
      </c>
    </row>
    <row r="518" spans="1:14" ht="46.05" customHeight="1">
      <c r="A518" s="16" t="s">
        <v>83</v>
      </c>
      <c r="B518" s="16">
        <v>3</v>
      </c>
      <c r="C518" s="17" t="str">
        <f>三案例选用!D16</f>
        <v>SC-027</v>
      </c>
      <c r="D518" s="16" t="s">
        <v>209</v>
      </c>
      <c r="E518" s="16" t="str">
        <f>IF(TRUE,"适用","不适用采用100/100")</f>
        <v>适用</v>
      </c>
      <c r="F518" s="17" t="str">
        <f>IF(TRUE,IF(COUNTIFS(资产清单!$A$6:$A$25,A518)&lt;&gt;1,"",IF(INDEX(资产清单!$I$6:$I$25,MATCH(A518,资产清单!$A$6:$A$25,0))="","",INDEX(资产清单!$I$6:$I$25,MATCH(A518,资产清单!$A$6:$A$25,0)))),"不适用")</f>
        <v>宿舍</v>
      </c>
      <c r="G518" s="17" t="str">
        <f>IF(TRUE,IF(COUNTIFS(市场案例库!$A$6:$A$35,C518)&lt;&gt;1,"",IF(INDEX(市场案例库!$O$6:$O$35,MATCH(C518,市场案例库!$A$6:$A$35,0))="","",INDEX(市场案例库!$O$6:$O$35,MATCH(C518,市场案例库!$A$6:$A$35,0)))),"不适用")</f>
        <v>宿舍</v>
      </c>
      <c r="H518" s="19">
        <f>测算参数!$B$6</f>
        <v>100</v>
      </c>
      <c r="I518" s="19">
        <f>IF(OR(COUNTIFS(市场案例库!$A$6:$A$35,C518)&lt;&gt;1),"",IF(COUNTIFS(市场案例库!$A$6:$A$35,C518)&lt;&gt;1,"",IF(COUNT(INDEX(市场案例库!$M$6:$M$35,MATCH(C518,市场案例库!$A$6:$A$35,0)))&lt;&gt;1,"",INDEX(市场案例库!$M$6:$M$35,MATCH(C518,市场案例库!$A$6:$A$35,0)))))</f>
        <v>102</v>
      </c>
      <c r="J518" s="20">
        <f>IF(OR(C518&lt;&gt;N518,COUNT(H518:I518)&lt;&gt;2,H518&lt;=0,I518&lt;=0),"",IF(TRUE,H518/I518,H518/H518))</f>
        <v>0.98039215686274506</v>
      </c>
      <c r="K518" s="16" t="s">
        <v>247</v>
      </c>
      <c r="L518" s="16" t="s">
        <v>211</v>
      </c>
      <c r="M518" s="16" t="str">
        <f t="shared" ref="M518:M581" si="72">IF(C518&lt;&gt;N518,"待重判评分",IF(COUNT(J518)&lt;&gt;1,"待补评分",IF(OR(K518="",L518=""),"待补依据","模拟评分记录完整")))</f>
        <v>模拟评分记录完整</v>
      </c>
      <c r="N518" s="8" t="s">
        <v>179</v>
      </c>
    </row>
    <row r="519" spans="1:14" ht="46.05" customHeight="1">
      <c r="A519" s="16" t="s">
        <v>83</v>
      </c>
      <c r="B519" s="16">
        <v>3</v>
      </c>
      <c r="C519" s="17" t="str">
        <f>三案例选用!D16</f>
        <v>SC-027</v>
      </c>
      <c r="D519" s="16" t="s">
        <v>212</v>
      </c>
      <c r="E519" s="16" t="str">
        <f>IF(TRUE,"适用","不适用采用100/100")</f>
        <v>适用</v>
      </c>
      <c r="F519" s="17" t="str">
        <f>IF(TRUE,IF(COUNTIFS(资产清单!$A$6:$A$25,A519)&lt;&gt;1,"",IF(INDEX(资产清单!$I$6:$I$25,MATCH(A519,资产清单!$A$6:$A$25,0))="","",INDEX(资产清单!$I$6:$I$25,MATCH(A519,资产清单!$A$6:$A$25,0)))),"不适用")</f>
        <v>宿舍</v>
      </c>
      <c r="G519" s="17" t="str">
        <f>IF(TRUE,IF(COUNTIFS(市场案例库!$A$6:$A$35,C519)&lt;&gt;1,"",IF(INDEX(市场案例库!$O$6:$O$35,MATCH(C519,市场案例库!$A$6:$A$35,0))="","",INDEX(市场案例库!$O$6:$O$35,MATCH(C519,市场案例库!$A$6:$A$35,0)))),"不适用")</f>
        <v>宿舍</v>
      </c>
      <c r="H519" s="19">
        <f>测算参数!$B$6</f>
        <v>100</v>
      </c>
      <c r="I519" s="19">
        <f>IF(OR(COUNTIFS(市场案例库!$A$6:$A$35,C519)&lt;&gt;1),"",IF(COUNTIFS(市场案例库!$A$6:$A$35,C519)&lt;&gt;1,"",IF(COUNT(INDEX(市场案例库!$N$6:$N$35,MATCH(C519,市场案例库!$A$6:$A$35,0)))&lt;&gt;1,"",INDEX(市场案例库!$N$6:$N$35,MATCH(C519,市场案例库!$A$6:$A$35,0)))))</f>
        <v>100</v>
      </c>
      <c r="J519" s="20">
        <f>IF(OR(C519&lt;&gt;N519,COUNT(H519:I519)&lt;&gt;2,H519&lt;=0,I519&lt;=0),"",IF(TRUE,H519/I519,H519/H519))</f>
        <v>1</v>
      </c>
      <c r="K519" s="16" t="s">
        <v>247</v>
      </c>
      <c r="L519" s="16" t="s">
        <v>213</v>
      </c>
      <c r="M519" s="16" t="str">
        <f t="shared" si="72"/>
        <v>模拟评分记录完整</v>
      </c>
      <c r="N519" s="8" t="s">
        <v>179</v>
      </c>
    </row>
    <row r="520" spans="1:14" ht="46.05" customHeight="1">
      <c r="A520" s="16" t="s">
        <v>83</v>
      </c>
      <c r="B520" s="16">
        <v>3</v>
      </c>
      <c r="C520" s="17" t="str">
        <f>三案例选用!D16</f>
        <v>SC-027</v>
      </c>
      <c r="D520" s="16" t="s">
        <v>214</v>
      </c>
      <c r="E520" s="16" t="str">
        <f>IF(TRUE,"适用","不适用采用100/100")</f>
        <v>适用</v>
      </c>
      <c r="F520" s="17" t="str">
        <f>IF(TRUE,IF(COUNTIFS(资产清单!$A$6:$A$25,A520)&lt;&gt;1,"",IF(INDEX(资产清单!$I$6:$I$25,MATCH(A520,资产清单!$A$6:$A$25,0))="","",INDEX(资产清单!$I$6:$I$25,MATCH(A520,资产清单!$A$6:$A$25,0)))),"不适用")</f>
        <v>宿舍</v>
      </c>
      <c r="G520" s="17" t="str">
        <f>IF(TRUE,IF(COUNTIFS(市场案例库!$A$6:$A$35,C520)&lt;&gt;1,"",IF(INDEX(市场案例库!$O$6:$O$35,MATCH(C520,市场案例库!$A$6:$A$35,0))="","",INDEX(市场案例库!$O$6:$O$35,MATCH(C520,市场案例库!$A$6:$A$35,0)))),"不适用")</f>
        <v>宿舍</v>
      </c>
      <c r="H520" s="19">
        <f>测算参数!$B$6</f>
        <v>100</v>
      </c>
      <c r="I520" s="10">
        <v>100</v>
      </c>
      <c r="J520" s="20">
        <f>IF(OR(C520&lt;&gt;N520,COUNT(H520:I520)&lt;&gt;2,H520&lt;=0,I520&lt;=0),"",IF(TRUE,H520/I520,H520/H520))</f>
        <v>1</v>
      </c>
      <c r="K520" s="16" t="s">
        <v>247</v>
      </c>
      <c r="L520" s="16" t="s">
        <v>215</v>
      </c>
      <c r="M520" s="16" t="str">
        <f t="shared" si="72"/>
        <v>模拟评分记录完整</v>
      </c>
      <c r="N520" s="8" t="s">
        <v>179</v>
      </c>
    </row>
    <row r="521" spans="1:14" ht="46.05" customHeight="1">
      <c r="A521" s="16" t="s">
        <v>83</v>
      </c>
      <c r="B521" s="16">
        <v>3</v>
      </c>
      <c r="C521" s="17" t="str">
        <f>三案例选用!D16</f>
        <v>SC-027</v>
      </c>
      <c r="D521" s="16" t="s">
        <v>216</v>
      </c>
      <c r="E521" s="16" t="str">
        <f>IF(TRUE,"适用","不适用采用100/100")</f>
        <v>适用</v>
      </c>
      <c r="F521" s="17" t="str">
        <f>IF(TRUE,IF(COUNTIFS(资产清单!$A$6:$A$25,A521)&lt;&gt;1,"",IF(INDEX(资产清单!$I$6:$I$25,MATCH(A521,资产清单!$A$6:$A$25,0))="","",INDEX(资产清单!$I$6:$I$25,MATCH(A521,资产清单!$A$6:$A$25,0)))),"不适用")</f>
        <v>宿舍</v>
      </c>
      <c r="G521" s="17" t="str">
        <f>IF(TRUE,IF(COUNTIFS(市场案例库!$A$6:$A$35,C521)&lt;&gt;1,"",IF(INDEX(市场案例库!$O$6:$O$35,MATCH(C521,市场案例库!$A$6:$A$35,0))="","",INDEX(市场案例库!$O$6:$O$35,MATCH(C521,市场案例库!$A$6:$A$35,0)))),"不适用")</f>
        <v>宿舍</v>
      </c>
      <c r="H521" s="19">
        <f>测算参数!$B$6</f>
        <v>100</v>
      </c>
      <c r="I521" s="10">
        <v>100</v>
      </c>
      <c r="J521" s="20">
        <f>IF(OR(C521&lt;&gt;N521,COUNT(H521:I521)&lt;&gt;2,H521&lt;=0,I521&lt;=0),"",IF(TRUE,H521/I521,H521/H521))</f>
        <v>1</v>
      </c>
      <c r="K521" s="16" t="s">
        <v>247</v>
      </c>
      <c r="L521" s="16" t="s">
        <v>215</v>
      </c>
      <c r="M521" s="16" t="str">
        <f t="shared" si="72"/>
        <v>模拟评分记录完整</v>
      </c>
      <c r="N521" s="8" t="s">
        <v>179</v>
      </c>
    </row>
    <row r="522" spans="1:14" ht="46.05" customHeight="1">
      <c r="A522" s="16" t="s">
        <v>83</v>
      </c>
      <c r="B522" s="16">
        <v>3</v>
      </c>
      <c r="C522" s="17" t="str">
        <f>三案例选用!D16</f>
        <v>SC-027</v>
      </c>
      <c r="D522" s="16" t="s">
        <v>217</v>
      </c>
      <c r="E522" s="17" t="str">
        <f>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"适用","不适用采用100/100")</f>
        <v>适用</v>
      </c>
      <c r="F522" s="17">
        <f>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IF(COUNTIFS(资产清单!$A$6:$A$25,A522)&lt;&gt;1,"",IF(COUNT(INDEX(资产清单!$M$6:$M$25,MATCH(A522,资产清单!$A$6:$A$25,0)))&lt;&gt;1,"",INDEX(资产清单!$M$6:$M$25,MATCH(A522,资产清单!$A$6:$A$25,0)))),"不适用")</f>
        <v>2</v>
      </c>
      <c r="G522" s="17">
        <f>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IF(COUNTIFS(市场案例库!$A$6:$A$35,C522)&lt;&gt;1,"",IF(COUNT(INDEX(市场案例库!$H$6:$H$35,MATCH(C522,市场案例库!$A$6:$A$35,0)))&lt;&gt;1,"",INDEX(市场案例库!$H$6:$H$35,MATCH(C522,市场案例库!$A$6:$A$35,0)))),"不适用")</f>
        <v>2</v>
      </c>
      <c r="H522" s="19">
        <f>测算参数!$B$6</f>
        <v>100</v>
      </c>
      <c r="I522" s="19">
        <f>IF(OR(COUNTIFS(市场案例库!$A$6:$A$35,C522)&lt;&gt;1,AND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COUNT(IF(COUNTIFS(资产清单!$A$6:$A$25,A522)&lt;&gt;1,"",IF(COUNT(INDEX(资产清单!$M$6:$M$25,MATCH(A522,资产清单!$A$6:$A$25,0)))&lt;&gt;1,"",INDEX(资产清单!$M$6:$M$25,MATCH(A522,资产清单!$A$6:$A$25,0)))),IF(COUNTIFS(市场案例库!$A$6:$A$35,C522)&lt;&gt;1,"",IF(COUNT(INDEX(市场案例库!$H$6:$H$35,MATCH(C522,市场案例库!$A$6:$A$35,0)))&lt;&gt;1,"",INDEX(市场案例库!$H$6:$H$35,MATCH(C522,市场案例库!$A$6:$A$35,0)))))&lt;&gt;2)),"",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INDEX(测算参数!$B$25:$B$31,MATCH(MAX(-测算参数!$B$11,MIN(测算参数!$B$11,IF(COUNTIFS(资产清单!$A$6:$A$25,A522)&lt;&gt;1,"",IF(COUNT(INDEX(资产清单!$M$6:$M$25,MATCH(A522,资产清单!$A$6:$A$25,0)))&lt;&gt;1,"",INDEX(资产清单!$M$6:$M$25,MATCH(A522,资产清单!$A$6:$A$25,0))))-IF(COUNTIFS(市场案例库!$A$6:$A$35,C522)&lt;&gt;1,"",IF(COUNT(INDEX(市场案例库!$H$6:$H$35,MATCH(C522,市场案例库!$A$6:$A$35,0)))&lt;&gt;1,"",INDEX(市场案例库!$H$6:$H$35,MATCH(C522,市场案例库!$A$6:$A$35,0)))))),测算参数!$A$25:$A$31,0)),测算参数!$B$6))</f>
        <v>100</v>
      </c>
      <c r="J522" s="21">
        <f>IF(OR(C522&lt;&gt;N522,COUNT(H522:I522)&lt;&gt;2,H522&lt;=0,I522&lt;=0),"",IF(OR(IF(COUNTIFS(资产清单!$A$6:$A$25,A522)&lt;&gt;1,"",IF(INDEX(资产清单!$H$6:$H$25,MATCH(A522,资产清单!$A$6:$A$25,0))="","",INDEX(资产清单!$H$6:$H$25,MATCH(A522,资产清单!$A$6:$A$25,0))))="商业",IF(COUNTIFS(资产清单!$A$6:$A$25,A522)&lt;&gt;1,"",IF(INDEX(资产清单!$H$6:$H$25,MATCH(A522,资产清单!$A$6:$A$25,0))="","",INDEX(资产清单!$H$6:$H$25,MATCH(A522,资产清单!$A$6:$A$25,0))))="办公",IF(COUNTIFS(资产清单!$A$6:$A$25,A522)&lt;&gt;1,"",IF(INDEX(资产清单!$H$6:$H$25,MATCH(A522,资产清单!$A$6:$A$25,0))="","",INDEX(资产清单!$H$6:$H$25,MATCH(A522,资产清单!$A$6:$A$25,0))))="住宅"),H522/I522,H522/H522))</f>
        <v>1</v>
      </c>
      <c r="K522" s="16" t="s">
        <v>247</v>
      </c>
      <c r="L522" s="16" t="s">
        <v>218</v>
      </c>
      <c r="M522" s="16" t="str">
        <f t="shared" si="72"/>
        <v>模拟评分记录完整</v>
      </c>
      <c r="N522" s="8" t="s">
        <v>179</v>
      </c>
    </row>
    <row r="523" spans="1:14" ht="46.05" customHeight="1">
      <c r="A523" s="16" t="s">
        <v>83</v>
      </c>
      <c r="B523" s="16">
        <v>3</v>
      </c>
      <c r="C523" s="17" t="str">
        <f>三案例选用!D16</f>
        <v>SC-027</v>
      </c>
      <c r="D523" s="16" t="s">
        <v>219</v>
      </c>
      <c r="E523" s="17" t="str">
        <f>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"适用","不适用采用100/100")</f>
        <v>不适用采用100/100</v>
      </c>
      <c r="F523" s="17" t="str">
        <f>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IF(COUNTIFS(资产清单!$A$6:$A$25,A523)&lt;&gt;1,"",IF(COUNT(INDEX(资产清单!$L$6:$L$25,MATCH(A523,资产清单!$A$6:$A$25,0)))&lt;&gt;1,"",INDEX(资产清单!$L$6:$L$25,MATCH(A523,资产清单!$A$6:$A$25,0)))),"不适用")</f>
        <v>不适用</v>
      </c>
      <c r="G523" s="17" t="str">
        <f>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IF(COUNTIFS(市场案例库!$A$6:$A$35,C523)&lt;&gt;1,"",IF(COUNT(INDEX(市场案例库!$G$6:$G$35,MATCH(C523,市场案例库!$A$6:$A$35,0)))&lt;&gt;1,"",INDEX(市场案例库!$G$6:$G$35,MATCH(C523,市场案例库!$A$6:$A$35,0)))),"不适用")</f>
        <v>不适用</v>
      </c>
      <c r="H523" s="19">
        <f>测算参数!$B$6</f>
        <v>100</v>
      </c>
      <c r="I523" s="19">
        <f>IF(OR(COUNTIFS(市场案例库!$A$6:$A$35,C523)&lt;&gt;1,AND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OR(COUNT(IF(COUNTIFS(资产清单!$A$6:$A$25,A523)&lt;&gt;1,"",IF(COUNT(INDEX(资产清单!$L$6:$L$25,MATCH(A523,资产清单!$A$6:$A$25,0)))&lt;&gt;1,"",INDEX(资产清单!$L$6:$L$25,MATCH(A523,资产清单!$A$6:$A$25,0)))),IF(COUNTIFS(市场案例库!$A$6:$A$35,C523)&lt;&gt;1,"",IF(COUNT(INDEX(市场案例库!$G$6:$G$35,MATCH(C523,市场案例库!$A$6:$A$35,0)))&lt;&gt;1,"",INDEX(市场案例库!$G$6:$G$35,MATCH(C523,市场案例库!$A$6:$A$35,0)))))&lt;&gt;2,IF(COUNTIFS(资产清单!$A$6:$A$25,A523)&lt;&gt;1,"",IF(COUNT(INDEX(资产清单!$L$6:$L$25,MATCH(A523,资产清单!$A$6:$A$25,0)))&lt;&gt;1,"",INDEX(资产清单!$L$6:$L$25,MATCH(A523,资产清单!$A$6:$A$25,0))))&lt;=0,IF(COUNTIFS(市场案例库!$A$6:$A$35,C523)&lt;&gt;1,"",IF(COUNT(INDEX(市场案例库!$G$6:$G$35,MATCH(C523,市场案例库!$A$6:$A$35,0)))&lt;&gt;1,"",INDEX(市场案例库!$G$6:$G$35,MATCH(C523,市场案例库!$A$6:$A$35,0))))&lt;=0))),"",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LOOKUP(IF(COUNTIFS(市场案例库!$A$6:$A$35,C523)&lt;&gt;1,"",IF(COUNT(INDEX(市场案例库!$G$6:$G$35,MATCH(C523,市场案例库!$A$6:$A$35,0)))&lt;&gt;1,"",INDEX(市场案例库!$G$6:$G$35,MATCH(C523,市场案例库!$A$6:$A$35,0))))/IF(COUNTIFS(资产清单!$A$6:$A$25,A523)&lt;&gt;1,"",IF(COUNT(INDEX(资产清单!$L$6:$L$25,MATCH(A523,资产清单!$A$6:$A$25,0)))&lt;&gt;1,"",INDEX(资产清单!$L$6:$L$25,MATCH(A523,资产清单!$A$6:$A$25,0)))),测算参数!$A$15:$A$21,测算参数!$C$15:$C$21),测算参数!$B$6))</f>
        <v>100</v>
      </c>
      <c r="J523" s="21">
        <f>IF(OR(C523&lt;&gt;N523,COUNT(H523:I523)&lt;&gt;2,H523&lt;=0,I523&lt;=0),"",IF(AND(IF(COUNTIFS(资产清单!$A$6:$A$25,A523)&lt;&gt;1,"",IF(INDEX(资产清单!$J$6:$J$25,MATCH(A523,资产清单!$A$6:$A$25,0))="","",INDEX(资产清单!$J$6:$J$25,MATCH(A523,资产清单!$A$6:$A$25,0))))="元/㎡/月",IF(COUNTIFS(资产清单!$A$6:$A$25,A523)&lt;&gt;1,"",IF(INDEX(资产清单!$H$6:$H$25,MATCH(A523,资产清单!$A$6:$A$25,0))="","",INDEX(资产清单!$H$6:$H$25,MATCH(A523,资产清单!$A$6:$A$25,0))))&lt;&gt;"场地"),H523/I523,H523/H523))</f>
        <v>1</v>
      </c>
      <c r="K523" s="16" t="s">
        <v>247</v>
      </c>
      <c r="L523" s="16" t="s">
        <v>220</v>
      </c>
      <c r="M523" s="16" t="str">
        <f t="shared" si="72"/>
        <v>模拟评分记录完整</v>
      </c>
      <c r="N523" s="8" t="s">
        <v>179</v>
      </c>
    </row>
    <row r="524" spans="1:14" ht="46.05" customHeight="1">
      <c r="A524" s="16" t="s">
        <v>83</v>
      </c>
      <c r="B524" s="16">
        <v>3</v>
      </c>
      <c r="C524" s="17" t="str">
        <f>三案例选用!D16</f>
        <v>SC-027</v>
      </c>
      <c r="D524" s="16" t="s">
        <v>221</v>
      </c>
      <c r="E524" s="16" t="str">
        <f t="shared" ref="E524:E529" si="73">IF(TRUE,"适用","不适用采用100/100")</f>
        <v>适用</v>
      </c>
      <c r="F524" s="17" t="str">
        <f>IF(TRUE,IF(COUNTIFS(资产清单!$A$6:$A$25,A524)&lt;&gt;1,"",IF(INDEX(资产清单!$I$6:$I$25,MATCH(A524,资产清单!$A$6:$A$25,0))="","",INDEX(资产清单!$I$6:$I$25,MATCH(A524,资产清单!$A$6:$A$25,0)))),"不适用")</f>
        <v>宿舍</v>
      </c>
      <c r="G524" s="17" t="str">
        <f>IF(TRUE,IF(COUNTIFS(市场案例库!$A$6:$A$35,C524)&lt;&gt;1,"",IF(INDEX(市场案例库!$O$6:$O$35,MATCH(C524,市场案例库!$A$6:$A$35,0))="","",INDEX(市场案例库!$O$6:$O$35,MATCH(C524,市场案例库!$A$6:$A$35,0)))),"不适用")</f>
        <v>宿舍</v>
      </c>
      <c r="H524" s="19">
        <f>测算参数!$B$6</f>
        <v>100</v>
      </c>
      <c r="I524" s="10">
        <v>100</v>
      </c>
      <c r="J524" s="20">
        <f t="shared" ref="J524:J529" si="74">IF(OR(C524&lt;&gt;N524,COUNT(H524:I524)&lt;&gt;2,H524&lt;=0,I524&lt;=0),"",IF(TRUE,H524/I524,H524/H524))</f>
        <v>1</v>
      </c>
      <c r="K524" s="16" t="s">
        <v>247</v>
      </c>
      <c r="L524" s="16" t="s">
        <v>215</v>
      </c>
      <c r="M524" s="16" t="str">
        <f t="shared" si="72"/>
        <v>模拟评分记录完整</v>
      </c>
      <c r="N524" s="8" t="s">
        <v>179</v>
      </c>
    </row>
    <row r="525" spans="1:14" ht="46.05" customHeight="1">
      <c r="A525" s="16" t="s">
        <v>83</v>
      </c>
      <c r="B525" s="16">
        <v>3</v>
      </c>
      <c r="C525" s="17" t="str">
        <f>三案例选用!D16</f>
        <v>SC-027</v>
      </c>
      <c r="D525" s="16" t="s">
        <v>222</v>
      </c>
      <c r="E525" s="16" t="str">
        <f t="shared" si="73"/>
        <v>适用</v>
      </c>
      <c r="F525" s="17" t="str">
        <f>IF(TRUE,IF(COUNTIFS(资产清单!$A$6:$A$25,A525)&lt;&gt;1,"",IF(INDEX(资产清单!$I$6:$I$25,MATCH(A525,资产清单!$A$6:$A$25,0))="","",INDEX(资产清单!$I$6:$I$25,MATCH(A525,资产清单!$A$6:$A$25,0)))),"不适用")</f>
        <v>宿舍</v>
      </c>
      <c r="G525" s="17" t="str">
        <f>IF(TRUE,IF(COUNTIFS(市场案例库!$A$6:$A$35,C525)&lt;&gt;1,"",IF(INDEX(市场案例库!$O$6:$O$35,MATCH(C525,市场案例库!$A$6:$A$35,0))="","",INDEX(市场案例库!$O$6:$O$35,MATCH(C525,市场案例库!$A$6:$A$35,0)))),"不适用")</f>
        <v>宿舍</v>
      </c>
      <c r="H525" s="19">
        <f>测算参数!$B$6</f>
        <v>100</v>
      </c>
      <c r="I525" s="10">
        <v>100</v>
      </c>
      <c r="J525" s="20">
        <f t="shared" si="74"/>
        <v>1</v>
      </c>
      <c r="K525" s="16" t="s">
        <v>247</v>
      </c>
      <c r="L525" s="16" t="s">
        <v>215</v>
      </c>
      <c r="M525" s="16" t="str">
        <f t="shared" si="72"/>
        <v>模拟评分记录完整</v>
      </c>
      <c r="N525" s="8" t="s">
        <v>179</v>
      </c>
    </row>
    <row r="526" spans="1:14" ht="46.05" customHeight="1">
      <c r="A526" s="16" t="s">
        <v>83</v>
      </c>
      <c r="B526" s="16">
        <v>3</v>
      </c>
      <c r="C526" s="17" t="str">
        <f>三案例选用!D16</f>
        <v>SC-027</v>
      </c>
      <c r="D526" s="16" t="s">
        <v>224</v>
      </c>
      <c r="E526" s="16" t="str">
        <f t="shared" si="73"/>
        <v>适用</v>
      </c>
      <c r="F526" s="17" t="str">
        <f>IF(TRUE,IF(COUNTIFS(资产清单!$A$6:$A$25,A526)&lt;&gt;1,"",IF(INDEX(资产清单!$I$6:$I$25,MATCH(A526,资产清单!$A$6:$A$25,0))="","",INDEX(资产清单!$I$6:$I$25,MATCH(A526,资产清单!$A$6:$A$25,0)))),"不适用")</f>
        <v>宿舍</v>
      </c>
      <c r="G526" s="17" t="str">
        <f>IF(TRUE,IF(COUNTIFS(市场案例库!$A$6:$A$35,C526)&lt;&gt;1,"",IF(INDEX(市场案例库!$O$6:$O$35,MATCH(C526,市场案例库!$A$6:$A$35,0))="","",INDEX(市场案例库!$O$6:$O$35,MATCH(C526,市场案例库!$A$6:$A$35,0)))),"不适用")</f>
        <v>宿舍</v>
      </c>
      <c r="H526" s="19">
        <f>测算参数!$B$6</f>
        <v>100</v>
      </c>
      <c r="I526" s="10">
        <v>100</v>
      </c>
      <c r="J526" s="20">
        <f t="shared" si="74"/>
        <v>1</v>
      </c>
      <c r="K526" s="16" t="s">
        <v>247</v>
      </c>
      <c r="L526" s="16" t="s">
        <v>215</v>
      </c>
      <c r="M526" s="16" t="str">
        <f t="shared" si="72"/>
        <v>模拟评分记录完整</v>
      </c>
      <c r="N526" s="8" t="s">
        <v>179</v>
      </c>
    </row>
    <row r="527" spans="1:14" ht="46.05" customHeight="1">
      <c r="A527" s="16" t="s">
        <v>83</v>
      </c>
      <c r="B527" s="16">
        <v>3</v>
      </c>
      <c r="C527" s="17" t="str">
        <f>三案例选用!D16</f>
        <v>SC-027</v>
      </c>
      <c r="D527" s="16" t="s">
        <v>225</v>
      </c>
      <c r="E527" s="16" t="str">
        <f t="shared" si="73"/>
        <v>适用</v>
      </c>
      <c r="F527" s="17" t="str">
        <f>IF(TRUE,IF(COUNTIFS(资产清单!$A$6:$A$25,A527)&lt;&gt;1,"",IF(INDEX(资产清单!$I$6:$I$25,MATCH(A527,资产清单!$A$6:$A$25,0))="","",INDEX(资产清单!$I$6:$I$25,MATCH(A527,资产清单!$A$6:$A$25,0)))),"不适用")</f>
        <v>宿舍</v>
      </c>
      <c r="G527" s="17" t="str">
        <f>IF(TRUE,IF(COUNTIFS(市场案例库!$A$6:$A$35,C527)&lt;&gt;1,"",IF(INDEX(市场案例库!$O$6:$O$35,MATCH(C527,市场案例库!$A$6:$A$35,0))="","",INDEX(市场案例库!$O$6:$O$35,MATCH(C527,市场案例库!$A$6:$A$35,0)))),"不适用")</f>
        <v>宿舍</v>
      </c>
      <c r="H527" s="19">
        <f>测算参数!$B$6</f>
        <v>100</v>
      </c>
      <c r="I527" s="10">
        <v>100</v>
      </c>
      <c r="J527" s="20">
        <f t="shared" si="74"/>
        <v>1</v>
      </c>
      <c r="K527" s="16" t="s">
        <v>247</v>
      </c>
      <c r="L527" s="16" t="s">
        <v>215</v>
      </c>
      <c r="M527" s="16" t="str">
        <f t="shared" si="72"/>
        <v>模拟评分记录完整</v>
      </c>
      <c r="N527" s="8" t="s">
        <v>179</v>
      </c>
    </row>
    <row r="528" spans="1:14" ht="46.05" customHeight="1">
      <c r="A528" s="16" t="s">
        <v>83</v>
      </c>
      <c r="B528" s="16">
        <v>3</v>
      </c>
      <c r="C528" s="17" t="str">
        <f>三案例选用!D16</f>
        <v>SC-027</v>
      </c>
      <c r="D528" s="16" t="s">
        <v>226</v>
      </c>
      <c r="E528" s="16" t="str">
        <f t="shared" si="73"/>
        <v>适用</v>
      </c>
      <c r="F528" s="17" t="str">
        <f>IF(TRUE,IF(COUNTIFS(资产清单!$A$6:$A$25,A528)&lt;&gt;1,"",IF(INDEX(资产清单!$I$6:$I$25,MATCH(A528,资产清单!$A$6:$A$25,0))="","",INDEX(资产清单!$I$6:$I$25,MATCH(A528,资产清单!$A$6:$A$25,0)))),"不适用")</f>
        <v>宿舍</v>
      </c>
      <c r="G528" s="17" t="str">
        <f>IF(TRUE,IF(COUNTIFS(市场案例库!$A$6:$A$35,C528)&lt;&gt;1,"",IF(INDEX(市场案例库!$O$6:$O$35,MATCH(C528,市场案例库!$A$6:$A$35,0))="","",INDEX(市场案例库!$O$6:$O$35,MATCH(C528,市场案例库!$A$6:$A$35,0)))),"不适用")</f>
        <v>宿舍</v>
      </c>
      <c r="H528" s="19">
        <f>测算参数!$B$6</f>
        <v>100</v>
      </c>
      <c r="I528" s="10">
        <v>100</v>
      </c>
      <c r="J528" s="20">
        <f t="shared" si="74"/>
        <v>1</v>
      </c>
      <c r="K528" s="16" t="s">
        <v>247</v>
      </c>
      <c r="L528" s="16" t="s">
        <v>215</v>
      </c>
      <c r="M528" s="16" t="str">
        <f t="shared" si="72"/>
        <v>模拟评分记录完整</v>
      </c>
      <c r="N528" s="8" t="s">
        <v>179</v>
      </c>
    </row>
    <row r="529" spans="1:14" ht="46.05" customHeight="1">
      <c r="A529" s="16" t="s">
        <v>83</v>
      </c>
      <c r="B529" s="16">
        <v>3</v>
      </c>
      <c r="C529" s="17" t="str">
        <f>三案例选用!D16</f>
        <v>SC-027</v>
      </c>
      <c r="D529" s="16" t="s">
        <v>227</v>
      </c>
      <c r="E529" s="16" t="str">
        <f t="shared" si="73"/>
        <v>适用</v>
      </c>
      <c r="F529" s="17" t="str">
        <f>IF(TRUE,IF(COUNTIFS(资产清单!$A$6:$A$25,A529)&lt;&gt;1,"",IF(INDEX(资产清单!$I$6:$I$25,MATCH(A529,资产清单!$A$6:$A$25,0))="","",INDEX(资产清单!$I$6:$I$25,MATCH(A529,资产清单!$A$6:$A$25,0)))),"不适用")</f>
        <v>宿舍</v>
      </c>
      <c r="G529" s="17" t="str">
        <f>IF(TRUE,IF(COUNTIFS(市场案例库!$A$6:$A$35,C529)&lt;&gt;1,"",IF(INDEX(市场案例库!$O$6:$O$35,MATCH(C529,市场案例库!$A$6:$A$35,0))="","",INDEX(市场案例库!$O$6:$O$35,MATCH(C529,市场案例库!$A$6:$A$35,0)))),"不适用")</f>
        <v>宿舍</v>
      </c>
      <c r="H529" s="19">
        <f>测算参数!$B$6</f>
        <v>100</v>
      </c>
      <c r="I529" s="10">
        <v>100</v>
      </c>
      <c r="J529" s="20">
        <f t="shared" si="74"/>
        <v>1</v>
      </c>
      <c r="K529" s="16" t="s">
        <v>247</v>
      </c>
      <c r="L529" s="16" t="s">
        <v>215</v>
      </c>
      <c r="M529" s="16" t="str">
        <f t="shared" si="72"/>
        <v>模拟评分记录完整</v>
      </c>
      <c r="N529" s="8" t="s">
        <v>179</v>
      </c>
    </row>
    <row r="530" spans="1:14" ht="46.05" customHeight="1">
      <c r="A530" s="16" t="s">
        <v>83</v>
      </c>
      <c r="B530" s="16">
        <v>3</v>
      </c>
      <c r="C530" s="17" t="str">
        <f>三案例选用!D16</f>
        <v>SC-027</v>
      </c>
      <c r="D530" s="16" t="s">
        <v>228</v>
      </c>
      <c r="E530" s="17" t="str">
        <f>IF(AND(IF(COUNTIFS(资产清单!$A$6:$A$25,A530)&lt;&gt;1,"",IF(INDEX(资产清单!$H$6:$H$25,MATCH(A530,资产清单!$A$6:$A$25,0))="","",INDEX(资产清单!$H$6:$H$25,MATCH(A530,资产清单!$A$6:$A$25,0))))&lt;&gt;"场地",IF(COUNTIFS(资产清单!$A$6:$A$25,A530)&lt;&gt;1,"",IF(INDEX(资产清单!$H$6:$H$25,MATCH(A530,资产清单!$A$6:$A$25,0))="","",INDEX(资产清单!$H$6:$H$25,MATCH(A530,资产清单!$A$6:$A$25,0))))&lt;&gt;"车位",IF(COUNTIFS(资产清单!$A$6:$A$25,A530)&lt;&gt;1,"",IF(INDEX(资产清单!$H$6:$H$25,MATCH(A530,资产清单!$A$6:$A$25,0))="","",INDEX(资产清单!$H$6:$H$25,MATCH(A530,资产清单!$A$6:$A$25,0))))&lt;&gt;"通信基站"),"适用","不适用采用100/100")</f>
        <v>适用</v>
      </c>
      <c r="F530" s="17" t="str">
        <f>IF(AND(IF(COUNTIFS(资产清单!$A$6:$A$25,A530)&lt;&gt;1,"",IF(INDEX(资产清单!$H$6:$H$25,MATCH(A530,资产清单!$A$6:$A$25,0))="","",INDEX(资产清单!$H$6:$H$25,MATCH(A530,资产清单!$A$6:$A$25,0))))&lt;&gt;"场地",IF(COUNTIFS(资产清单!$A$6:$A$25,A530)&lt;&gt;1,"",IF(INDEX(资产清单!$H$6:$H$25,MATCH(A530,资产清单!$A$6:$A$25,0))="","",INDEX(资产清单!$H$6:$H$25,MATCH(A530,资产清单!$A$6:$A$25,0))))&lt;&gt;"车位",IF(COUNTIFS(资产清单!$A$6:$A$25,A530)&lt;&gt;1,"",IF(INDEX(资产清单!$H$6:$H$25,MATCH(A530,资产清单!$A$6:$A$25,0))="","",INDEX(资产清单!$H$6:$H$25,MATCH(A530,资产清单!$A$6:$A$25,0))))&lt;&gt;"通信基站"),IF(COUNTIFS(资产清单!$A$6:$A$25,A530)&lt;&gt;1,"",IF(INDEX(资产清单!$I$6:$I$25,MATCH(A530,资产清单!$A$6:$A$25,0))="","",INDEX(资产清单!$I$6:$I$25,MATCH(A530,资产清单!$A$6:$A$25,0)))),"不适用")</f>
        <v>宿舍</v>
      </c>
      <c r="G530" s="17" t="str">
        <f>IF(AND(IF(COUNTIFS(资产清单!$A$6:$A$25,A530)&lt;&gt;1,"",IF(INDEX(资产清单!$H$6:$H$25,MATCH(A530,资产清单!$A$6:$A$25,0))="","",INDEX(资产清单!$H$6:$H$25,MATCH(A530,资产清单!$A$6:$A$25,0))))&lt;&gt;"场地",IF(COUNTIFS(资产清单!$A$6:$A$25,A530)&lt;&gt;1,"",IF(INDEX(资产清单!$H$6:$H$25,MATCH(A530,资产清单!$A$6:$A$25,0))="","",INDEX(资产清单!$H$6:$H$25,MATCH(A530,资产清单!$A$6:$A$25,0))))&lt;&gt;"车位",IF(COUNTIFS(资产清单!$A$6:$A$25,A530)&lt;&gt;1,"",IF(INDEX(资产清单!$H$6:$H$25,MATCH(A530,资产清单!$A$6:$A$25,0))="","",INDEX(资产清单!$H$6:$H$25,MATCH(A530,资产清单!$A$6:$A$25,0))))&lt;&gt;"通信基站"),IF(COUNTIFS(市场案例库!$A$6:$A$35,C530)&lt;&gt;1,"",IF(INDEX(市场案例库!$O$6:$O$35,MATCH(C530,市场案例库!$A$6:$A$35,0))="","",INDEX(市场案例库!$O$6:$O$35,MATCH(C530,市场案例库!$A$6:$A$35,0)))),"不适用")</f>
        <v>宿舍</v>
      </c>
      <c r="H530" s="19">
        <f>测算参数!$B$6</f>
        <v>100</v>
      </c>
      <c r="I530" s="10">
        <v>100</v>
      </c>
      <c r="J530" s="21">
        <f>IF(OR(C530&lt;&gt;N530,COUNT(H530:I530)&lt;&gt;2,H530&lt;=0,I530&lt;=0),"",IF(AND(IF(COUNTIFS(资产清单!$A$6:$A$25,A530)&lt;&gt;1,"",IF(INDEX(资产清单!$H$6:$H$25,MATCH(A530,资产清单!$A$6:$A$25,0))="","",INDEX(资产清单!$H$6:$H$25,MATCH(A530,资产清单!$A$6:$A$25,0))))&lt;&gt;"场地",IF(COUNTIFS(资产清单!$A$6:$A$25,A530)&lt;&gt;1,"",IF(INDEX(资产清单!$H$6:$H$25,MATCH(A530,资产清单!$A$6:$A$25,0))="","",INDEX(资产清单!$H$6:$H$25,MATCH(A530,资产清单!$A$6:$A$25,0))))&lt;&gt;"车位",IF(COUNTIFS(资产清单!$A$6:$A$25,A530)&lt;&gt;1,"",IF(INDEX(资产清单!$H$6:$H$25,MATCH(A530,资产清单!$A$6:$A$25,0))="","",INDEX(资产清单!$H$6:$H$25,MATCH(A530,资产清单!$A$6:$A$25,0))))&lt;&gt;"通信基站"),H530/I530,H530/H530))</f>
        <v>1</v>
      </c>
      <c r="K530" s="16" t="s">
        <v>247</v>
      </c>
      <c r="L530" s="16" t="s">
        <v>215</v>
      </c>
      <c r="M530" s="16" t="str">
        <f t="shared" si="72"/>
        <v>模拟评分记录完整</v>
      </c>
      <c r="N530" s="8" t="s">
        <v>179</v>
      </c>
    </row>
    <row r="531" spans="1:14" ht="46.05" customHeight="1">
      <c r="A531" s="16" t="s">
        <v>83</v>
      </c>
      <c r="B531" s="16">
        <v>3</v>
      </c>
      <c r="C531" s="17" t="str">
        <f>三案例选用!D16</f>
        <v>SC-027</v>
      </c>
      <c r="D531" s="16" t="s">
        <v>229</v>
      </c>
      <c r="E531" s="17" t="str">
        <f>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"适用","不适用采用100/100")</f>
        <v>适用</v>
      </c>
      <c r="F531" s="17">
        <f>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IF(COUNTIFS(资产清单!$A$6:$A$25,A531)&lt;&gt;1,"",IF(COUNT(INDEX(资产清单!$N$6:$N$25,MATCH(A531,资产清单!$A$6:$A$25,0)))&lt;&gt;1,"",INDEX(资产清单!$N$6:$N$25,MATCH(A531,资产清单!$A$6:$A$25,0)))),"不适用")</f>
        <v>2</v>
      </c>
      <c r="G531" s="17">
        <f>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IF(COUNTIFS(市场案例库!$A$6:$A$35,C531)&lt;&gt;1,"",IF(COUNT(INDEX(市场案例库!$I$6:$I$35,MATCH(C531,市场案例库!$A$6:$A$35,0)))&lt;&gt;1,"",INDEX(市场案例库!$I$6:$I$35,MATCH(C531,市场案例库!$A$6:$A$35,0)))),"不适用")</f>
        <v>2</v>
      </c>
      <c r="H531" s="19">
        <f>测算参数!$B$6</f>
        <v>100</v>
      </c>
      <c r="I531" s="19">
        <f>IF(OR(COUNTIFS(市场案例库!$A$6:$A$35,C531)&lt;&gt;1,AND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OR(COUNT(IF(COUNTIFS(资产清单!$A$6:$A$25,A531)&lt;&gt;1,"",IF(COUNT(INDEX(资产清单!$N$6:$N$25,MATCH(A531,资产清单!$A$6:$A$25,0)))&lt;&gt;1,"",INDEX(资产清单!$N$6:$N$25,MATCH(A531,资产清单!$A$6:$A$25,0)))),IF(COUNTIFS(市场案例库!$A$6:$A$35,C531)&lt;&gt;1,"",IF(COUNT(INDEX(市场案例库!$I$6:$I$35,MATCH(C531,市场案例库!$A$6:$A$35,0)))&lt;&gt;1,"",INDEX(市场案例库!$I$6:$I$35,MATCH(C531,市场案例库!$A$6:$A$35,0)))))&lt;&gt;2,IF(COUNTIFS(资产清单!$A$6:$A$25,A531)&lt;&gt;1,"",IF(COUNT(INDEX(资产清单!$N$6:$N$25,MATCH(A531,资产清单!$A$6:$A$25,0)))&lt;&gt;1,"",INDEX(资产清单!$N$6:$N$25,MATCH(A531,资产清单!$A$6:$A$25,0))))&lt;1,IF(COUNTIFS(资产清单!$A$6:$A$25,A531)&lt;&gt;1,"",IF(COUNT(INDEX(资产清单!$N$6:$N$25,MATCH(A531,资产清单!$A$6:$A$25,0)))&lt;&gt;1,"",INDEX(资产清单!$N$6:$N$25,MATCH(A531,资产清单!$A$6:$A$25,0))))&gt;4,IF(COUNTIFS(市场案例库!$A$6:$A$35,C531)&lt;&gt;1,"",IF(COUNT(INDEX(市场案例库!$I$6:$I$35,MATCH(C531,市场案例库!$A$6:$A$35,0)))&lt;&gt;1,"",INDEX(市场案例库!$I$6:$I$35,MATCH(C531,市场案例库!$A$6:$A$35,0))))&lt;1,IF(COUNTIFS(市场案例库!$A$6:$A$35,C531)&lt;&gt;1,"",IF(COUNT(INDEX(市场案例库!$I$6:$I$35,MATCH(C531,市场案例库!$A$6:$A$35,0)))&lt;&gt;1,"",INDEX(市场案例库!$I$6:$I$35,MATCH(C531,市场案例库!$A$6:$A$35,0))))&gt;4))),"",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INDEX(测算参数!$B$35:$B$41,MATCH(IF(COUNTIFS(市场案例库!$A$6:$A$35,C531)&lt;&gt;1,"",IF(COUNT(INDEX(市场案例库!$I$6:$I$35,MATCH(C531,市场案例库!$A$6:$A$35,0)))&lt;&gt;1,"",INDEX(市场案例库!$I$6:$I$35,MATCH(C531,市场案例库!$A$6:$A$35,0))))-IF(COUNTIFS(资产清单!$A$6:$A$25,A531)&lt;&gt;1,"",IF(COUNT(INDEX(资产清单!$N$6:$N$25,MATCH(A531,资产清单!$A$6:$A$25,0)))&lt;&gt;1,"",INDEX(资产清单!$N$6:$N$25,MATCH(A531,资产清单!$A$6:$A$25,0)))),测算参数!$A$35:$A$41,0)),测算参数!$B$6))</f>
        <v>100</v>
      </c>
      <c r="J531" s="21">
        <f>IF(OR(C531&lt;&gt;N531,COUNT(H531:I531)&lt;&gt;2,H531&lt;=0,I531&lt;=0),"",IF(AND(IF(COUNTIFS(资产清单!$A$6:$A$25,A531)&lt;&gt;1,"",IF(INDEX(资产清单!$H$6:$H$25,MATCH(A531,资产清单!$A$6:$A$25,0))="","",INDEX(资产清单!$H$6:$H$25,MATCH(A531,资产清单!$A$6:$A$25,0))))&lt;&gt;"场地",IF(COUNTIFS(资产清单!$A$6:$A$25,A531)&lt;&gt;1,"",IF(INDEX(资产清单!$H$6:$H$25,MATCH(A531,资产清单!$A$6:$A$25,0))="","",INDEX(资产清单!$H$6:$H$25,MATCH(A531,资产清单!$A$6:$A$25,0))))&lt;&gt;"车位",IF(COUNTIFS(资产清单!$A$6:$A$25,A531)&lt;&gt;1,"",IF(INDEX(资产清单!$H$6:$H$25,MATCH(A531,资产清单!$A$6:$A$25,0))="","",INDEX(资产清单!$H$6:$H$25,MATCH(A531,资产清单!$A$6:$A$25,0))))&lt;&gt;"通信基站"),H531/I531,H531/H531))</f>
        <v>1</v>
      </c>
      <c r="K531" s="16" t="s">
        <v>247</v>
      </c>
      <c r="L531" s="16" t="s">
        <v>230</v>
      </c>
      <c r="M531" s="16" t="str">
        <f t="shared" si="72"/>
        <v>模拟评分记录完整</v>
      </c>
      <c r="N531" s="8" t="s">
        <v>179</v>
      </c>
    </row>
    <row r="532" spans="1:14" ht="46.05" customHeight="1">
      <c r="A532" s="16" t="s">
        <v>83</v>
      </c>
      <c r="B532" s="16">
        <v>3</v>
      </c>
      <c r="C532" s="17" t="str">
        <f>三案例选用!D16</f>
        <v>SC-027</v>
      </c>
      <c r="D532" s="16" t="s">
        <v>231</v>
      </c>
      <c r="E532" s="17" t="str">
        <f>IF(AND(IF(COUNTIFS(资产清单!$A$6:$A$25,A532)&lt;&gt;1,"",IF(INDEX(资产清单!$H$6:$H$25,MATCH(A532,资产清单!$A$6:$A$25,0))="","",INDEX(资产清单!$H$6:$H$25,MATCH(A532,资产清单!$A$6:$A$25,0))))&lt;&gt;"场地",IF(COUNTIFS(资产清单!$A$6:$A$25,A532)&lt;&gt;1,"",IF(INDEX(资产清单!$H$6:$H$25,MATCH(A532,资产清单!$A$6:$A$25,0))="","",INDEX(资产清单!$H$6:$H$25,MATCH(A532,资产清单!$A$6:$A$25,0))))&lt;&gt;"车位",IF(COUNTIFS(资产清单!$A$6:$A$25,A532)&lt;&gt;1,"",IF(INDEX(资产清单!$H$6:$H$25,MATCH(A532,资产清单!$A$6:$A$25,0))="","",INDEX(资产清单!$H$6:$H$25,MATCH(A532,资产清单!$A$6:$A$25,0))))&lt;&gt;"通信基站"),"适用","不适用采用100/100")</f>
        <v>适用</v>
      </c>
      <c r="F532" s="17" t="str">
        <f>IF(AND(IF(COUNTIFS(资产清单!$A$6:$A$25,A532)&lt;&gt;1,"",IF(INDEX(资产清单!$H$6:$H$25,MATCH(A532,资产清单!$A$6:$A$25,0))="","",INDEX(资产清单!$H$6:$H$25,MATCH(A532,资产清单!$A$6:$A$25,0))))&lt;&gt;"场地",IF(COUNTIFS(资产清单!$A$6:$A$25,A532)&lt;&gt;1,"",IF(INDEX(资产清单!$H$6:$H$25,MATCH(A532,资产清单!$A$6:$A$25,0))="","",INDEX(资产清单!$H$6:$H$25,MATCH(A532,资产清单!$A$6:$A$25,0))))&lt;&gt;"车位",IF(COUNTIFS(资产清单!$A$6:$A$25,A532)&lt;&gt;1,"",IF(INDEX(资产清单!$H$6:$H$25,MATCH(A532,资产清单!$A$6:$A$25,0))="","",INDEX(资产清单!$H$6:$H$25,MATCH(A532,资产清单!$A$6:$A$25,0))))&lt;&gt;"通信基站"),IF(COUNTIFS(资产清单!$A$6:$A$25,A532)&lt;&gt;1,"",IF(INDEX(资产清单!$I$6:$I$25,MATCH(A532,资产清单!$A$6:$A$25,0))="","",INDEX(资产清单!$I$6:$I$25,MATCH(A532,资产清单!$A$6:$A$25,0)))),"不适用")</f>
        <v>宿舍</v>
      </c>
      <c r="G532" s="17" t="str">
        <f>IF(AND(IF(COUNTIFS(资产清单!$A$6:$A$25,A532)&lt;&gt;1,"",IF(INDEX(资产清单!$H$6:$H$25,MATCH(A532,资产清单!$A$6:$A$25,0))="","",INDEX(资产清单!$H$6:$H$25,MATCH(A532,资产清单!$A$6:$A$25,0))))&lt;&gt;"场地",IF(COUNTIFS(资产清单!$A$6:$A$25,A532)&lt;&gt;1,"",IF(INDEX(资产清单!$H$6:$H$25,MATCH(A532,资产清单!$A$6:$A$25,0))="","",INDEX(资产清单!$H$6:$H$25,MATCH(A532,资产清单!$A$6:$A$25,0))))&lt;&gt;"车位",IF(COUNTIFS(资产清单!$A$6:$A$25,A532)&lt;&gt;1,"",IF(INDEX(资产清单!$H$6:$H$25,MATCH(A532,资产清单!$A$6:$A$25,0))="","",INDEX(资产清单!$H$6:$H$25,MATCH(A532,资产清单!$A$6:$A$25,0))))&lt;&gt;"通信基站"),IF(COUNTIFS(市场案例库!$A$6:$A$35,C532)&lt;&gt;1,"",IF(INDEX(市场案例库!$O$6:$O$35,MATCH(C532,市场案例库!$A$6:$A$35,0))="","",INDEX(市场案例库!$O$6:$O$35,MATCH(C532,市场案例库!$A$6:$A$35,0)))),"不适用")</f>
        <v>宿舍</v>
      </c>
      <c r="H532" s="19">
        <f>测算参数!$B$6</f>
        <v>100</v>
      </c>
      <c r="I532" s="10">
        <v>100</v>
      </c>
      <c r="J532" s="21">
        <f>IF(OR(C532&lt;&gt;N532,COUNT(H532:I532)&lt;&gt;2,H532&lt;=0,I532&lt;=0),"",IF(AND(IF(COUNTIFS(资产清单!$A$6:$A$25,A532)&lt;&gt;1,"",IF(INDEX(资产清单!$H$6:$H$25,MATCH(A532,资产清单!$A$6:$A$25,0))="","",INDEX(资产清单!$H$6:$H$25,MATCH(A532,资产清单!$A$6:$A$25,0))))&lt;&gt;"场地",IF(COUNTIFS(资产清单!$A$6:$A$25,A532)&lt;&gt;1,"",IF(INDEX(资产清单!$H$6:$H$25,MATCH(A532,资产清单!$A$6:$A$25,0))="","",INDEX(资产清单!$H$6:$H$25,MATCH(A532,资产清单!$A$6:$A$25,0))))&lt;&gt;"车位",IF(COUNTIFS(资产清单!$A$6:$A$25,A532)&lt;&gt;1,"",IF(INDEX(资产清单!$H$6:$H$25,MATCH(A532,资产清单!$A$6:$A$25,0))="","",INDEX(资产清单!$H$6:$H$25,MATCH(A532,资产清单!$A$6:$A$25,0))))&lt;&gt;"通信基站"),H532/I532,H532/H532))</f>
        <v>1</v>
      </c>
      <c r="K532" s="16" t="s">
        <v>247</v>
      </c>
      <c r="L532" s="16" t="s">
        <v>215</v>
      </c>
      <c r="M532" s="16" t="str">
        <f t="shared" si="72"/>
        <v>模拟评分记录完整</v>
      </c>
      <c r="N532" s="8" t="s">
        <v>179</v>
      </c>
    </row>
    <row r="533" spans="1:14" ht="46.05" customHeight="1">
      <c r="A533" s="16" t="s">
        <v>83</v>
      </c>
      <c r="B533" s="16">
        <v>3</v>
      </c>
      <c r="C533" s="17" t="str">
        <f>三案例选用!D16</f>
        <v>SC-027</v>
      </c>
      <c r="D533" s="16" t="s">
        <v>232</v>
      </c>
      <c r="E533" s="16" t="str">
        <f>IF(TRUE,"适用","不适用采用100/100")</f>
        <v>适用</v>
      </c>
      <c r="F533" s="17" t="str">
        <f>IF(TRUE,IF(COUNTIFS(资产清单!$A$6:$A$25,A533)&lt;&gt;1,"",IF(INDEX(资产清单!$I$6:$I$25,MATCH(A533,资产清单!$A$6:$A$25,0))="","",INDEX(资产清单!$I$6:$I$25,MATCH(A533,资产清单!$A$6:$A$25,0)))),"不适用")</f>
        <v>宿舍</v>
      </c>
      <c r="G533" s="17" t="str">
        <f>IF(TRUE,IF(COUNTIFS(市场案例库!$A$6:$A$35,C533)&lt;&gt;1,"",IF(INDEX(市场案例库!$O$6:$O$35,MATCH(C533,市场案例库!$A$6:$A$35,0))="","",INDEX(市场案例库!$O$6:$O$35,MATCH(C533,市场案例库!$A$6:$A$35,0)))),"不适用")</f>
        <v>宿舍</v>
      </c>
      <c r="H533" s="19">
        <f>测算参数!$B$6</f>
        <v>100</v>
      </c>
      <c r="I533" s="10">
        <v>100</v>
      </c>
      <c r="J533" s="20">
        <f>IF(OR(C533&lt;&gt;N533,COUNT(H533:I533)&lt;&gt;2,H533&lt;=0,I533&lt;=0),"",IF(TRUE,H533/I533,H533/H533))</f>
        <v>1</v>
      </c>
      <c r="K533" s="16" t="s">
        <v>247</v>
      </c>
      <c r="L533" s="16" t="s">
        <v>215</v>
      </c>
      <c r="M533" s="16" t="str">
        <f t="shared" si="72"/>
        <v>模拟评分记录完整</v>
      </c>
      <c r="N533" s="8" t="s">
        <v>179</v>
      </c>
    </row>
    <row r="534" spans="1:14" ht="46.05" customHeight="1">
      <c r="A534" s="16" t="s">
        <v>84</v>
      </c>
      <c r="B534" s="16">
        <v>1</v>
      </c>
      <c r="C534" s="17" t="str">
        <f>三案例选用!B17</f>
        <v>SC-028</v>
      </c>
      <c r="D534" s="16" t="s">
        <v>209</v>
      </c>
      <c r="E534" s="16" t="str">
        <f>IF(TRUE,"适用","不适用采用100/100")</f>
        <v>适用</v>
      </c>
      <c r="F534" s="17" t="str">
        <f>IF(TRUE,IF(COUNTIFS(资产清单!$A$6:$A$25,A534)&lt;&gt;1,"",IF(INDEX(资产清单!$I$6:$I$25,MATCH(A534,资产清单!$A$6:$A$25,0))="","",INDEX(资产清单!$I$6:$I$25,MATCH(A534,资产清单!$A$6:$A$25,0)))),"不适用")</f>
        <v>屋顶点位</v>
      </c>
      <c r="G534" s="17" t="str">
        <f>IF(TRUE,IF(COUNTIFS(市场案例库!$A$6:$A$35,C534)&lt;&gt;1,"",IF(INDEX(市场案例库!$O$6:$O$35,MATCH(C534,市场案例库!$A$6:$A$35,0))="","",INDEX(市场案例库!$O$6:$O$35,MATCH(C534,市场案例库!$A$6:$A$35,0)))),"不适用")</f>
        <v>屋顶点位</v>
      </c>
      <c r="H534" s="19">
        <f>测算参数!$B$6</f>
        <v>100</v>
      </c>
      <c r="I534" s="19">
        <f>IF(OR(COUNTIFS(市场案例库!$A$6:$A$35,C534)&lt;&gt;1),"",IF(COUNTIFS(市场案例库!$A$6:$A$35,C534)&lt;&gt;1,"",IF(COUNT(INDEX(市场案例库!$M$6:$M$35,MATCH(C534,市场案例库!$A$6:$A$35,0)))&lt;&gt;1,"",INDEX(市场案例库!$M$6:$M$35,MATCH(C534,市场案例库!$A$6:$A$35,0)))))</f>
        <v>102</v>
      </c>
      <c r="J534" s="20">
        <f>IF(OR(C534&lt;&gt;N534,COUNT(H534:I534)&lt;&gt;2,H534&lt;=0,I534&lt;=0),"",IF(TRUE,H534/I534,H534/H534))</f>
        <v>0.98039215686274506</v>
      </c>
      <c r="K534" s="16" t="s">
        <v>248</v>
      </c>
      <c r="L534" s="16" t="s">
        <v>211</v>
      </c>
      <c r="M534" s="16" t="str">
        <f t="shared" si="72"/>
        <v>模拟评分记录完整</v>
      </c>
      <c r="N534" s="8" t="s">
        <v>180</v>
      </c>
    </row>
    <row r="535" spans="1:14" ht="46.05" customHeight="1">
      <c r="A535" s="16" t="s">
        <v>84</v>
      </c>
      <c r="B535" s="16">
        <v>1</v>
      </c>
      <c r="C535" s="17" t="str">
        <f>三案例选用!B17</f>
        <v>SC-028</v>
      </c>
      <c r="D535" s="16" t="s">
        <v>212</v>
      </c>
      <c r="E535" s="16" t="str">
        <f>IF(TRUE,"适用","不适用采用100/100")</f>
        <v>适用</v>
      </c>
      <c r="F535" s="17" t="str">
        <f>IF(TRUE,IF(COUNTIFS(资产清单!$A$6:$A$25,A535)&lt;&gt;1,"",IF(INDEX(资产清单!$I$6:$I$25,MATCH(A535,资产清单!$A$6:$A$25,0))="","",INDEX(资产清单!$I$6:$I$25,MATCH(A535,资产清单!$A$6:$A$25,0)))),"不适用")</f>
        <v>屋顶点位</v>
      </c>
      <c r="G535" s="17" t="str">
        <f>IF(TRUE,IF(COUNTIFS(市场案例库!$A$6:$A$35,C535)&lt;&gt;1,"",IF(INDEX(市场案例库!$O$6:$O$35,MATCH(C535,市场案例库!$A$6:$A$35,0))="","",INDEX(市场案例库!$O$6:$O$35,MATCH(C535,市场案例库!$A$6:$A$35,0)))),"不适用")</f>
        <v>屋顶点位</v>
      </c>
      <c r="H535" s="19">
        <f>测算参数!$B$6</f>
        <v>100</v>
      </c>
      <c r="I535" s="19">
        <f>IF(OR(COUNTIFS(市场案例库!$A$6:$A$35,C535)&lt;&gt;1),"",IF(COUNTIFS(市场案例库!$A$6:$A$35,C535)&lt;&gt;1,"",IF(COUNT(INDEX(市场案例库!$N$6:$N$35,MATCH(C535,市场案例库!$A$6:$A$35,0)))&lt;&gt;1,"",INDEX(市场案例库!$N$6:$N$35,MATCH(C535,市场案例库!$A$6:$A$35,0)))))</f>
        <v>100</v>
      </c>
      <c r="J535" s="20">
        <f>IF(OR(C535&lt;&gt;N535,COUNT(H535:I535)&lt;&gt;2,H535&lt;=0,I535&lt;=0),"",IF(TRUE,H535/I535,H535/H535))</f>
        <v>1</v>
      </c>
      <c r="K535" s="16" t="s">
        <v>248</v>
      </c>
      <c r="L535" s="16" t="s">
        <v>213</v>
      </c>
      <c r="M535" s="16" t="str">
        <f t="shared" si="72"/>
        <v>模拟评分记录完整</v>
      </c>
      <c r="N535" s="8" t="s">
        <v>180</v>
      </c>
    </row>
    <row r="536" spans="1:14" ht="46.05" customHeight="1">
      <c r="A536" s="16" t="s">
        <v>84</v>
      </c>
      <c r="B536" s="16">
        <v>1</v>
      </c>
      <c r="C536" s="17" t="str">
        <f>三案例选用!B17</f>
        <v>SC-028</v>
      </c>
      <c r="D536" s="16" t="s">
        <v>214</v>
      </c>
      <c r="E536" s="16" t="str">
        <f>IF(TRUE,"适用","不适用采用100/100")</f>
        <v>适用</v>
      </c>
      <c r="F536" s="17" t="str">
        <f>IF(TRUE,IF(COUNTIFS(资产清单!$A$6:$A$25,A536)&lt;&gt;1,"",IF(INDEX(资产清单!$I$6:$I$25,MATCH(A536,资产清单!$A$6:$A$25,0))="","",INDEX(资产清单!$I$6:$I$25,MATCH(A536,资产清单!$A$6:$A$25,0)))),"不适用")</f>
        <v>屋顶点位</v>
      </c>
      <c r="G536" s="17" t="str">
        <f>IF(TRUE,IF(COUNTIFS(市场案例库!$A$6:$A$35,C536)&lt;&gt;1,"",IF(INDEX(市场案例库!$O$6:$O$35,MATCH(C536,市场案例库!$A$6:$A$35,0))="","",INDEX(市场案例库!$O$6:$O$35,MATCH(C536,市场案例库!$A$6:$A$35,0)))),"不适用")</f>
        <v>屋顶点位</v>
      </c>
      <c r="H536" s="19">
        <f>测算参数!$B$6</f>
        <v>100</v>
      </c>
      <c r="I536" s="10">
        <v>100</v>
      </c>
      <c r="J536" s="20">
        <f>IF(OR(C536&lt;&gt;N536,COUNT(H536:I536)&lt;&gt;2,H536&lt;=0,I536&lt;=0),"",IF(TRUE,H536/I536,H536/H536))</f>
        <v>1</v>
      </c>
      <c r="K536" s="16" t="s">
        <v>248</v>
      </c>
      <c r="L536" s="16" t="s">
        <v>215</v>
      </c>
      <c r="M536" s="16" t="str">
        <f t="shared" si="72"/>
        <v>模拟评分记录完整</v>
      </c>
      <c r="N536" s="8" t="s">
        <v>180</v>
      </c>
    </row>
    <row r="537" spans="1:14" ht="46.05" customHeight="1">
      <c r="A537" s="16" t="s">
        <v>84</v>
      </c>
      <c r="B537" s="16">
        <v>1</v>
      </c>
      <c r="C537" s="17" t="str">
        <f>三案例选用!B17</f>
        <v>SC-028</v>
      </c>
      <c r="D537" s="16" t="s">
        <v>216</v>
      </c>
      <c r="E537" s="16" t="str">
        <f>IF(TRUE,"适用","不适用采用100/100")</f>
        <v>适用</v>
      </c>
      <c r="F537" s="17" t="str">
        <f>IF(TRUE,IF(COUNTIFS(资产清单!$A$6:$A$25,A537)&lt;&gt;1,"",IF(INDEX(资产清单!$I$6:$I$25,MATCH(A537,资产清单!$A$6:$A$25,0))="","",INDEX(资产清单!$I$6:$I$25,MATCH(A537,资产清单!$A$6:$A$25,0)))),"不适用")</f>
        <v>屋顶点位</v>
      </c>
      <c r="G537" s="17" t="str">
        <f>IF(TRUE,IF(COUNTIFS(市场案例库!$A$6:$A$35,C537)&lt;&gt;1,"",IF(INDEX(市场案例库!$O$6:$O$35,MATCH(C537,市场案例库!$A$6:$A$35,0))="","",INDEX(市场案例库!$O$6:$O$35,MATCH(C537,市场案例库!$A$6:$A$35,0)))),"不适用")</f>
        <v>屋顶点位</v>
      </c>
      <c r="H537" s="19">
        <f>测算参数!$B$6</f>
        <v>100</v>
      </c>
      <c r="I537" s="10">
        <v>100</v>
      </c>
      <c r="J537" s="20">
        <f>IF(OR(C537&lt;&gt;N537,COUNT(H537:I537)&lt;&gt;2,H537&lt;=0,I537&lt;=0),"",IF(TRUE,H537/I537,H537/H537))</f>
        <v>1</v>
      </c>
      <c r="K537" s="16" t="s">
        <v>248</v>
      </c>
      <c r="L537" s="16" t="s">
        <v>215</v>
      </c>
      <c r="M537" s="16" t="str">
        <f t="shared" si="72"/>
        <v>模拟评分记录完整</v>
      </c>
      <c r="N537" s="8" t="s">
        <v>180</v>
      </c>
    </row>
    <row r="538" spans="1:14" ht="46.05" customHeight="1">
      <c r="A538" s="16" t="s">
        <v>84</v>
      </c>
      <c r="B538" s="16">
        <v>1</v>
      </c>
      <c r="C538" s="17" t="str">
        <f>三案例选用!B17</f>
        <v>SC-028</v>
      </c>
      <c r="D538" s="16" t="s">
        <v>217</v>
      </c>
      <c r="E538" s="17" t="str">
        <f>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"适用","不适用采用100/100")</f>
        <v>不适用采用100/100</v>
      </c>
      <c r="F538" s="17" t="str">
        <f>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IF(COUNTIFS(资产清单!$A$6:$A$25,A538)&lt;&gt;1,"",IF(COUNT(INDEX(资产清单!$M$6:$M$25,MATCH(A538,资产清单!$A$6:$A$25,0)))&lt;&gt;1,"",INDEX(资产清单!$M$6:$M$25,MATCH(A538,资产清单!$A$6:$A$25,0)))),"不适用")</f>
        <v>不适用</v>
      </c>
      <c r="G538" s="17" t="str">
        <f>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IF(COUNTIFS(市场案例库!$A$6:$A$35,C538)&lt;&gt;1,"",IF(COUNT(INDEX(市场案例库!$H$6:$H$35,MATCH(C538,市场案例库!$A$6:$A$35,0)))&lt;&gt;1,"",INDEX(市场案例库!$H$6:$H$35,MATCH(C538,市场案例库!$A$6:$A$35,0)))),"不适用")</f>
        <v>不适用</v>
      </c>
      <c r="H538" s="19">
        <f>测算参数!$B$6</f>
        <v>100</v>
      </c>
      <c r="I538" s="19">
        <f>IF(OR(COUNTIFS(市场案例库!$A$6:$A$35,C538)&lt;&gt;1,AND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COUNT(IF(COUNTIFS(资产清单!$A$6:$A$25,A538)&lt;&gt;1,"",IF(COUNT(INDEX(资产清单!$M$6:$M$25,MATCH(A538,资产清单!$A$6:$A$25,0)))&lt;&gt;1,"",INDEX(资产清单!$M$6:$M$25,MATCH(A538,资产清单!$A$6:$A$25,0)))),IF(COUNTIFS(市场案例库!$A$6:$A$35,C538)&lt;&gt;1,"",IF(COUNT(INDEX(市场案例库!$H$6:$H$35,MATCH(C538,市场案例库!$A$6:$A$35,0)))&lt;&gt;1,"",INDEX(市场案例库!$H$6:$H$35,MATCH(C538,市场案例库!$A$6:$A$35,0)))))&lt;&gt;2)),"",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INDEX(测算参数!$B$25:$B$31,MATCH(MAX(-测算参数!$B$11,MIN(测算参数!$B$11,IF(COUNTIFS(资产清单!$A$6:$A$25,A538)&lt;&gt;1,"",IF(COUNT(INDEX(资产清单!$M$6:$M$25,MATCH(A538,资产清单!$A$6:$A$25,0)))&lt;&gt;1,"",INDEX(资产清单!$M$6:$M$25,MATCH(A538,资产清单!$A$6:$A$25,0))))-IF(COUNTIFS(市场案例库!$A$6:$A$35,C538)&lt;&gt;1,"",IF(COUNT(INDEX(市场案例库!$H$6:$H$35,MATCH(C538,市场案例库!$A$6:$A$35,0)))&lt;&gt;1,"",INDEX(市场案例库!$H$6:$H$35,MATCH(C538,市场案例库!$A$6:$A$35,0)))))),测算参数!$A$25:$A$31,0)),测算参数!$B$6))</f>
        <v>100</v>
      </c>
      <c r="J538" s="21">
        <f>IF(OR(C538&lt;&gt;N538,COUNT(H538:I538)&lt;&gt;2,H538&lt;=0,I538&lt;=0),"",IF(OR(IF(COUNTIFS(资产清单!$A$6:$A$25,A538)&lt;&gt;1,"",IF(INDEX(资产清单!$H$6:$H$25,MATCH(A538,资产清单!$A$6:$A$25,0))="","",INDEX(资产清单!$H$6:$H$25,MATCH(A538,资产清单!$A$6:$A$25,0))))="商业",IF(COUNTIFS(资产清单!$A$6:$A$25,A538)&lt;&gt;1,"",IF(INDEX(资产清单!$H$6:$H$25,MATCH(A538,资产清单!$A$6:$A$25,0))="","",INDEX(资产清单!$H$6:$H$25,MATCH(A538,资产清单!$A$6:$A$25,0))))="办公",IF(COUNTIFS(资产清单!$A$6:$A$25,A538)&lt;&gt;1,"",IF(INDEX(资产清单!$H$6:$H$25,MATCH(A538,资产清单!$A$6:$A$25,0))="","",INDEX(资产清单!$H$6:$H$25,MATCH(A538,资产清单!$A$6:$A$25,0))))="住宅"),H538/I538,H538/H538))</f>
        <v>1</v>
      </c>
      <c r="K538" s="16" t="s">
        <v>248</v>
      </c>
      <c r="L538" s="16" t="s">
        <v>218</v>
      </c>
      <c r="M538" s="16" t="str">
        <f t="shared" si="72"/>
        <v>模拟评分记录完整</v>
      </c>
      <c r="N538" s="8" t="s">
        <v>180</v>
      </c>
    </row>
    <row r="539" spans="1:14" ht="46.05" customHeight="1">
      <c r="A539" s="16" t="s">
        <v>84</v>
      </c>
      <c r="B539" s="16">
        <v>1</v>
      </c>
      <c r="C539" s="17" t="str">
        <f>三案例选用!B17</f>
        <v>SC-028</v>
      </c>
      <c r="D539" s="16" t="s">
        <v>219</v>
      </c>
      <c r="E539" s="17" t="str">
        <f>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"适用","不适用采用100/100")</f>
        <v>不适用采用100/100</v>
      </c>
      <c r="F539" s="17" t="str">
        <f>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IF(COUNTIFS(资产清单!$A$6:$A$25,A539)&lt;&gt;1,"",IF(COUNT(INDEX(资产清单!$L$6:$L$25,MATCH(A539,资产清单!$A$6:$A$25,0)))&lt;&gt;1,"",INDEX(资产清单!$L$6:$L$25,MATCH(A539,资产清单!$A$6:$A$25,0)))),"不适用")</f>
        <v>不适用</v>
      </c>
      <c r="G539" s="17" t="str">
        <f>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IF(COUNTIFS(市场案例库!$A$6:$A$35,C539)&lt;&gt;1,"",IF(COUNT(INDEX(市场案例库!$G$6:$G$35,MATCH(C539,市场案例库!$A$6:$A$35,0)))&lt;&gt;1,"",INDEX(市场案例库!$G$6:$G$35,MATCH(C539,市场案例库!$A$6:$A$35,0)))),"不适用")</f>
        <v>不适用</v>
      </c>
      <c r="H539" s="19">
        <f>测算参数!$B$6</f>
        <v>100</v>
      </c>
      <c r="I539" s="19">
        <f>IF(OR(COUNTIFS(市场案例库!$A$6:$A$35,C539)&lt;&gt;1,AND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OR(COUNT(IF(COUNTIFS(资产清单!$A$6:$A$25,A539)&lt;&gt;1,"",IF(COUNT(INDEX(资产清单!$L$6:$L$25,MATCH(A539,资产清单!$A$6:$A$25,0)))&lt;&gt;1,"",INDEX(资产清单!$L$6:$L$25,MATCH(A539,资产清单!$A$6:$A$25,0)))),IF(COUNTIFS(市场案例库!$A$6:$A$35,C539)&lt;&gt;1,"",IF(COUNT(INDEX(市场案例库!$G$6:$G$35,MATCH(C539,市场案例库!$A$6:$A$35,0)))&lt;&gt;1,"",INDEX(市场案例库!$G$6:$G$35,MATCH(C539,市场案例库!$A$6:$A$35,0)))))&lt;&gt;2,IF(COUNTIFS(资产清单!$A$6:$A$25,A539)&lt;&gt;1,"",IF(COUNT(INDEX(资产清单!$L$6:$L$25,MATCH(A539,资产清单!$A$6:$A$25,0)))&lt;&gt;1,"",INDEX(资产清单!$L$6:$L$25,MATCH(A539,资产清单!$A$6:$A$25,0))))&lt;=0,IF(COUNTIFS(市场案例库!$A$6:$A$35,C539)&lt;&gt;1,"",IF(COUNT(INDEX(市场案例库!$G$6:$G$35,MATCH(C539,市场案例库!$A$6:$A$35,0)))&lt;&gt;1,"",INDEX(市场案例库!$G$6:$G$35,MATCH(C539,市场案例库!$A$6:$A$35,0))))&lt;=0))),"",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LOOKUP(IF(COUNTIFS(市场案例库!$A$6:$A$35,C539)&lt;&gt;1,"",IF(COUNT(INDEX(市场案例库!$G$6:$G$35,MATCH(C539,市场案例库!$A$6:$A$35,0)))&lt;&gt;1,"",INDEX(市场案例库!$G$6:$G$35,MATCH(C539,市场案例库!$A$6:$A$35,0))))/IF(COUNTIFS(资产清单!$A$6:$A$25,A539)&lt;&gt;1,"",IF(COUNT(INDEX(资产清单!$L$6:$L$25,MATCH(A539,资产清单!$A$6:$A$25,0)))&lt;&gt;1,"",INDEX(资产清单!$L$6:$L$25,MATCH(A539,资产清单!$A$6:$A$25,0)))),测算参数!$A$15:$A$21,测算参数!$C$15:$C$21),测算参数!$B$6))</f>
        <v>100</v>
      </c>
      <c r="J539" s="21">
        <f>IF(OR(C539&lt;&gt;N539,COUNT(H539:I539)&lt;&gt;2,H539&lt;=0,I539&lt;=0),"",IF(AND(IF(COUNTIFS(资产清单!$A$6:$A$25,A539)&lt;&gt;1,"",IF(INDEX(资产清单!$J$6:$J$25,MATCH(A539,资产清单!$A$6:$A$25,0))="","",INDEX(资产清单!$J$6:$J$25,MATCH(A539,资产清单!$A$6:$A$25,0))))="元/㎡/月",IF(COUNTIFS(资产清单!$A$6:$A$25,A539)&lt;&gt;1,"",IF(INDEX(资产清单!$H$6:$H$25,MATCH(A539,资产清单!$A$6:$A$25,0))="","",INDEX(资产清单!$H$6:$H$25,MATCH(A539,资产清单!$A$6:$A$25,0))))&lt;&gt;"场地"),H539/I539,H539/H539))</f>
        <v>1</v>
      </c>
      <c r="K539" s="16" t="s">
        <v>248</v>
      </c>
      <c r="L539" s="16" t="s">
        <v>220</v>
      </c>
      <c r="M539" s="16" t="str">
        <f t="shared" si="72"/>
        <v>模拟评分记录完整</v>
      </c>
      <c r="N539" s="8" t="s">
        <v>180</v>
      </c>
    </row>
    <row r="540" spans="1:14" ht="46.05" customHeight="1">
      <c r="A540" s="16" t="s">
        <v>84</v>
      </c>
      <c r="B540" s="16">
        <v>1</v>
      </c>
      <c r="C540" s="17" t="str">
        <f>三案例选用!B17</f>
        <v>SC-028</v>
      </c>
      <c r="D540" s="16" t="s">
        <v>221</v>
      </c>
      <c r="E540" s="16" t="str">
        <f t="shared" ref="E540:E545" si="75">IF(TRUE,"适用","不适用采用100/100")</f>
        <v>适用</v>
      </c>
      <c r="F540" s="17" t="str">
        <f>IF(TRUE,IF(COUNTIFS(资产清单!$A$6:$A$25,A540)&lt;&gt;1,"",IF(INDEX(资产清单!$I$6:$I$25,MATCH(A540,资产清单!$A$6:$A$25,0))="","",INDEX(资产清单!$I$6:$I$25,MATCH(A540,资产清单!$A$6:$A$25,0)))),"不适用")</f>
        <v>屋顶点位</v>
      </c>
      <c r="G540" s="17" t="str">
        <f>IF(TRUE,IF(COUNTIFS(市场案例库!$A$6:$A$35,C540)&lt;&gt;1,"",IF(INDEX(市场案例库!$O$6:$O$35,MATCH(C540,市场案例库!$A$6:$A$35,0))="","",INDEX(市场案例库!$O$6:$O$35,MATCH(C540,市场案例库!$A$6:$A$35,0)))),"不适用")</f>
        <v>屋顶点位</v>
      </c>
      <c r="H540" s="19">
        <f>测算参数!$B$6</f>
        <v>100</v>
      </c>
      <c r="I540" s="10">
        <v>100</v>
      </c>
      <c r="J540" s="20">
        <f t="shared" ref="J540:J545" si="76">IF(OR(C540&lt;&gt;N540,COUNT(H540:I540)&lt;&gt;2,H540&lt;=0,I540&lt;=0),"",IF(TRUE,H540/I540,H540/H540))</f>
        <v>1</v>
      </c>
      <c r="K540" s="16" t="s">
        <v>248</v>
      </c>
      <c r="L540" s="16" t="s">
        <v>215</v>
      </c>
      <c r="M540" s="16" t="str">
        <f t="shared" si="72"/>
        <v>模拟评分记录完整</v>
      </c>
      <c r="N540" s="8" t="s">
        <v>180</v>
      </c>
    </row>
    <row r="541" spans="1:14" ht="46.05" customHeight="1">
      <c r="A541" s="16" t="s">
        <v>84</v>
      </c>
      <c r="B541" s="16">
        <v>1</v>
      </c>
      <c r="C541" s="17" t="str">
        <f>三案例选用!B17</f>
        <v>SC-028</v>
      </c>
      <c r="D541" s="16" t="s">
        <v>222</v>
      </c>
      <c r="E541" s="16" t="str">
        <f t="shared" si="75"/>
        <v>适用</v>
      </c>
      <c r="F541" s="17" t="str">
        <f>IF(TRUE,IF(COUNTIFS(资产清单!$A$6:$A$25,A541)&lt;&gt;1,"",IF(INDEX(资产清单!$I$6:$I$25,MATCH(A541,资产清单!$A$6:$A$25,0))="","",INDEX(资产清单!$I$6:$I$25,MATCH(A541,资产清单!$A$6:$A$25,0)))),"不适用")</f>
        <v>屋顶点位</v>
      </c>
      <c r="G541" s="17" t="str">
        <f>IF(TRUE,IF(COUNTIFS(市场案例库!$A$6:$A$35,C541)&lt;&gt;1,"",IF(INDEX(市场案例库!$O$6:$O$35,MATCH(C541,市场案例库!$A$6:$A$35,0))="","",INDEX(市场案例库!$O$6:$O$35,MATCH(C541,市场案例库!$A$6:$A$35,0)))),"不适用")</f>
        <v>屋顶点位</v>
      </c>
      <c r="H541" s="19">
        <f>测算参数!$B$6</f>
        <v>100</v>
      </c>
      <c r="I541" s="10">
        <v>100</v>
      </c>
      <c r="J541" s="20">
        <f t="shared" si="76"/>
        <v>1</v>
      </c>
      <c r="K541" s="16" t="s">
        <v>248</v>
      </c>
      <c r="L541" s="16" t="s">
        <v>215</v>
      </c>
      <c r="M541" s="16" t="str">
        <f t="shared" si="72"/>
        <v>模拟评分记录完整</v>
      </c>
      <c r="N541" s="8" t="s">
        <v>180</v>
      </c>
    </row>
    <row r="542" spans="1:14" ht="46.05" customHeight="1">
      <c r="A542" s="16" t="s">
        <v>84</v>
      </c>
      <c r="B542" s="16">
        <v>1</v>
      </c>
      <c r="C542" s="17" t="str">
        <f>三案例选用!B17</f>
        <v>SC-028</v>
      </c>
      <c r="D542" s="16" t="s">
        <v>224</v>
      </c>
      <c r="E542" s="16" t="str">
        <f t="shared" si="75"/>
        <v>适用</v>
      </c>
      <c r="F542" s="17" t="str">
        <f>IF(TRUE,IF(COUNTIFS(资产清单!$A$6:$A$25,A542)&lt;&gt;1,"",IF(INDEX(资产清单!$I$6:$I$25,MATCH(A542,资产清单!$A$6:$A$25,0))="","",INDEX(资产清单!$I$6:$I$25,MATCH(A542,资产清单!$A$6:$A$25,0)))),"不适用")</f>
        <v>屋顶点位</v>
      </c>
      <c r="G542" s="17" t="str">
        <f>IF(TRUE,IF(COUNTIFS(市场案例库!$A$6:$A$35,C542)&lt;&gt;1,"",IF(INDEX(市场案例库!$O$6:$O$35,MATCH(C542,市场案例库!$A$6:$A$35,0))="","",INDEX(市场案例库!$O$6:$O$35,MATCH(C542,市场案例库!$A$6:$A$35,0)))),"不适用")</f>
        <v>屋顶点位</v>
      </c>
      <c r="H542" s="19">
        <f>测算参数!$B$6</f>
        <v>100</v>
      </c>
      <c r="I542" s="10">
        <v>100</v>
      </c>
      <c r="J542" s="20">
        <f t="shared" si="76"/>
        <v>1</v>
      </c>
      <c r="K542" s="16" t="s">
        <v>248</v>
      </c>
      <c r="L542" s="16" t="s">
        <v>215</v>
      </c>
      <c r="M542" s="16" t="str">
        <f t="shared" si="72"/>
        <v>模拟评分记录完整</v>
      </c>
      <c r="N542" s="8" t="s">
        <v>180</v>
      </c>
    </row>
    <row r="543" spans="1:14" ht="46.05" customHeight="1">
      <c r="A543" s="16" t="s">
        <v>84</v>
      </c>
      <c r="B543" s="16">
        <v>1</v>
      </c>
      <c r="C543" s="17" t="str">
        <f>三案例选用!B17</f>
        <v>SC-028</v>
      </c>
      <c r="D543" s="16" t="s">
        <v>225</v>
      </c>
      <c r="E543" s="16" t="str">
        <f t="shared" si="75"/>
        <v>适用</v>
      </c>
      <c r="F543" s="17" t="str">
        <f>IF(TRUE,IF(COUNTIFS(资产清单!$A$6:$A$25,A543)&lt;&gt;1,"",IF(INDEX(资产清单!$I$6:$I$25,MATCH(A543,资产清单!$A$6:$A$25,0))="","",INDEX(资产清单!$I$6:$I$25,MATCH(A543,资产清单!$A$6:$A$25,0)))),"不适用")</f>
        <v>屋顶点位</v>
      </c>
      <c r="G543" s="17" t="str">
        <f>IF(TRUE,IF(COUNTIFS(市场案例库!$A$6:$A$35,C543)&lt;&gt;1,"",IF(INDEX(市场案例库!$O$6:$O$35,MATCH(C543,市场案例库!$A$6:$A$35,0))="","",INDEX(市场案例库!$O$6:$O$35,MATCH(C543,市场案例库!$A$6:$A$35,0)))),"不适用")</f>
        <v>屋顶点位</v>
      </c>
      <c r="H543" s="19">
        <f>测算参数!$B$6</f>
        <v>100</v>
      </c>
      <c r="I543" s="10">
        <v>100</v>
      </c>
      <c r="J543" s="20">
        <f t="shared" si="76"/>
        <v>1</v>
      </c>
      <c r="K543" s="16" t="s">
        <v>248</v>
      </c>
      <c r="L543" s="16" t="s">
        <v>215</v>
      </c>
      <c r="M543" s="16" t="str">
        <f t="shared" si="72"/>
        <v>模拟评分记录完整</v>
      </c>
      <c r="N543" s="8" t="s">
        <v>180</v>
      </c>
    </row>
    <row r="544" spans="1:14" ht="46.05" customHeight="1">
      <c r="A544" s="16" t="s">
        <v>84</v>
      </c>
      <c r="B544" s="16">
        <v>1</v>
      </c>
      <c r="C544" s="17" t="str">
        <f>三案例选用!B17</f>
        <v>SC-028</v>
      </c>
      <c r="D544" s="16" t="s">
        <v>226</v>
      </c>
      <c r="E544" s="16" t="str">
        <f t="shared" si="75"/>
        <v>适用</v>
      </c>
      <c r="F544" s="17" t="str">
        <f>IF(TRUE,IF(COUNTIFS(资产清单!$A$6:$A$25,A544)&lt;&gt;1,"",IF(INDEX(资产清单!$I$6:$I$25,MATCH(A544,资产清单!$A$6:$A$25,0))="","",INDEX(资产清单!$I$6:$I$25,MATCH(A544,资产清单!$A$6:$A$25,0)))),"不适用")</f>
        <v>屋顶点位</v>
      </c>
      <c r="G544" s="17" t="str">
        <f>IF(TRUE,IF(COUNTIFS(市场案例库!$A$6:$A$35,C544)&lt;&gt;1,"",IF(INDEX(市场案例库!$O$6:$O$35,MATCH(C544,市场案例库!$A$6:$A$35,0))="","",INDEX(市场案例库!$O$6:$O$35,MATCH(C544,市场案例库!$A$6:$A$35,0)))),"不适用")</f>
        <v>屋顶点位</v>
      </c>
      <c r="H544" s="19">
        <f>测算参数!$B$6</f>
        <v>100</v>
      </c>
      <c r="I544" s="10">
        <v>100</v>
      </c>
      <c r="J544" s="20">
        <f t="shared" si="76"/>
        <v>1</v>
      </c>
      <c r="K544" s="16" t="s">
        <v>248</v>
      </c>
      <c r="L544" s="16" t="s">
        <v>215</v>
      </c>
      <c r="M544" s="16" t="str">
        <f t="shared" si="72"/>
        <v>模拟评分记录完整</v>
      </c>
      <c r="N544" s="8" t="s">
        <v>180</v>
      </c>
    </row>
    <row r="545" spans="1:14" ht="46.05" customHeight="1">
      <c r="A545" s="16" t="s">
        <v>84</v>
      </c>
      <c r="B545" s="16">
        <v>1</v>
      </c>
      <c r="C545" s="17" t="str">
        <f>三案例选用!B17</f>
        <v>SC-028</v>
      </c>
      <c r="D545" s="16" t="s">
        <v>227</v>
      </c>
      <c r="E545" s="16" t="str">
        <f t="shared" si="75"/>
        <v>适用</v>
      </c>
      <c r="F545" s="17" t="str">
        <f>IF(TRUE,IF(COUNTIFS(资产清单!$A$6:$A$25,A545)&lt;&gt;1,"",IF(INDEX(资产清单!$I$6:$I$25,MATCH(A545,资产清单!$A$6:$A$25,0))="","",INDEX(资产清单!$I$6:$I$25,MATCH(A545,资产清单!$A$6:$A$25,0)))),"不适用")</f>
        <v>屋顶点位</v>
      </c>
      <c r="G545" s="17" t="str">
        <f>IF(TRUE,IF(COUNTIFS(市场案例库!$A$6:$A$35,C545)&lt;&gt;1,"",IF(INDEX(市场案例库!$O$6:$O$35,MATCH(C545,市场案例库!$A$6:$A$35,0))="","",INDEX(市场案例库!$O$6:$O$35,MATCH(C545,市场案例库!$A$6:$A$35,0)))),"不适用")</f>
        <v>屋顶点位</v>
      </c>
      <c r="H545" s="19">
        <f>测算参数!$B$6</f>
        <v>100</v>
      </c>
      <c r="I545" s="10">
        <v>100</v>
      </c>
      <c r="J545" s="20">
        <f t="shared" si="76"/>
        <v>1</v>
      </c>
      <c r="K545" s="16" t="s">
        <v>248</v>
      </c>
      <c r="L545" s="16" t="s">
        <v>215</v>
      </c>
      <c r="M545" s="16" t="str">
        <f t="shared" si="72"/>
        <v>模拟评分记录完整</v>
      </c>
      <c r="N545" s="8" t="s">
        <v>180</v>
      </c>
    </row>
    <row r="546" spans="1:14" ht="46.05" customHeight="1">
      <c r="A546" s="16" t="s">
        <v>84</v>
      </c>
      <c r="B546" s="16">
        <v>1</v>
      </c>
      <c r="C546" s="17" t="str">
        <f>三案例选用!B17</f>
        <v>SC-028</v>
      </c>
      <c r="D546" s="16" t="s">
        <v>228</v>
      </c>
      <c r="E546" s="17" t="str">
        <f>IF(AND(IF(COUNTIFS(资产清单!$A$6:$A$25,A546)&lt;&gt;1,"",IF(INDEX(资产清单!$H$6:$H$25,MATCH(A546,资产清单!$A$6:$A$25,0))="","",INDEX(资产清单!$H$6:$H$25,MATCH(A546,资产清单!$A$6:$A$25,0))))&lt;&gt;"场地",IF(COUNTIFS(资产清单!$A$6:$A$25,A546)&lt;&gt;1,"",IF(INDEX(资产清单!$H$6:$H$25,MATCH(A546,资产清单!$A$6:$A$25,0))="","",INDEX(资产清单!$H$6:$H$25,MATCH(A546,资产清单!$A$6:$A$25,0))))&lt;&gt;"车位",IF(COUNTIFS(资产清单!$A$6:$A$25,A546)&lt;&gt;1,"",IF(INDEX(资产清单!$H$6:$H$25,MATCH(A546,资产清单!$A$6:$A$25,0))="","",INDEX(资产清单!$H$6:$H$25,MATCH(A546,资产清单!$A$6:$A$25,0))))&lt;&gt;"通信基站"),"适用","不适用采用100/100")</f>
        <v>不适用采用100/100</v>
      </c>
      <c r="F546" s="17" t="str">
        <f>IF(AND(IF(COUNTIFS(资产清单!$A$6:$A$25,A546)&lt;&gt;1,"",IF(INDEX(资产清单!$H$6:$H$25,MATCH(A546,资产清单!$A$6:$A$25,0))="","",INDEX(资产清单!$H$6:$H$25,MATCH(A546,资产清单!$A$6:$A$25,0))))&lt;&gt;"场地",IF(COUNTIFS(资产清单!$A$6:$A$25,A546)&lt;&gt;1,"",IF(INDEX(资产清单!$H$6:$H$25,MATCH(A546,资产清单!$A$6:$A$25,0))="","",INDEX(资产清单!$H$6:$H$25,MATCH(A546,资产清单!$A$6:$A$25,0))))&lt;&gt;"车位",IF(COUNTIFS(资产清单!$A$6:$A$25,A546)&lt;&gt;1,"",IF(INDEX(资产清单!$H$6:$H$25,MATCH(A546,资产清单!$A$6:$A$25,0))="","",INDEX(资产清单!$H$6:$H$25,MATCH(A546,资产清单!$A$6:$A$25,0))))&lt;&gt;"通信基站"),IF(COUNTIFS(资产清单!$A$6:$A$25,A546)&lt;&gt;1,"",IF(INDEX(资产清单!$I$6:$I$25,MATCH(A546,资产清单!$A$6:$A$25,0))="","",INDEX(资产清单!$I$6:$I$25,MATCH(A546,资产清单!$A$6:$A$25,0)))),"不适用")</f>
        <v>不适用</v>
      </c>
      <c r="G546" s="17" t="str">
        <f>IF(AND(IF(COUNTIFS(资产清单!$A$6:$A$25,A546)&lt;&gt;1,"",IF(INDEX(资产清单!$H$6:$H$25,MATCH(A546,资产清单!$A$6:$A$25,0))="","",INDEX(资产清单!$H$6:$H$25,MATCH(A546,资产清单!$A$6:$A$25,0))))&lt;&gt;"场地",IF(COUNTIFS(资产清单!$A$6:$A$25,A546)&lt;&gt;1,"",IF(INDEX(资产清单!$H$6:$H$25,MATCH(A546,资产清单!$A$6:$A$25,0))="","",INDEX(资产清单!$H$6:$H$25,MATCH(A546,资产清单!$A$6:$A$25,0))))&lt;&gt;"车位",IF(COUNTIFS(资产清单!$A$6:$A$25,A546)&lt;&gt;1,"",IF(INDEX(资产清单!$H$6:$H$25,MATCH(A546,资产清单!$A$6:$A$25,0))="","",INDEX(资产清单!$H$6:$H$25,MATCH(A546,资产清单!$A$6:$A$25,0))))&lt;&gt;"通信基站"),IF(COUNTIFS(市场案例库!$A$6:$A$35,C546)&lt;&gt;1,"",IF(INDEX(市场案例库!$O$6:$O$35,MATCH(C546,市场案例库!$A$6:$A$35,0))="","",INDEX(市场案例库!$O$6:$O$35,MATCH(C546,市场案例库!$A$6:$A$35,0)))),"不适用")</f>
        <v>不适用</v>
      </c>
      <c r="H546" s="19">
        <f>测算参数!$B$6</f>
        <v>100</v>
      </c>
      <c r="I546" s="10">
        <v>100</v>
      </c>
      <c r="J546" s="21">
        <f>IF(OR(C546&lt;&gt;N546,COUNT(H546:I546)&lt;&gt;2,H546&lt;=0,I546&lt;=0),"",IF(AND(IF(COUNTIFS(资产清单!$A$6:$A$25,A546)&lt;&gt;1,"",IF(INDEX(资产清单!$H$6:$H$25,MATCH(A546,资产清单!$A$6:$A$25,0))="","",INDEX(资产清单!$H$6:$H$25,MATCH(A546,资产清单!$A$6:$A$25,0))))&lt;&gt;"场地",IF(COUNTIFS(资产清单!$A$6:$A$25,A546)&lt;&gt;1,"",IF(INDEX(资产清单!$H$6:$H$25,MATCH(A546,资产清单!$A$6:$A$25,0))="","",INDEX(资产清单!$H$6:$H$25,MATCH(A546,资产清单!$A$6:$A$25,0))))&lt;&gt;"车位",IF(COUNTIFS(资产清单!$A$6:$A$25,A546)&lt;&gt;1,"",IF(INDEX(资产清单!$H$6:$H$25,MATCH(A546,资产清单!$A$6:$A$25,0))="","",INDEX(资产清单!$H$6:$H$25,MATCH(A546,资产清单!$A$6:$A$25,0))))&lt;&gt;"通信基站"),H546/I546,H546/H546))</f>
        <v>1</v>
      </c>
      <c r="K546" s="16" t="s">
        <v>248</v>
      </c>
      <c r="L546" s="16" t="s">
        <v>215</v>
      </c>
      <c r="M546" s="16" t="str">
        <f t="shared" si="72"/>
        <v>模拟评分记录完整</v>
      </c>
      <c r="N546" s="8" t="s">
        <v>180</v>
      </c>
    </row>
    <row r="547" spans="1:14" ht="46.05" customHeight="1">
      <c r="A547" s="16" t="s">
        <v>84</v>
      </c>
      <c r="B547" s="16">
        <v>1</v>
      </c>
      <c r="C547" s="17" t="str">
        <f>三案例选用!B17</f>
        <v>SC-028</v>
      </c>
      <c r="D547" s="16" t="s">
        <v>229</v>
      </c>
      <c r="E547" s="17" t="str">
        <f>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"适用","不适用采用100/100")</f>
        <v>不适用采用100/100</v>
      </c>
      <c r="F547" s="17" t="str">
        <f>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IF(COUNTIFS(资产清单!$A$6:$A$25,A547)&lt;&gt;1,"",IF(COUNT(INDEX(资产清单!$N$6:$N$25,MATCH(A547,资产清单!$A$6:$A$25,0)))&lt;&gt;1,"",INDEX(资产清单!$N$6:$N$25,MATCH(A547,资产清单!$A$6:$A$25,0)))),"不适用")</f>
        <v>不适用</v>
      </c>
      <c r="G547" s="17" t="str">
        <f>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IF(COUNTIFS(市场案例库!$A$6:$A$35,C547)&lt;&gt;1,"",IF(COUNT(INDEX(市场案例库!$I$6:$I$35,MATCH(C547,市场案例库!$A$6:$A$35,0)))&lt;&gt;1,"",INDEX(市场案例库!$I$6:$I$35,MATCH(C547,市场案例库!$A$6:$A$35,0)))),"不适用")</f>
        <v>不适用</v>
      </c>
      <c r="H547" s="19">
        <f>测算参数!$B$6</f>
        <v>100</v>
      </c>
      <c r="I547" s="19">
        <f>IF(OR(COUNTIFS(市场案例库!$A$6:$A$35,C547)&lt;&gt;1,AND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OR(COUNT(IF(COUNTIFS(资产清单!$A$6:$A$25,A547)&lt;&gt;1,"",IF(COUNT(INDEX(资产清单!$N$6:$N$25,MATCH(A547,资产清单!$A$6:$A$25,0)))&lt;&gt;1,"",INDEX(资产清单!$N$6:$N$25,MATCH(A547,资产清单!$A$6:$A$25,0)))),IF(COUNTIFS(市场案例库!$A$6:$A$35,C547)&lt;&gt;1,"",IF(COUNT(INDEX(市场案例库!$I$6:$I$35,MATCH(C547,市场案例库!$A$6:$A$35,0)))&lt;&gt;1,"",INDEX(市场案例库!$I$6:$I$35,MATCH(C547,市场案例库!$A$6:$A$35,0)))))&lt;&gt;2,IF(COUNTIFS(资产清单!$A$6:$A$25,A547)&lt;&gt;1,"",IF(COUNT(INDEX(资产清单!$N$6:$N$25,MATCH(A547,资产清单!$A$6:$A$25,0)))&lt;&gt;1,"",INDEX(资产清单!$N$6:$N$25,MATCH(A547,资产清单!$A$6:$A$25,0))))&lt;1,IF(COUNTIFS(资产清单!$A$6:$A$25,A547)&lt;&gt;1,"",IF(COUNT(INDEX(资产清单!$N$6:$N$25,MATCH(A547,资产清单!$A$6:$A$25,0)))&lt;&gt;1,"",INDEX(资产清单!$N$6:$N$25,MATCH(A547,资产清单!$A$6:$A$25,0))))&gt;4,IF(COUNTIFS(市场案例库!$A$6:$A$35,C547)&lt;&gt;1,"",IF(COUNT(INDEX(市场案例库!$I$6:$I$35,MATCH(C547,市场案例库!$A$6:$A$35,0)))&lt;&gt;1,"",INDEX(市场案例库!$I$6:$I$35,MATCH(C547,市场案例库!$A$6:$A$35,0))))&lt;1,IF(COUNTIFS(市场案例库!$A$6:$A$35,C547)&lt;&gt;1,"",IF(COUNT(INDEX(市场案例库!$I$6:$I$35,MATCH(C547,市场案例库!$A$6:$A$35,0)))&lt;&gt;1,"",INDEX(市场案例库!$I$6:$I$35,MATCH(C547,市场案例库!$A$6:$A$35,0))))&gt;4))),"",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INDEX(测算参数!$B$35:$B$41,MATCH(IF(COUNTIFS(市场案例库!$A$6:$A$35,C547)&lt;&gt;1,"",IF(COUNT(INDEX(市场案例库!$I$6:$I$35,MATCH(C547,市场案例库!$A$6:$A$35,0)))&lt;&gt;1,"",INDEX(市场案例库!$I$6:$I$35,MATCH(C547,市场案例库!$A$6:$A$35,0))))-IF(COUNTIFS(资产清单!$A$6:$A$25,A547)&lt;&gt;1,"",IF(COUNT(INDEX(资产清单!$N$6:$N$25,MATCH(A547,资产清单!$A$6:$A$25,0)))&lt;&gt;1,"",INDEX(资产清单!$N$6:$N$25,MATCH(A547,资产清单!$A$6:$A$25,0)))),测算参数!$A$35:$A$41,0)),测算参数!$B$6))</f>
        <v>100</v>
      </c>
      <c r="J547" s="21">
        <f>IF(OR(C547&lt;&gt;N547,COUNT(H547:I547)&lt;&gt;2,H547&lt;=0,I547&lt;=0),"",IF(AND(IF(COUNTIFS(资产清单!$A$6:$A$25,A547)&lt;&gt;1,"",IF(INDEX(资产清单!$H$6:$H$25,MATCH(A547,资产清单!$A$6:$A$25,0))="","",INDEX(资产清单!$H$6:$H$25,MATCH(A547,资产清单!$A$6:$A$25,0))))&lt;&gt;"场地",IF(COUNTIFS(资产清单!$A$6:$A$25,A547)&lt;&gt;1,"",IF(INDEX(资产清单!$H$6:$H$25,MATCH(A547,资产清单!$A$6:$A$25,0))="","",INDEX(资产清单!$H$6:$H$25,MATCH(A547,资产清单!$A$6:$A$25,0))))&lt;&gt;"车位",IF(COUNTIFS(资产清单!$A$6:$A$25,A547)&lt;&gt;1,"",IF(INDEX(资产清单!$H$6:$H$25,MATCH(A547,资产清单!$A$6:$A$25,0))="","",INDEX(资产清单!$H$6:$H$25,MATCH(A547,资产清单!$A$6:$A$25,0))))&lt;&gt;"通信基站"),H547/I547,H547/H547))</f>
        <v>1</v>
      </c>
      <c r="K547" s="16" t="s">
        <v>248</v>
      </c>
      <c r="L547" s="16" t="s">
        <v>230</v>
      </c>
      <c r="M547" s="16" t="str">
        <f t="shared" si="72"/>
        <v>模拟评分记录完整</v>
      </c>
      <c r="N547" s="8" t="s">
        <v>180</v>
      </c>
    </row>
    <row r="548" spans="1:14" ht="46.05" customHeight="1">
      <c r="A548" s="16" t="s">
        <v>84</v>
      </c>
      <c r="B548" s="16">
        <v>1</v>
      </c>
      <c r="C548" s="17" t="str">
        <f>三案例选用!B17</f>
        <v>SC-028</v>
      </c>
      <c r="D548" s="16" t="s">
        <v>231</v>
      </c>
      <c r="E548" s="17" t="str">
        <f>IF(AND(IF(COUNTIFS(资产清单!$A$6:$A$25,A548)&lt;&gt;1,"",IF(INDEX(资产清单!$H$6:$H$25,MATCH(A548,资产清单!$A$6:$A$25,0))="","",INDEX(资产清单!$H$6:$H$25,MATCH(A548,资产清单!$A$6:$A$25,0))))&lt;&gt;"场地",IF(COUNTIFS(资产清单!$A$6:$A$25,A548)&lt;&gt;1,"",IF(INDEX(资产清单!$H$6:$H$25,MATCH(A548,资产清单!$A$6:$A$25,0))="","",INDEX(资产清单!$H$6:$H$25,MATCH(A548,资产清单!$A$6:$A$25,0))))&lt;&gt;"车位",IF(COUNTIFS(资产清单!$A$6:$A$25,A548)&lt;&gt;1,"",IF(INDEX(资产清单!$H$6:$H$25,MATCH(A548,资产清单!$A$6:$A$25,0))="","",INDEX(资产清单!$H$6:$H$25,MATCH(A548,资产清单!$A$6:$A$25,0))))&lt;&gt;"通信基站"),"适用","不适用采用100/100")</f>
        <v>不适用采用100/100</v>
      </c>
      <c r="F548" s="17" t="str">
        <f>IF(AND(IF(COUNTIFS(资产清单!$A$6:$A$25,A548)&lt;&gt;1,"",IF(INDEX(资产清单!$H$6:$H$25,MATCH(A548,资产清单!$A$6:$A$25,0))="","",INDEX(资产清单!$H$6:$H$25,MATCH(A548,资产清单!$A$6:$A$25,0))))&lt;&gt;"场地",IF(COUNTIFS(资产清单!$A$6:$A$25,A548)&lt;&gt;1,"",IF(INDEX(资产清单!$H$6:$H$25,MATCH(A548,资产清单!$A$6:$A$25,0))="","",INDEX(资产清单!$H$6:$H$25,MATCH(A548,资产清单!$A$6:$A$25,0))))&lt;&gt;"车位",IF(COUNTIFS(资产清单!$A$6:$A$25,A548)&lt;&gt;1,"",IF(INDEX(资产清单!$H$6:$H$25,MATCH(A548,资产清单!$A$6:$A$25,0))="","",INDEX(资产清单!$H$6:$H$25,MATCH(A548,资产清单!$A$6:$A$25,0))))&lt;&gt;"通信基站"),IF(COUNTIFS(资产清单!$A$6:$A$25,A548)&lt;&gt;1,"",IF(INDEX(资产清单!$I$6:$I$25,MATCH(A548,资产清单!$A$6:$A$25,0))="","",INDEX(资产清单!$I$6:$I$25,MATCH(A548,资产清单!$A$6:$A$25,0)))),"不适用")</f>
        <v>不适用</v>
      </c>
      <c r="G548" s="17" t="str">
        <f>IF(AND(IF(COUNTIFS(资产清单!$A$6:$A$25,A548)&lt;&gt;1,"",IF(INDEX(资产清单!$H$6:$H$25,MATCH(A548,资产清单!$A$6:$A$25,0))="","",INDEX(资产清单!$H$6:$H$25,MATCH(A548,资产清单!$A$6:$A$25,0))))&lt;&gt;"场地",IF(COUNTIFS(资产清单!$A$6:$A$25,A548)&lt;&gt;1,"",IF(INDEX(资产清单!$H$6:$H$25,MATCH(A548,资产清单!$A$6:$A$25,0))="","",INDEX(资产清单!$H$6:$H$25,MATCH(A548,资产清单!$A$6:$A$25,0))))&lt;&gt;"车位",IF(COUNTIFS(资产清单!$A$6:$A$25,A548)&lt;&gt;1,"",IF(INDEX(资产清单!$H$6:$H$25,MATCH(A548,资产清单!$A$6:$A$25,0))="","",INDEX(资产清单!$H$6:$H$25,MATCH(A548,资产清单!$A$6:$A$25,0))))&lt;&gt;"通信基站"),IF(COUNTIFS(市场案例库!$A$6:$A$35,C548)&lt;&gt;1,"",IF(INDEX(市场案例库!$O$6:$O$35,MATCH(C548,市场案例库!$A$6:$A$35,0))="","",INDEX(市场案例库!$O$6:$O$35,MATCH(C548,市场案例库!$A$6:$A$35,0)))),"不适用")</f>
        <v>不适用</v>
      </c>
      <c r="H548" s="19">
        <f>测算参数!$B$6</f>
        <v>100</v>
      </c>
      <c r="I548" s="10">
        <v>100</v>
      </c>
      <c r="J548" s="21">
        <f>IF(OR(C548&lt;&gt;N548,COUNT(H548:I548)&lt;&gt;2,H548&lt;=0,I548&lt;=0),"",IF(AND(IF(COUNTIFS(资产清单!$A$6:$A$25,A548)&lt;&gt;1,"",IF(INDEX(资产清单!$H$6:$H$25,MATCH(A548,资产清单!$A$6:$A$25,0))="","",INDEX(资产清单!$H$6:$H$25,MATCH(A548,资产清单!$A$6:$A$25,0))))&lt;&gt;"场地",IF(COUNTIFS(资产清单!$A$6:$A$25,A548)&lt;&gt;1,"",IF(INDEX(资产清单!$H$6:$H$25,MATCH(A548,资产清单!$A$6:$A$25,0))="","",INDEX(资产清单!$H$6:$H$25,MATCH(A548,资产清单!$A$6:$A$25,0))))&lt;&gt;"车位",IF(COUNTIFS(资产清单!$A$6:$A$25,A548)&lt;&gt;1,"",IF(INDEX(资产清单!$H$6:$H$25,MATCH(A548,资产清单!$A$6:$A$25,0))="","",INDEX(资产清单!$H$6:$H$25,MATCH(A548,资产清单!$A$6:$A$25,0))))&lt;&gt;"通信基站"),H548/I548,H548/H548))</f>
        <v>1</v>
      </c>
      <c r="K548" s="16" t="s">
        <v>248</v>
      </c>
      <c r="L548" s="16" t="s">
        <v>215</v>
      </c>
      <c r="M548" s="16" t="str">
        <f t="shared" si="72"/>
        <v>模拟评分记录完整</v>
      </c>
      <c r="N548" s="8" t="s">
        <v>180</v>
      </c>
    </row>
    <row r="549" spans="1:14" ht="46.05" customHeight="1">
      <c r="A549" s="16" t="s">
        <v>84</v>
      </c>
      <c r="B549" s="16">
        <v>1</v>
      </c>
      <c r="C549" s="17" t="str">
        <f>三案例选用!B17</f>
        <v>SC-028</v>
      </c>
      <c r="D549" s="16" t="s">
        <v>232</v>
      </c>
      <c r="E549" s="16" t="str">
        <f>IF(TRUE,"适用","不适用采用100/100")</f>
        <v>适用</v>
      </c>
      <c r="F549" s="17" t="str">
        <f>IF(TRUE,IF(COUNTIFS(资产清单!$A$6:$A$25,A549)&lt;&gt;1,"",IF(INDEX(资产清单!$I$6:$I$25,MATCH(A549,资产清单!$A$6:$A$25,0))="","",INDEX(资产清单!$I$6:$I$25,MATCH(A549,资产清单!$A$6:$A$25,0)))),"不适用")</f>
        <v>屋顶点位</v>
      </c>
      <c r="G549" s="17" t="str">
        <f>IF(TRUE,IF(COUNTIFS(市场案例库!$A$6:$A$35,C549)&lt;&gt;1,"",IF(INDEX(市场案例库!$O$6:$O$35,MATCH(C549,市场案例库!$A$6:$A$35,0))="","",INDEX(市场案例库!$O$6:$O$35,MATCH(C549,市场案例库!$A$6:$A$35,0)))),"不适用")</f>
        <v>屋顶点位</v>
      </c>
      <c r="H549" s="19">
        <f>测算参数!$B$6</f>
        <v>100</v>
      </c>
      <c r="I549" s="10">
        <v>100</v>
      </c>
      <c r="J549" s="20">
        <f>IF(OR(C549&lt;&gt;N549,COUNT(H549:I549)&lt;&gt;2,H549&lt;=0,I549&lt;=0),"",IF(TRUE,H549/I549,H549/H549))</f>
        <v>1</v>
      </c>
      <c r="K549" s="16" t="s">
        <v>248</v>
      </c>
      <c r="L549" s="16" t="s">
        <v>215</v>
      </c>
      <c r="M549" s="16" t="str">
        <f t="shared" si="72"/>
        <v>模拟评分记录完整</v>
      </c>
      <c r="N549" s="8" t="s">
        <v>180</v>
      </c>
    </row>
    <row r="550" spans="1:14" ht="46.05" customHeight="1">
      <c r="A550" s="16" t="s">
        <v>84</v>
      </c>
      <c r="B550" s="16">
        <v>2</v>
      </c>
      <c r="C550" s="17" t="str">
        <f>三案例选用!C17</f>
        <v>SC-029</v>
      </c>
      <c r="D550" s="16" t="s">
        <v>209</v>
      </c>
      <c r="E550" s="16" t="str">
        <f>IF(TRUE,"适用","不适用采用100/100")</f>
        <v>适用</v>
      </c>
      <c r="F550" s="17" t="str">
        <f>IF(TRUE,IF(COUNTIFS(资产清单!$A$6:$A$25,A550)&lt;&gt;1,"",IF(INDEX(资产清单!$I$6:$I$25,MATCH(A550,资产清单!$A$6:$A$25,0))="","",INDEX(资产清单!$I$6:$I$25,MATCH(A550,资产清单!$A$6:$A$25,0)))),"不适用")</f>
        <v>屋顶点位</v>
      </c>
      <c r="G550" s="17" t="str">
        <f>IF(TRUE,IF(COUNTIFS(市场案例库!$A$6:$A$35,C550)&lt;&gt;1,"",IF(INDEX(市场案例库!$O$6:$O$35,MATCH(C550,市场案例库!$A$6:$A$35,0))="","",INDEX(市场案例库!$O$6:$O$35,MATCH(C550,市场案例库!$A$6:$A$35,0)))),"不适用")</f>
        <v>屋顶点位</v>
      </c>
      <c r="H550" s="19">
        <f>测算参数!$B$6</f>
        <v>100</v>
      </c>
      <c r="I550" s="19">
        <f>IF(OR(COUNTIFS(市场案例库!$A$6:$A$35,C550)&lt;&gt;1),"",IF(COUNTIFS(市场案例库!$A$6:$A$35,C550)&lt;&gt;1,"",IF(COUNT(INDEX(市场案例库!$M$6:$M$35,MATCH(C550,市场案例库!$A$6:$A$35,0)))&lt;&gt;1,"",INDEX(市场案例库!$M$6:$M$35,MATCH(C550,市场案例库!$A$6:$A$35,0)))))</f>
        <v>102</v>
      </c>
      <c r="J550" s="20">
        <f>IF(OR(C550&lt;&gt;N550,COUNT(H550:I550)&lt;&gt;2,H550&lt;=0,I550&lt;=0),"",IF(TRUE,H550/I550,H550/H550))</f>
        <v>0.98039215686274506</v>
      </c>
      <c r="K550" s="16" t="s">
        <v>248</v>
      </c>
      <c r="L550" s="16" t="s">
        <v>211</v>
      </c>
      <c r="M550" s="16" t="str">
        <f t="shared" si="72"/>
        <v>模拟评分记录完整</v>
      </c>
      <c r="N550" s="8" t="s">
        <v>181</v>
      </c>
    </row>
    <row r="551" spans="1:14" ht="46.05" customHeight="1">
      <c r="A551" s="16" t="s">
        <v>84</v>
      </c>
      <c r="B551" s="16">
        <v>2</v>
      </c>
      <c r="C551" s="17" t="str">
        <f>三案例选用!C17</f>
        <v>SC-029</v>
      </c>
      <c r="D551" s="16" t="s">
        <v>212</v>
      </c>
      <c r="E551" s="16" t="str">
        <f>IF(TRUE,"适用","不适用采用100/100")</f>
        <v>适用</v>
      </c>
      <c r="F551" s="17" t="str">
        <f>IF(TRUE,IF(COUNTIFS(资产清单!$A$6:$A$25,A551)&lt;&gt;1,"",IF(INDEX(资产清单!$I$6:$I$25,MATCH(A551,资产清单!$A$6:$A$25,0))="","",INDEX(资产清单!$I$6:$I$25,MATCH(A551,资产清单!$A$6:$A$25,0)))),"不适用")</f>
        <v>屋顶点位</v>
      </c>
      <c r="G551" s="17" t="str">
        <f>IF(TRUE,IF(COUNTIFS(市场案例库!$A$6:$A$35,C551)&lt;&gt;1,"",IF(INDEX(市场案例库!$O$6:$O$35,MATCH(C551,市场案例库!$A$6:$A$35,0))="","",INDEX(市场案例库!$O$6:$O$35,MATCH(C551,市场案例库!$A$6:$A$35,0)))),"不适用")</f>
        <v>屋顶点位</v>
      </c>
      <c r="H551" s="19">
        <f>测算参数!$B$6</f>
        <v>100</v>
      </c>
      <c r="I551" s="19">
        <f>IF(OR(COUNTIFS(市场案例库!$A$6:$A$35,C551)&lt;&gt;1),"",IF(COUNTIFS(市场案例库!$A$6:$A$35,C551)&lt;&gt;1,"",IF(COUNT(INDEX(市场案例库!$N$6:$N$35,MATCH(C551,市场案例库!$A$6:$A$35,0)))&lt;&gt;1,"",INDEX(市场案例库!$N$6:$N$35,MATCH(C551,市场案例库!$A$6:$A$35,0)))))</f>
        <v>100</v>
      </c>
      <c r="J551" s="20">
        <f>IF(OR(C551&lt;&gt;N551,COUNT(H551:I551)&lt;&gt;2,H551&lt;=0,I551&lt;=0),"",IF(TRUE,H551/I551,H551/H551))</f>
        <v>1</v>
      </c>
      <c r="K551" s="16" t="s">
        <v>248</v>
      </c>
      <c r="L551" s="16" t="s">
        <v>213</v>
      </c>
      <c r="M551" s="16" t="str">
        <f t="shared" si="72"/>
        <v>模拟评分记录完整</v>
      </c>
      <c r="N551" s="8" t="s">
        <v>181</v>
      </c>
    </row>
    <row r="552" spans="1:14" ht="46.05" customHeight="1">
      <c r="A552" s="16" t="s">
        <v>84</v>
      </c>
      <c r="B552" s="16">
        <v>2</v>
      </c>
      <c r="C552" s="17" t="str">
        <f>三案例选用!C17</f>
        <v>SC-029</v>
      </c>
      <c r="D552" s="16" t="s">
        <v>214</v>
      </c>
      <c r="E552" s="16" t="str">
        <f>IF(TRUE,"适用","不适用采用100/100")</f>
        <v>适用</v>
      </c>
      <c r="F552" s="17" t="str">
        <f>IF(TRUE,IF(COUNTIFS(资产清单!$A$6:$A$25,A552)&lt;&gt;1,"",IF(INDEX(资产清单!$I$6:$I$25,MATCH(A552,资产清单!$A$6:$A$25,0))="","",INDEX(资产清单!$I$6:$I$25,MATCH(A552,资产清单!$A$6:$A$25,0)))),"不适用")</f>
        <v>屋顶点位</v>
      </c>
      <c r="G552" s="17" t="str">
        <f>IF(TRUE,IF(COUNTIFS(市场案例库!$A$6:$A$35,C552)&lt;&gt;1,"",IF(INDEX(市场案例库!$O$6:$O$35,MATCH(C552,市场案例库!$A$6:$A$35,0))="","",INDEX(市场案例库!$O$6:$O$35,MATCH(C552,市场案例库!$A$6:$A$35,0)))),"不适用")</f>
        <v>屋顶点位</v>
      </c>
      <c r="H552" s="19">
        <f>测算参数!$B$6</f>
        <v>100</v>
      </c>
      <c r="I552" s="10">
        <v>100</v>
      </c>
      <c r="J552" s="20">
        <f>IF(OR(C552&lt;&gt;N552,COUNT(H552:I552)&lt;&gt;2,H552&lt;=0,I552&lt;=0),"",IF(TRUE,H552/I552,H552/H552))</f>
        <v>1</v>
      </c>
      <c r="K552" s="16" t="s">
        <v>248</v>
      </c>
      <c r="L552" s="16" t="s">
        <v>215</v>
      </c>
      <c r="M552" s="16" t="str">
        <f t="shared" si="72"/>
        <v>模拟评分记录完整</v>
      </c>
      <c r="N552" s="8" t="s">
        <v>181</v>
      </c>
    </row>
    <row r="553" spans="1:14" ht="46.05" customHeight="1">
      <c r="A553" s="16" t="s">
        <v>84</v>
      </c>
      <c r="B553" s="16">
        <v>2</v>
      </c>
      <c r="C553" s="17" t="str">
        <f>三案例选用!C17</f>
        <v>SC-029</v>
      </c>
      <c r="D553" s="16" t="s">
        <v>216</v>
      </c>
      <c r="E553" s="16" t="str">
        <f>IF(TRUE,"适用","不适用采用100/100")</f>
        <v>适用</v>
      </c>
      <c r="F553" s="17" t="str">
        <f>IF(TRUE,IF(COUNTIFS(资产清单!$A$6:$A$25,A553)&lt;&gt;1,"",IF(INDEX(资产清单!$I$6:$I$25,MATCH(A553,资产清单!$A$6:$A$25,0))="","",INDEX(资产清单!$I$6:$I$25,MATCH(A553,资产清单!$A$6:$A$25,0)))),"不适用")</f>
        <v>屋顶点位</v>
      </c>
      <c r="G553" s="17" t="str">
        <f>IF(TRUE,IF(COUNTIFS(市场案例库!$A$6:$A$35,C553)&lt;&gt;1,"",IF(INDEX(市场案例库!$O$6:$O$35,MATCH(C553,市场案例库!$A$6:$A$35,0))="","",INDEX(市场案例库!$O$6:$O$35,MATCH(C553,市场案例库!$A$6:$A$35,0)))),"不适用")</f>
        <v>屋顶点位</v>
      </c>
      <c r="H553" s="19">
        <f>测算参数!$B$6</f>
        <v>100</v>
      </c>
      <c r="I553" s="10">
        <v>100</v>
      </c>
      <c r="J553" s="20">
        <f>IF(OR(C553&lt;&gt;N553,COUNT(H553:I553)&lt;&gt;2,H553&lt;=0,I553&lt;=0),"",IF(TRUE,H553/I553,H553/H553))</f>
        <v>1</v>
      </c>
      <c r="K553" s="16" t="s">
        <v>248</v>
      </c>
      <c r="L553" s="16" t="s">
        <v>215</v>
      </c>
      <c r="M553" s="16" t="str">
        <f t="shared" si="72"/>
        <v>模拟评分记录完整</v>
      </c>
      <c r="N553" s="8" t="s">
        <v>181</v>
      </c>
    </row>
    <row r="554" spans="1:14" ht="46.05" customHeight="1">
      <c r="A554" s="16" t="s">
        <v>84</v>
      </c>
      <c r="B554" s="16">
        <v>2</v>
      </c>
      <c r="C554" s="17" t="str">
        <f>三案例选用!C17</f>
        <v>SC-029</v>
      </c>
      <c r="D554" s="16" t="s">
        <v>217</v>
      </c>
      <c r="E554" s="17" t="str">
        <f>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"适用","不适用采用100/100")</f>
        <v>不适用采用100/100</v>
      </c>
      <c r="F554" s="17" t="str">
        <f>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IF(COUNTIFS(资产清单!$A$6:$A$25,A554)&lt;&gt;1,"",IF(COUNT(INDEX(资产清单!$M$6:$M$25,MATCH(A554,资产清单!$A$6:$A$25,0)))&lt;&gt;1,"",INDEX(资产清单!$M$6:$M$25,MATCH(A554,资产清单!$A$6:$A$25,0)))),"不适用")</f>
        <v>不适用</v>
      </c>
      <c r="G554" s="17" t="str">
        <f>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IF(COUNTIFS(市场案例库!$A$6:$A$35,C554)&lt;&gt;1,"",IF(COUNT(INDEX(市场案例库!$H$6:$H$35,MATCH(C554,市场案例库!$A$6:$A$35,0)))&lt;&gt;1,"",INDEX(市场案例库!$H$6:$H$35,MATCH(C554,市场案例库!$A$6:$A$35,0)))),"不适用")</f>
        <v>不适用</v>
      </c>
      <c r="H554" s="19">
        <f>测算参数!$B$6</f>
        <v>100</v>
      </c>
      <c r="I554" s="19">
        <f>IF(OR(COUNTIFS(市场案例库!$A$6:$A$35,C554)&lt;&gt;1,AND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COUNT(IF(COUNTIFS(资产清单!$A$6:$A$25,A554)&lt;&gt;1,"",IF(COUNT(INDEX(资产清单!$M$6:$M$25,MATCH(A554,资产清单!$A$6:$A$25,0)))&lt;&gt;1,"",INDEX(资产清单!$M$6:$M$25,MATCH(A554,资产清单!$A$6:$A$25,0)))),IF(COUNTIFS(市场案例库!$A$6:$A$35,C554)&lt;&gt;1,"",IF(COUNT(INDEX(市场案例库!$H$6:$H$35,MATCH(C554,市场案例库!$A$6:$A$35,0)))&lt;&gt;1,"",INDEX(市场案例库!$H$6:$H$35,MATCH(C554,市场案例库!$A$6:$A$35,0)))))&lt;&gt;2)),"",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INDEX(测算参数!$B$25:$B$31,MATCH(MAX(-测算参数!$B$11,MIN(测算参数!$B$11,IF(COUNTIFS(资产清单!$A$6:$A$25,A554)&lt;&gt;1,"",IF(COUNT(INDEX(资产清单!$M$6:$M$25,MATCH(A554,资产清单!$A$6:$A$25,0)))&lt;&gt;1,"",INDEX(资产清单!$M$6:$M$25,MATCH(A554,资产清单!$A$6:$A$25,0))))-IF(COUNTIFS(市场案例库!$A$6:$A$35,C554)&lt;&gt;1,"",IF(COUNT(INDEX(市场案例库!$H$6:$H$35,MATCH(C554,市场案例库!$A$6:$A$35,0)))&lt;&gt;1,"",INDEX(市场案例库!$H$6:$H$35,MATCH(C554,市场案例库!$A$6:$A$35,0)))))),测算参数!$A$25:$A$31,0)),测算参数!$B$6))</f>
        <v>100</v>
      </c>
      <c r="J554" s="21">
        <f>IF(OR(C554&lt;&gt;N554,COUNT(H554:I554)&lt;&gt;2,H554&lt;=0,I554&lt;=0),"",IF(OR(IF(COUNTIFS(资产清单!$A$6:$A$25,A554)&lt;&gt;1,"",IF(INDEX(资产清单!$H$6:$H$25,MATCH(A554,资产清单!$A$6:$A$25,0))="","",INDEX(资产清单!$H$6:$H$25,MATCH(A554,资产清单!$A$6:$A$25,0))))="商业",IF(COUNTIFS(资产清单!$A$6:$A$25,A554)&lt;&gt;1,"",IF(INDEX(资产清单!$H$6:$H$25,MATCH(A554,资产清单!$A$6:$A$25,0))="","",INDEX(资产清单!$H$6:$H$25,MATCH(A554,资产清单!$A$6:$A$25,0))))="办公",IF(COUNTIFS(资产清单!$A$6:$A$25,A554)&lt;&gt;1,"",IF(INDEX(资产清单!$H$6:$H$25,MATCH(A554,资产清单!$A$6:$A$25,0))="","",INDEX(资产清单!$H$6:$H$25,MATCH(A554,资产清单!$A$6:$A$25,0))))="住宅"),H554/I554,H554/H554))</f>
        <v>1</v>
      </c>
      <c r="K554" s="16" t="s">
        <v>248</v>
      </c>
      <c r="L554" s="16" t="s">
        <v>218</v>
      </c>
      <c r="M554" s="16" t="str">
        <f t="shared" si="72"/>
        <v>模拟评分记录完整</v>
      </c>
      <c r="N554" s="8" t="s">
        <v>181</v>
      </c>
    </row>
    <row r="555" spans="1:14" ht="46.05" customHeight="1">
      <c r="A555" s="16" t="s">
        <v>84</v>
      </c>
      <c r="B555" s="16">
        <v>2</v>
      </c>
      <c r="C555" s="17" t="str">
        <f>三案例选用!C17</f>
        <v>SC-029</v>
      </c>
      <c r="D555" s="16" t="s">
        <v>219</v>
      </c>
      <c r="E555" s="17" t="str">
        <f>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"适用","不适用采用100/100")</f>
        <v>不适用采用100/100</v>
      </c>
      <c r="F555" s="17" t="str">
        <f>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IF(COUNTIFS(资产清单!$A$6:$A$25,A555)&lt;&gt;1,"",IF(COUNT(INDEX(资产清单!$L$6:$L$25,MATCH(A555,资产清单!$A$6:$A$25,0)))&lt;&gt;1,"",INDEX(资产清单!$L$6:$L$25,MATCH(A555,资产清单!$A$6:$A$25,0)))),"不适用")</f>
        <v>不适用</v>
      </c>
      <c r="G555" s="17" t="str">
        <f>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IF(COUNTIFS(市场案例库!$A$6:$A$35,C555)&lt;&gt;1,"",IF(COUNT(INDEX(市场案例库!$G$6:$G$35,MATCH(C555,市场案例库!$A$6:$A$35,0)))&lt;&gt;1,"",INDEX(市场案例库!$G$6:$G$35,MATCH(C555,市场案例库!$A$6:$A$35,0)))),"不适用")</f>
        <v>不适用</v>
      </c>
      <c r="H555" s="19">
        <f>测算参数!$B$6</f>
        <v>100</v>
      </c>
      <c r="I555" s="19">
        <f>IF(OR(COUNTIFS(市场案例库!$A$6:$A$35,C555)&lt;&gt;1,AND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OR(COUNT(IF(COUNTIFS(资产清单!$A$6:$A$25,A555)&lt;&gt;1,"",IF(COUNT(INDEX(资产清单!$L$6:$L$25,MATCH(A555,资产清单!$A$6:$A$25,0)))&lt;&gt;1,"",INDEX(资产清单!$L$6:$L$25,MATCH(A555,资产清单!$A$6:$A$25,0)))),IF(COUNTIFS(市场案例库!$A$6:$A$35,C555)&lt;&gt;1,"",IF(COUNT(INDEX(市场案例库!$G$6:$G$35,MATCH(C555,市场案例库!$A$6:$A$35,0)))&lt;&gt;1,"",INDEX(市场案例库!$G$6:$G$35,MATCH(C555,市场案例库!$A$6:$A$35,0)))))&lt;&gt;2,IF(COUNTIFS(资产清单!$A$6:$A$25,A555)&lt;&gt;1,"",IF(COUNT(INDEX(资产清单!$L$6:$L$25,MATCH(A555,资产清单!$A$6:$A$25,0)))&lt;&gt;1,"",INDEX(资产清单!$L$6:$L$25,MATCH(A555,资产清单!$A$6:$A$25,0))))&lt;=0,IF(COUNTIFS(市场案例库!$A$6:$A$35,C555)&lt;&gt;1,"",IF(COUNT(INDEX(市场案例库!$G$6:$G$35,MATCH(C555,市场案例库!$A$6:$A$35,0)))&lt;&gt;1,"",INDEX(市场案例库!$G$6:$G$35,MATCH(C555,市场案例库!$A$6:$A$35,0))))&lt;=0))),"",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LOOKUP(IF(COUNTIFS(市场案例库!$A$6:$A$35,C555)&lt;&gt;1,"",IF(COUNT(INDEX(市场案例库!$G$6:$G$35,MATCH(C555,市场案例库!$A$6:$A$35,0)))&lt;&gt;1,"",INDEX(市场案例库!$G$6:$G$35,MATCH(C555,市场案例库!$A$6:$A$35,0))))/IF(COUNTIFS(资产清单!$A$6:$A$25,A555)&lt;&gt;1,"",IF(COUNT(INDEX(资产清单!$L$6:$L$25,MATCH(A555,资产清单!$A$6:$A$25,0)))&lt;&gt;1,"",INDEX(资产清单!$L$6:$L$25,MATCH(A555,资产清单!$A$6:$A$25,0)))),测算参数!$A$15:$A$21,测算参数!$C$15:$C$21),测算参数!$B$6))</f>
        <v>100</v>
      </c>
      <c r="J555" s="21">
        <f>IF(OR(C555&lt;&gt;N555,COUNT(H555:I555)&lt;&gt;2,H555&lt;=0,I555&lt;=0),"",IF(AND(IF(COUNTIFS(资产清单!$A$6:$A$25,A555)&lt;&gt;1,"",IF(INDEX(资产清单!$J$6:$J$25,MATCH(A555,资产清单!$A$6:$A$25,0))="","",INDEX(资产清单!$J$6:$J$25,MATCH(A555,资产清单!$A$6:$A$25,0))))="元/㎡/月",IF(COUNTIFS(资产清单!$A$6:$A$25,A555)&lt;&gt;1,"",IF(INDEX(资产清单!$H$6:$H$25,MATCH(A555,资产清单!$A$6:$A$25,0))="","",INDEX(资产清单!$H$6:$H$25,MATCH(A555,资产清单!$A$6:$A$25,0))))&lt;&gt;"场地"),H555/I555,H555/H555))</f>
        <v>1</v>
      </c>
      <c r="K555" s="16" t="s">
        <v>248</v>
      </c>
      <c r="L555" s="16" t="s">
        <v>220</v>
      </c>
      <c r="M555" s="16" t="str">
        <f t="shared" si="72"/>
        <v>模拟评分记录完整</v>
      </c>
      <c r="N555" s="8" t="s">
        <v>181</v>
      </c>
    </row>
    <row r="556" spans="1:14" ht="46.05" customHeight="1">
      <c r="A556" s="16" t="s">
        <v>84</v>
      </c>
      <c r="B556" s="16">
        <v>2</v>
      </c>
      <c r="C556" s="17" t="str">
        <f>三案例选用!C17</f>
        <v>SC-029</v>
      </c>
      <c r="D556" s="16" t="s">
        <v>221</v>
      </c>
      <c r="E556" s="16" t="str">
        <f t="shared" ref="E556:E561" si="77">IF(TRUE,"适用","不适用采用100/100")</f>
        <v>适用</v>
      </c>
      <c r="F556" s="17" t="str">
        <f>IF(TRUE,IF(COUNTIFS(资产清单!$A$6:$A$25,A556)&lt;&gt;1,"",IF(INDEX(资产清单!$I$6:$I$25,MATCH(A556,资产清单!$A$6:$A$25,0))="","",INDEX(资产清单!$I$6:$I$25,MATCH(A556,资产清单!$A$6:$A$25,0)))),"不适用")</f>
        <v>屋顶点位</v>
      </c>
      <c r="G556" s="17" t="str">
        <f>IF(TRUE,IF(COUNTIFS(市场案例库!$A$6:$A$35,C556)&lt;&gt;1,"",IF(INDEX(市场案例库!$O$6:$O$35,MATCH(C556,市场案例库!$A$6:$A$35,0))="","",INDEX(市场案例库!$O$6:$O$35,MATCH(C556,市场案例库!$A$6:$A$35,0)))),"不适用")</f>
        <v>屋顶点位</v>
      </c>
      <c r="H556" s="19">
        <f>测算参数!$B$6</f>
        <v>100</v>
      </c>
      <c r="I556" s="10">
        <v>100</v>
      </c>
      <c r="J556" s="20">
        <f t="shared" ref="J556:J561" si="78">IF(OR(C556&lt;&gt;N556,COUNT(H556:I556)&lt;&gt;2,H556&lt;=0,I556&lt;=0),"",IF(TRUE,H556/I556,H556/H556))</f>
        <v>1</v>
      </c>
      <c r="K556" s="16" t="s">
        <v>248</v>
      </c>
      <c r="L556" s="16" t="s">
        <v>215</v>
      </c>
      <c r="M556" s="16" t="str">
        <f t="shared" si="72"/>
        <v>模拟评分记录完整</v>
      </c>
      <c r="N556" s="8" t="s">
        <v>181</v>
      </c>
    </row>
    <row r="557" spans="1:14" ht="46.05" customHeight="1">
      <c r="A557" s="16" t="s">
        <v>84</v>
      </c>
      <c r="B557" s="16">
        <v>2</v>
      </c>
      <c r="C557" s="17" t="str">
        <f>三案例选用!C17</f>
        <v>SC-029</v>
      </c>
      <c r="D557" s="16" t="s">
        <v>222</v>
      </c>
      <c r="E557" s="16" t="str">
        <f t="shared" si="77"/>
        <v>适用</v>
      </c>
      <c r="F557" s="17" t="str">
        <f>IF(TRUE,IF(COUNTIFS(资产清单!$A$6:$A$25,A557)&lt;&gt;1,"",IF(INDEX(资产清单!$I$6:$I$25,MATCH(A557,资产清单!$A$6:$A$25,0))="","",INDEX(资产清单!$I$6:$I$25,MATCH(A557,资产清单!$A$6:$A$25,0)))),"不适用")</f>
        <v>屋顶点位</v>
      </c>
      <c r="G557" s="17" t="str">
        <f>IF(TRUE,IF(COUNTIFS(市场案例库!$A$6:$A$35,C557)&lt;&gt;1,"",IF(INDEX(市场案例库!$O$6:$O$35,MATCH(C557,市场案例库!$A$6:$A$35,0))="","",INDEX(市场案例库!$O$6:$O$35,MATCH(C557,市场案例库!$A$6:$A$35,0)))),"不适用")</f>
        <v>屋顶点位</v>
      </c>
      <c r="H557" s="19">
        <f>测算参数!$B$6</f>
        <v>100</v>
      </c>
      <c r="I557" s="10">
        <v>100</v>
      </c>
      <c r="J557" s="20">
        <f t="shared" si="78"/>
        <v>1</v>
      </c>
      <c r="K557" s="16" t="s">
        <v>248</v>
      </c>
      <c r="L557" s="16" t="s">
        <v>215</v>
      </c>
      <c r="M557" s="16" t="str">
        <f t="shared" si="72"/>
        <v>模拟评分记录完整</v>
      </c>
      <c r="N557" s="8" t="s">
        <v>181</v>
      </c>
    </row>
    <row r="558" spans="1:14" ht="46.05" customHeight="1">
      <c r="A558" s="16" t="s">
        <v>84</v>
      </c>
      <c r="B558" s="16">
        <v>2</v>
      </c>
      <c r="C558" s="17" t="str">
        <f>三案例选用!C17</f>
        <v>SC-029</v>
      </c>
      <c r="D558" s="16" t="s">
        <v>224</v>
      </c>
      <c r="E558" s="16" t="str">
        <f t="shared" si="77"/>
        <v>适用</v>
      </c>
      <c r="F558" s="17" t="str">
        <f>IF(TRUE,IF(COUNTIFS(资产清单!$A$6:$A$25,A558)&lt;&gt;1,"",IF(INDEX(资产清单!$I$6:$I$25,MATCH(A558,资产清单!$A$6:$A$25,0))="","",INDEX(资产清单!$I$6:$I$25,MATCH(A558,资产清单!$A$6:$A$25,0)))),"不适用")</f>
        <v>屋顶点位</v>
      </c>
      <c r="G558" s="17" t="str">
        <f>IF(TRUE,IF(COUNTIFS(市场案例库!$A$6:$A$35,C558)&lt;&gt;1,"",IF(INDEX(市场案例库!$O$6:$O$35,MATCH(C558,市场案例库!$A$6:$A$35,0))="","",INDEX(市场案例库!$O$6:$O$35,MATCH(C558,市场案例库!$A$6:$A$35,0)))),"不适用")</f>
        <v>屋顶点位</v>
      </c>
      <c r="H558" s="19">
        <f>测算参数!$B$6</f>
        <v>100</v>
      </c>
      <c r="I558" s="10">
        <v>100</v>
      </c>
      <c r="J558" s="20">
        <f t="shared" si="78"/>
        <v>1</v>
      </c>
      <c r="K558" s="16" t="s">
        <v>248</v>
      </c>
      <c r="L558" s="16" t="s">
        <v>215</v>
      </c>
      <c r="M558" s="16" t="str">
        <f t="shared" si="72"/>
        <v>模拟评分记录完整</v>
      </c>
      <c r="N558" s="8" t="s">
        <v>181</v>
      </c>
    </row>
    <row r="559" spans="1:14" ht="46.05" customHeight="1">
      <c r="A559" s="16" t="s">
        <v>84</v>
      </c>
      <c r="B559" s="16">
        <v>2</v>
      </c>
      <c r="C559" s="17" t="str">
        <f>三案例选用!C17</f>
        <v>SC-029</v>
      </c>
      <c r="D559" s="16" t="s">
        <v>225</v>
      </c>
      <c r="E559" s="16" t="str">
        <f t="shared" si="77"/>
        <v>适用</v>
      </c>
      <c r="F559" s="17" t="str">
        <f>IF(TRUE,IF(COUNTIFS(资产清单!$A$6:$A$25,A559)&lt;&gt;1,"",IF(INDEX(资产清单!$I$6:$I$25,MATCH(A559,资产清单!$A$6:$A$25,0))="","",INDEX(资产清单!$I$6:$I$25,MATCH(A559,资产清单!$A$6:$A$25,0)))),"不适用")</f>
        <v>屋顶点位</v>
      </c>
      <c r="G559" s="17" t="str">
        <f>IF(TRUE,IF(COUNTIFS(市场案例库!$A$6:$A$35,C559)&lt;&gt;1,"",IF(INDEX(市场案例库!$O$6:$O$35,MATCH(C559,市场案例库!$A$6:$A$35,0))="","",INDEX(市场案例库!$O$6:$O$35,MATCH(C559,市场案例库!$A$6:$A$35,0)))),"不适用")</f>
        <v>屋顶点位</v>
      </c>
      <c r="H559" s="19">
        <f>测算参数!$B$6</f>
        <v>100</v>
      </c>
      <c r="I559" s="10">
        <v>100</v>
      </c>
      <c r="J559" s="20">
        <f t="shared" si="78"/>
        <v>1</v>
      </c>
      <c r="K559" s="16" t="s">
        <v>248</v>
      </c>
      <c r="L559" s="16" t="s">
        <v>215</v>
      </c>
      <c r="M559" s="16" t="str">
        <f t="shared" si="72"/>
        <v>模拟评分记录完整</v>
      </c>
      <c r="N559" s="8" t="s">
        <v>181</v>
      </c>
    </row>
    <row r="560" spans="1:14" ht="46.05" customHeight="1">
      <c r="A560" s="16" t="s">
        <v>84</v>
      </c>
      <c r="B560" s="16">
        <v>2</v>
      </c>
      <c r="C560" s="17" t="str">
        <f>三案例选用!C17</f>
        <v>SC-029</v>
      </c>
      <c r="D560" s="16" t="s">
        <v>226</v>
      </c>
      <c r="E560" s="16" t="str">
        <f t="shared" si="77"/>
        <v>适用</v>
      </c>
      <c r="F560" s="17" t="str">
        <f>IF(TRUE,IF(COUNTIFS(资产清单!$A$6:$A$25,A560)&lt;&gt;1,"",IF(INDEX(资产清单!$I$6:$I$25,MATCH(A560,资产清单!$A$6:$A$25,0))="","",INDEX(资产清单!$I$6:$I$25,MATCH(A560,资产清单!$A$6:$A$25,0)))),"不适用")</f>
        <v>屋顶点位</v>
      </c>
      <c r="G560" s="17" t="str">
        <f>IF(TRUE,IF(COUNTIFS(市场案例库!$A$6:$A$35,C560)&lt;&gt;1,"",IF(INDEX(市场案例库!$O$6:$O$35,MATCH(C560,市场案例库!$A$6:$A$35,0))="","",INDEX(市场案例库!$O$6:$O$35,MATCH(C560,市场案例库!$A$6:$A$35,0)))),"不适用")</f>
        <v>屋顶点位</v>
      </c>
      <c r="H560" s="19">
        <f>测算参数!$B$6</f>
        <v>100</v>
      </c>
      <c r="I560" s="10">
        <v>100</v>
      </c>
      <c r="J560" s="20">
        <f t="shared" si="78"/>
        <v>1</v>
      </c>
      <c r="K560" s="16" t="s">
        <v>248</v>
      </c>
      <c r="L560" s="16" t="s">
        <v>215</v>
      </c>
      <c r="M560" s="16" t="str">
        <f t="shared" si="72"/>
        <v>模拟评分记录完整</v>
      </c>
      <c r="N560" s="8" t="s">
        <v>181</v>
      </c>
    </row>
    <row r="561" spans="1:14" ht="46.05" customHeight="1">
      <c r="A561" s="16" t="s">
        <v>84</v>
      </c>
      <c r="B561" s="16">
        <v>2</v>
      </c>
      <c r="C561" s="17" t="str">
        <f>三案例选用!C17</f>
        <v>SC-029</v>
      </c>
      <c r="D561" s="16" t="s">
        <v>227</v>
      </c>
      <c r="E561" s="16" t="str">
        <f t="shared" si="77"/>
        <v>适用</v>
      </c>
      <c r="F561" s="17" t="str">
        <f>IF(TRUE,IF(COUNTIFS(资产清单!$A$6:$A$25,A561)&lt;&gt;1,"",IF(INDEX(资产清单!$I$6:$I$25,MATCH(A561,资产清单!$A$6:$A$25,0))="","",INDEX(资产清单!$I$6:$I$25,MATCH(A561,资产清单!$A$6:$A$25,0)))),"不适用")</f>
        <v>屋顶点位</v>
      </c>
      <c r="G561" s="17" t="str">
        <f>IF(TRUE,IF(COUNTIFS(市场案例库!$A$6:$A$35,C561)&lt;&gt;1,"",IF(INDEX(市场案例库!$O$6:$O$35,MATCH(C561,市场案例库!$A$6:$A$35,0))="","",INDEX(市场案例库!$O$6:$O$35,MATCH(C561,市场案例库!$A$6:$A$35,0)))),"不适用")</f>
        <v>屋顶点位</v>
      </c>
      <c r="H561" s="19">
        <f>测算参数!$B$6</f>
        <v>100</v>
      </c>
      <c r="I561" s="10">
        <v>100</v>
      </c>
      <c r="J561" s="20">
        <f t="shared" si="78"/>
        <v>1</v>
      </c>
      <c r="K561" s="16" t="s">
        <v>248</v>
      </c>
      <c r="L561" s="16" t="s">
        <v>215</v>
      </c>
      <c r="M561" s="16" t="str">
        <f t="shared" si="72"/>
        <v>模拟评分记录完整</v>
      </c>
      <c r="N561" s="8" t="s">
        <v>181</v>
      </c>
    </row>
    <row r="562" spans="1:14" ht="46.05" customHeight="1">
      <c r="A562" s="16" t="s">
        <v>84</v>
      </c>
      <c r="B562" s="16">
        <v>2</v>
      </c>
      <c r="C562" s="17" t="str">
        <f>三案例选用!C17</f>
        <v>SC-029</v>
      </c>
      <c r="D562" s="16" t="s">
        <v>228</v>
      </c>
      <c r="E562" s="17" t="str">
        <f>IF(AND(IF(COUNTIFS(资产清单!$A$6:$A$25,A562)&lt;&gt;1,"",IF(INDEX(资产清单!$H$6:$H$25,MATCH(A562,资产清单!$A$6:$A$25,0))="","",INDEX(资产清单!$H$6:$H$25,MATCH(A562,资产清单!$A$6:$A$25,0))))&lt;&gt;"场地",IF(COUNTIFS(资产清单!$A$6:$A$25,A562)&lt;&gt;1,"",IF(INDEX(资产清单!$H$6:$H$25,MATCH(A562,资产清单!$A$6:$A$25,0))="","",INDEX(资产清单!$H$6:$H$25,MATCH(A562,资产清单!$A$6:$A$25,0))))&lt;&gt;"车位",IF(COUNTIFS(资产清单!$A$6:$A$25,A562)&lt;&gt;1,"",IF(INDEX(资产清单!$H$6:$H$25,MATCH(A562,资产清单!$A$6:$A$25,0))="","",INDEX(资产清单!$H$6:$H$25,MATCH(A562,资产清单!$A$6:$A$25,0))))&lt;&gt;"通信基站"),"适用","不适用采用100/100")</f>
        <v>不适用采用100/100</v>
      </c>
      <c r="F562" s="17" t="str">
        <f>IF(AND(IF(COUNTIFS(资产清单!$A$6:$A$25,A562)&lt;&gt;1,"",IF(INDEX(资产清单!$H$6:$H$25,MATCH(A562,资产清单!$A$6:$A$25,0))="","",INDEX(资产清单!$H$6:$H$25,MATCH(A562,资产清单!$A$6:$A$25,0))))&lt;&gt;"场地",IF(COUNTIFS(资产清单!$A$6:$A$25,A562)&lt;&gt;1,"",IF(INDEX(资产清单!$H$6:$H$25,MATCH(A562,资产清单!$A$6:$A$25,0))="","",INDEX(资产清单!$H$6:$H$25,MATCH(A562,资产清单!$A$6:$A$25,0))))&lt;&gt;"车位",IF(COUNTIFS(资产清单!$A$6:$A$25,A562)&lt;&gt;1,"",IF(INDEX(资产清单!$H$6:$H$25,MATCH(A562,资产清单!$A$6:$A$25,0))="","",INDEX(资产清单!$H$6:$H$25,MATCH(A562,资产清单!$A$6:$A$25,0))))&lt;&gt;"通信基站"),IF(COUNTIFS(资产清单!$A$6:$A$25,A562)&lt;&gt;1,"",IF(INDEX(资产清单!$I$6:$I$25,MATCH(A562,资产清单!$A$6:$A$25,0))="","",INDEX(资产清单!$I$6:$I$25,MATCH(A562,资产清单!$A$6:$A$25,0)))),"不适用")</f>
        <v>不适用</v>
      </c>
      <c r="G562" s="17" t="str">
        <f>IF(AND(IF(COUNTIFS(资产清单!$A$6:$A$25,A562)&lt;&gt;1,"",IF(INDEX(资产清单!$H$6:$H$25,MATCH(A562,资产清单!$A$6:$A$25,0))="","",INDEX(资产清单!$H$6:$H$25,MATCH(A562,资产清单!$A$6:$A$25,0))))&lt;&gt;"场地",IF(COUNTIFS(资产清单!$A$6:$A$25,A562)&lt;&gt;1,"",IF(INDEX(资产清单!$H$6:$H$25,MATCH(A562,资产清单!$A$6:$A$25,0))="","",INDEX(资产清单!$H$6:$H$25,MATCH(A562,资产清单!$A$6:$A$25,0))))&lt;&gt;"车位",IF(COUNTIFS(资产清单!$A$6:$A$25,A562)&lt;&gt;1,"",IF(INDEX(资产清单!$H$6:$H$25,MATCH(A562,资产清单!$A$6:$A$25,0))="","",INDEX(资产清单!$H$6:$H$25,MATCH(A562,资产清单!$A$6:$A$25,0))))&lt;&gt;"通信基站"),IF(COUNTIFS(市场案例库!$A$6:$A$35,C562)&lt;&gt;1,"",IF(INDEX(市场案例库!$O$6:$O$35,MATCH(C562,市场案例库!$A$6:$A$35,0))="","",INDEX(市场案例库!$O$6:$O$35,MATCH(C562,市场案例库!$A$6:$A$35,0)))),"不适用")</f>
        <v>不适用</v>
      </c>
      <c r="H562" s="19">
        <f>测算参数!$B$6</f>
        <v>100</v>
      </c>
      <c r="I562" s="10">
        <v>100</v>
      </c>
      <c r="J562" s="21">
        <f>IF(OR(C562&lt;&gt;N562,COUNT(H562:I562)&lt;&gt;2,H562&lt;=0,I562&lt;=0),"",IF(AND(IF(COUNTIFS(资产清单!$A$6:$A$25,A562)&lt;&gt;1,"",IF(INDEX(资产清单!$H$6:$H$25,MATCH(A562,资产清单!$A$6:$A$25,0))="","",INDEX(资产清单!$H$6:$H$25,MATCH(A562,资产清单!$A$6:$A$25,0))))&lt;&gt;"场地",IF(COUNTIFS(资产清单!$A$6:$A$25,A562)&lt;&gt;1,"",IF(INDEX(资产清单!$H$6:$H$25,MATCH(A562,资产清单!$A$6:$A$25,0))="","",INDEX(资产清单!$H$6:$H$25,MATCH(A562,资产清单!$A$6:$A$25,0))))&lt;&gt;"车位",IF(COUNTIFS(资产清单!$A$6:$A$25,A562)&lt;&gt;1,"",IF(INDEX(资产清单!$H$6:$H$25,MATCH(A562,资产清单!$A$6:$A$25,0))="","",INDEX(资产清单!$H$6:$H$25,MATCH(A562,资产清单!$A$6:$A$25,0))))&lt;&gt;"通信基站"),H562/I562,H562/H562))</f>
        <v>1</v>
      </c>
      <c r="K562" s="16" t="s">
        <v>248</v>
      </c>
      <c r="L562" s="16" t="s">
        <v>215</v>
      </c>
      <c r="M562" s="16" t="str">
        <f t="shared" si="72"/>
        <v>模拟评分记录完整</v>
      </c>
      <c r="N562" s="8" t="s">
        <v>181</v>
      </c>
    </row>
    <row r="563" spans="1:14" ht="46.05" customHeight="1">
      <c r="A563" s="16" t="s">
        <v>84</v>
      </c>
      <c r="B563" s="16">
        <v>2</v>
      </c>
      <c r="C563" s="17" t="str">
        <f>三案例选用!C17</f>
        <v>SC-029</v>
      </c>
      <c r="D563" s="16" t="s">
        <v>229</v>
      </c>
      <c r="E563" s="17" t="str">
        <f>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"适用","不适用采用100/100")</f>
        <v>不适用采用100/100</v>
      </c>
      <c r="F563" s="17" t="str">
        <f>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IF(COUNTIFS(资产清单!$A$6:$A$25,A563)&lt;&gt;1,"",IF(COUNT(INDEX(资产清单!$N$6:$N$25,MATCH(A563,资产清单!$A$6:$A$25,0)))&lt;&gt;1,"",INDEX(资产清单!$N$6:$N$25,MATCH(A563,资产清单!$A$6:$A$25,0)))),"不适用")</f>
        <v>不适用</v>
      </c>
      <c r="G563" s="17" t="str">
        <f>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IF(COUNTIFS(市场案例库!$A$6:$A$35,C563)&lt;&gt;1,"",IF(COUNT(INDEX(市场案例库!$I$6:$I$35,MATCH(C563,市场案例库!$A$6:$A$35,0)))&lt;&gt;1,"",INDEX(市场案例库!$I$6:$I$35,MATCH(C563,市场案例库!$A$6:$A$35,0)))),"不适用")</f>
        <v>不适用</v>
      </c>
      <c r="H563" s="19">
        <f>测算参数!$B$6</f>
        <v>100</v>
      </c>
      <c r="I563" s="19">
        <f>IF(OR(COUNTIFS(市场案例库!$A$6:$A$35,C563)&lt;&gt;1,AND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OR(COUNT(IF(COUNTIFS(资产清单!$A$6:$A$25,A563)&lt;&gt;1,"",IF(COUNT(INDEX(资产清单!$N$6:$N$25,MATCH(A563,资产清单!$A$6:$A$25,0)))&lt;&gt;1,"",INDEX(资产清单!$N$6:$N$25,MATCH(A563,资产清单!$A$6:$A$25,0)))),IF(COUNTIFS(市场案例库!$A$6:$A$35,C563)&lt;&gt;1,"",IF(COUNT(INDEX(市场案例库!$I$6:$I$35,MATCH(C563,市场案例库!$A$6:$A$35,0)))&lt;&gt;1,"",INDEX(市场案例库!$I$6:$I$35,MATCH(C563,市场案例库!$A$6:$A$35,0)))))&lt;&gt;2,IF(COUNTIFS(资产清单!$A$6:$A$25,A563)&lt;&gt;1,"",IF(COUNT(INDEX(资产清单!$N$6:$N$25,MATCH(A563,资产清单!$A$6:$A$25,0)))&lt;&gt;1,"",INDEX(资产清单!$N$6:$N$25,MATCH(A563,资产清单!$A$6:$A$25,0))))&lt;1,IF(COUNTIFS(资产清单!$A$6:$A$25,A563)&lt;&gt;1,"",IF(COUNT(INDEX(资产清单!$N$6:$N$25,MATCH(A563,资产清单!$A$6:$A$25,0)))&lt;&gt;1,"",INDEX(资产清单!$N$6:$N$25,MATCH(A563,资产清单!$A$6:$A$25,0))))&gt;4,IF(COUNTIFS(市场案例库!$A$6:$A$35,C563)&lt;&gt;1,"",IF(COUNT(INDEX(市场案例库!$I$6:$I$35,MATCH(C563,市场案例库!$A$6:$A$35,0)))&lt;&gt;1,"",INDEX(市场案例库!$I$6:$I$35,MATCH(C563,市场案例库!$A$6:$A$35,0))))&lt;1,IF(COUNTIFS(市场案例库!$A$6:$A$35,C563)&lt;&gt;1,"",IF(COUNT(INDEX(市场案例库!$I$6:$I$35,MATCH(C563,市场案例库!$A$6:$A$35,0)))&lt;&gt;1,"",INDEX(市场案例库!$I$6:$I$35,MATCH(C563,市场案例库!$A$6:$A$35,0))))&gt;4))),"",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INDEX(测算参数!$B$35:$B$41,MATCH(IF(COUNTIFS(市场案例库!$A$6:$A$35,C563)&lt;&gt;1,"",IF(COUNT(INDEX(市场案例库!$I$6:$I$35,MATCH(C563,市场案例库!$A$6:$A$35,0)))&lt;&gt;1,"",INDEX(市场案例库!$I$6:$I$35,MATCH(C563,市场案例库!$A$6:$A$35,0))))-IF(COUNTIFS(资产清单!$A$6:$A$25,A563)&lt;&gt;1,"",IF(COUNT(INDEX(资产清单!$N$6:$N$25,MATCH(A563,资产清单!$A$6:$A$25,0)))&lt;&gt;1,"",INDEX(资产清单!$N$6:$N$25,MATCH(A563,资产清单!$A$6:$A$25,0)))),测算参数!$A$35:$A$41,0)),测算参数!$B$6))</f>
        <v>100</v>
      </c>
      <c r="J563" s="21">
        <f>IF(OR(C563&lt;&gt;N563,COUNT(H563:I563)&lt;&gt;2,H563&lt;=0,I563&lt;=0),"",IF(AND(IF(COUNTIFS(资产清单!$A$6:$A$25,A563)&lt;&gt;1,"",IF(INDEX(资产清单!$H$6:$H$25,MATCH(A563,资产清单!$A$6:$A$25,0))="","",INDEX(资产清单!$H$6:$H$25,MATCH(A563,资产清单!$A$6:$A$25,0))))&lt;&gt;"场地",IF(COUNTIFS(资产清单!$A$6:$A$25,A563)&lt;&gt;1,"",IF(INDEX(资产清单!$H$6:$H$25,MATCH(A563,资产清单!$A$6:$A$25,0))="","",INDEX(资产清单!$H$6:$H$25,MATCH(A563,资产清单!$A$6:$A$25,0))))&lt;&gt;"车位",IF(COUNTIFS(资产清单!$A$6:$A$25,A563)&lt;&gt;1,"",IF(INDEX(资产清单!$H$6:$H$25,MATCH(A563,资产清单!$A$6:$A$25,0))="","",INDEX(资产清单!$H$6:$H$25,MATCH(A563,资产清单!$A$6:$A$25,0))))&lt;&gt;"通信基站"),H563/I563,H563/H563))</f>
        <v>1</v>
      </c>
      <c r="K563" s="16" t="s">
        <v>248</v>
      </c>
      <c r="L563" s="16" t="s">
        <v>230</v>
      </c>
      <c r="M563" s="16" t="str">
        <f t="shared" si="72"/>
        <v>模拟评分记录完整</v>
      </c>
      <c r="N563" s="8" t="s">
        <v>181</v>
      </c>
    </row>
    <row r="564" spans="1:14" ht="46.05" customHeight="1">
      <c r="A564" s="16" t="s">
        <v>84</v>
      </c>
      <c r="B564" s="16">
        <v>2</v>
      </c>
      <c r="C564" s="17" t="str">
        <f>三案例选用!C17</f>
        <v>SC-029</v>
      </c>
      <c r="D564" s="16" t="s">
        <v>231</v>
      </c>
      <c r="E564" s="17" t="str">
        <f>IF(AND(IF(COUNTIFS(资产清单!$A$6:$A$25,A564)&lt;&gt;1,"",IF(INDEX(资产清单!$H$6:$H$25,MATCH(A564,资产清单!$A$6:$A$25,0))="","",INDEX(资产清单!$H$6:$H$25,MATCH(A564,资产清单!$A$6:$A$25,0))))&lt;&gt;"场地",IF(COUNTIFS(资产清单!$A$6:$A$25,A564)&lt;&gt;1,"",IF(INDEX(资产清单!$H$6:$H$25,MATCH(A564,资产清单!$A$6:$A$25,0))="","",INDEX(资产清单!$H$6:$H$25,MATCH(A564,资产清单!$A$6:$A$25,0))))&lt;&gt;"车位",IF(COUNTIFS(资产清单!$A$6:$A$25,A564)&lt;&gt;1,"",IF(INDEX(资产清单!$H$6:$H$25,MATCH(A564,资产清单!$A$6:$A$25,0))="","",INDEX(资产清单!$H$6:$H$25,MATCH(A564,资产清单!$A$6:$A$25,0))))&lt;&gt;"通信基站"),"适用","不适用采用100/100")</f>
        <v>不适用采用100/100</v>
      </c>
      <c r="F564" s="17" t="str">
        <f>IF(AND(IF(COUNTIFS(资产清单!$A$6:$A$25,A564)&lt;&gt;1,"",IF(INDEX(资产清单!$H$6:$H$25,MATCH(A564,资产清单!$A$6:$A$25,0))="","",INDEX(资产清单!$H$6:$H$25,MATCH(A564,资产清单!$A$6:$A$25,0))))&lt;&gt;"场地",IF(COUNTIFS(资产清单!$A$6:$A$25,A564)&lt;&gt;1,"",IF(INDEX(资产清单!$H$6:$H$25,MATCH(A564,资产清单!$A$6:$A$25,0))="","",INDEX(资产清单!$H$6:$H$25,MATCH(A564,资产清单!$A$6:$A$25,0))))&lt;&gt;"车位",IF(COUNTIFS(资产清单!$A$6:$A$25,A564)&lt;&gt;1,"",IF(INDEX(资产清单!$H$6:$H$25,MATCH(A564,资产清单!$A$6:$A$25,0))="","",INDEX(资产清单!$H$6:$H$25,MATCH(A564,资产清单!$A$6:$A$25,0))))&lt;&gt;"通信基站"),IF(COUNTIFS(资产清单!$A$6:$A$25,A564)&lt;&gt;1,"",IF(INDEX(资产清单!$I$6:$I$25,MATCH(A564,资产清单!$A$6:$A$25,0))="","",INDEX(资产清单!$I$6:$I$25,MATCH(A564,资产清单!$A$6:$A$25,0)))),"不适用")</f>
        <v>不适用</v>
      </c>
      <c r="G564" s="17" t="str">
        <f>IF(AND(IF(COUNTIFS(资产清单!$A$6:$A$25,A564)&lt;&gt;1,"",IF(INDEX(资产清单!$H$6:$H$25,MATCH(A564,资产清单!$A$6:$A$25,0))="","",INDEX(资产清单!$H$6:$H$25,MATCH(A564,资产清单!$A$6:$A$25,0))))&lt;&gt;"场地",IF(COUNTIFS(资产清单!$A$6:$A$25,A564)&lt;&gt;1,"",IF(INDEX(资产清单!$H$6:$H$25,MATCH(A564,资产清单!$A$6:$A$25,0))="","",INDEX(资产清单!$H$6:$H$25,MATCH(A564,资产清单!$A$6:$A$25,0))))&lt;&gt;"车位",IF(COUNTIFS(资产清单!$A$6:$A$25,A564)&lt;&gt;1,"",IF(INDEX(资产清单!$H$6:$H$25,MATCH(A564,资产清单!$A$6:$A$25,0))="","",INDEX(资产清单!$H$6:$H$25,MATCH(A564,资产清单!$A$6:$A$25,0))))&lt;&gt;"通信基站"),IF(COUNTIFS(市场案例库!$A$6:$A$35,C564)&lt;&gt;1,"",IF(INDEX(市场案例库!$O$6:$O$35,MATCH(C564,市场案例库!$A$6:$A$35,0))="","",INDEX(市场案例库!$O$6:$O$35,MATCH(C564,市场案例库!$A$6:$A$35,0)))),"不适用")</f>
        <v>不适用</v>
      </c>
      <c r="H564" s="19">
        <f>测算参数!$B$6</f>
        <v>100</v>
      </c>
      <c r="I564" s="10">
        <v>100</v>
      </c>
      <c r="J564" s="21">
        <f>IF(OR(C564&lt;&gt;N564,COUNT(H564:I564)&lt;&gt;2,H564&lt;=0,I564&lt;=0),"",IF(AND(IF(COUNTIFS(资产清单!$A$6:$A$25,A564)&lt;&gt;1,"",IF(INDEX(资产清单!$H$6:$H$25,MATCH(A564,资产清单!$A$6:$A$25,0))="","",INDEX(资产清单!$H$6:$H$25,MATCH(A564,资产清单!$A$6:$A$25,0))))&lt;&gt;"场地",IF(COUNTIFS(资产清单!$A$6:$A$25,A564)&lt;&gt;1,"",IF(INDEX(资产清单!$H$6:$H$25,MATCH(A564,资产清单!$A$6:$A$25,0))="","",INDEX(资产清单!$H$6:$H$25,MATCH(A564,资产清单!$A$6:$A$25,0))))&lt;&gt;"车位",IF(COUNTIFS(资产清单!$A$6:$A$25,A564)&lt;&gt;1,"",IF(INDEX(资产清单!$H$6:$H$25,MATCH(A564,资产清单!$A$6:$A$25,0))="","",INDEX(资产清单!$H$6:$H$25,MATCH(A564,资产清单!$A$6:$A$25,0))))&lt;&gt;"通信基站"),H564/I564,H564/H564))</f>
        <v>1</v>
      </c>
      <c r="K564" s="16" t="s">
        <v>248</v>
      </c>
      <c r="L564" s="16" t="s">
        <v>215</v>
      </c>
      <c r="M564" s="16" t="str">
        <f t="shared" si="72"/>
        <v>模拟评分记录完整</v>
      </c>
      <c r="N564" s="8" t="s">
        <v>181</v>
      </c>
    </row>
    <row r="565" spans="1:14" ht="46.05" customHeight="1">
      <c r="A565" s="16" t="s">
        <v>84</v>
      </c>
      <c r="B565" s="16">
        <v>2</v>
      </c>
      <c r="C565" s="17" t="str">
        <f>三案例选用!C17</f>
        <v>SC-029</v>
      </c>
      <c r="D565" s="16" t="s">
        <v>232</v>
      </c>
      <c r="E565" s="16" t="str">
        <f>IF(TRUE,"适用","不适用采用100/100")</f>
        <v>适用</v>
      </c>
      <c r="F565" s="17" t="str">
        <f>IF(TRUE,IF(COUNTIFS(资产清单!$A$6:$A$25,A565)&lt;&gt;1,"",IF(INDEX(资产清单!$I$6:$I$25,MATCH(A565,资产清单!$A$6:$A$25,0))="","",INDEX(资产清单!$I$6:$I$25,MATCH(A565,资产清单!$A$6:$A$25,0)))),"不适用")</f>
        <v>屋顶点位</v>
      </c>
      <c r="G565" s="17" t="str">
        <f>IF(TRUE,IF(COUNTIFS(市场案例库!$A$6:$A$35,C565)&lt;&gt;1,"",IF(INDEX(市场案例库!$O$6:$O$35,MATCH(C565,市场案例库!$A$6:$A$35,0))="","",INDEX(市场案例库!$O$6:$O$35,MATCH(C565,市场案例库!$A$6:$A$35,0)))),"不适用")</f>
        <v>屋顶点位</v>
      </c>
      <c r="H565" s="19">
        <f>测算参数!$B$6</f>
        <v>100</v>
      </c>
      <c r="I565" s="10">
        <v>100</v>
      </c>
      <c r="J565" s="20">
        <f>IF(OR(C565&lt;&gt;N565,COUNT(H565:I565)&lt;&gt;2,H565&lt;=0,I565&lt;=0),"",IF(TRUE,H565/I565,H565/H565))</f>
        <v>1</v>
      </c>
      <c r="K565" s="16" t="s">
        <v>248</v>
      </c>
      <c r="L565" s="16" t="s">
        <v>215</v>
      </c>
      <c r="M565" s="16" t="str">
        <f t="shared" si="72"/>
        <v>模拟评分记录完整</v>
      </c>
      <c r="N565" s="8" t="s">
        <v>181</v>
      </c>
    </row>
    <row r="566" spans="1:14" ht="46.05" customHeight="1">
      <c r="A566" s="16" t="s">
        <v>84</v>
      </c>
      <c r="B566" s="16">
        <v>3</v>
      </c>
      <c r="C566" s="17" t="str">
        <f>三案例选用!D17</f>
        <v>SC-030</v>
      </c>
      <c r="D566" s="16" t="s">
        <v>209</v>
      </c>
      <c r="E566" s="16" t="str">
        <f>IF(TRUE,"适用","不适用采用100/100")</f>
        <v>适用</v>
      </c>
      <c r="F566" s="17" t="str">
        <f>IF(TRUE,IF(COUNTIFS(资产清单!$A$6:$A$25,A566)&lt;&gt;1,"",IF(INDEX(资产清单!$I$6:$I$25,MATCH(A566,资产清单!$A$6:$A$25,0))="","",INDEX(资产清单!$I$6:$I$25,MATCH(A566,资产清单!$A$6:$A$25,0)))),"不适用")</f>
        <v>屋顶点位</v>
      </c>
      <c r="G566" s="17" t="str">
        <f>IF(TRUE,IF(COUNTIFS(市场案例库!$A$6:$A$35,C566)&lt;&gt;1,"",IF(INDEX(市场案例库!$O$6:$O$35,MATCH(C566,市场案例库!$A$6:$A$35,0))="","",INDEX(市场案例库!$O$6:$O$35,MATCH(C566,市场案例库!$A$6:$A$35,0)))),"不适用")</f>
        <v>屋顶点位</v>
      </c>
      <c r="H566" s="19">
        <f>测算参数!$B$6</f>
        <v>100</v>
      </c>
      <c r="I566" s="19">
        <f>IF(OR(COUNTIFS(市场案例库!$A$6:$A$35,C566)&lt;&gt;1),"",IF(COUNTIFS(市场案例库!$A$6:$A$35,C566)&lt;&gt;1,"",IF(COUNT(INDEX(市场案例库!$M$6:$M$35,MATCH(C566,市场案例库!$A$6:$A$35,0)))&lt;&gt;1,"",INDEX(市场案例库!$M$6:$M$35,MATCH(C566,市场案例库!$A$6:$A$35,0)))))</f>
        <v>102</v>
      </c>
      <c r="J566" s="20">
        <f>IF(OR(C566&lt;&gt;N566,COUNT(H566:I566)&lt;&gt;2,H566&lt;=0,I566&lt;=0),"",IF(TRUE,H566/I566,H566/H566))</f>
        <v>0.98039215686274506</v>
      </c>
      <c r="K566" s="16" t="s">
        <v>248</v>
      </c>
      <c r="L566" s="16" t="s">
        <v>211</v>
      </c>
      <c r="M566" s="16" t="str">
        <f t="shared" si="72"/>
        <v>模拟评分记录完整</v>
      </c>
      <c r="N566" s="8" t="s">
        <v>182</v>
      </c>
    </row>
    <row r="567" spans="1:14" ht="46.05" customHeight="1">
      <c r="A567" s="16" t="s">
        <v>84</v>
      </c>
      <c r="B567" s="16">
        <v>3</v>
      </c>
      <c r="C567" s="17" t="str">
        <f>三案例选用!D17</f>
        <v>SC-030</v>
      </c>
      <c r="D567" s="16" t="s">
        <v>212</v>
      </c>
      <c r="E567" s="16" t="str">
        <f>IF(TRUE,"适用","不适用采用100/100")</f>
        <v>适用</v>
      </c>
      <c r="F567" s="17" t="str">
        <f>IF(TRUE,IF(COUNTIFS(资产清单!$A$6:$A$25,A567)&lt;&gt;1,"",IF(INDEX(资产清单!$I$6:$I$25,MATCH(A567,资产清单!$A$6:$A$25,0))="","",INDEX(资产清单!$I$6:$I$25,MATCH(A567,资产清单!$A$6:$A$25,0)))),"不适用")</f>
        <v>屋顶点位</v>
      </c>
      <c r="G567" s="17" t="str">
        <f>IF(TRUE,IF(COUNTIFS(市场案例库!$A$6:$A$35,C567)&lt;&gt;1,"",IF(INDEX(市场案例库!$O$6:$O$35,MATCH(C567,市场案例库!$A$6:$A$35,0))="","",INDEX(市场案例库!$O$6:$O$35,MATCH(C567,市场案例库!$A$6:$A$35,0)))),"不适用")</f>
        <v>屋顶点位</v>
      </c>
      <c r="H567" s="19">
        <f>测算参数!$B$6</f>
        <v>100</v>
      </c>
      <c r="I567" s="19">
        <f>IF(OR(COUNTIFS(市场案例库!$A$6:$A$35,C567)&lt;&gt;1),"",IF(COUNTIFS(市场案例库!$A$6:$A$35,C567)&lt;&gt;1,"",IF(COUNT(INDEX(市场案例库!$N$6:$N$35,MATCH(C567,市场案例库!$A$6:$A$35,0)))&lt;&gt;1,"",INDEX(市场案例库!$N$6:$N$35,MATCH(C567,市场案例库!$A$6:$A$35,0)))))</f>
        <v>100</v>
      </c>
      <c r="J567" s="20">
        <f>IF(OR(C567&lt;&gt;N567,COUNT(H567:I567)&lt;&gt;2,H567&lt;=0,I567&lt;=0),"",IF(TRUE,H567/I567,H567/H567))</f>
        <v>1</v>
      </c>
      <c r="K567" s="16" t="s">
        <v>248</v>
      </c>
      <c r="L567" s="16" t="s">
        <v>213</v>
      </c>
      <c r="M567" s="16" t="str">
        <f t="shared" si="72"/>
        <v>模拟评分记录完整</v>
      </c>
      <c r="N567" s="8" t="s">
        <v>182</v>
      </c>
    </row>
    <row r="568" spans="1:14" ht="46.05" customHeight="1">
      <c r="A568" s="16" t="s">
        <v>84</v>
      </c>
      <c r="B568" s="16">
        <v>3</v>
      </c>
      <c r="C568" s="17" t="str">
        <f>三案例选用!D17</f>
        <v>SC-030</v>
      </c>
      <c r="D568" s="16" t="s">
        <v>214</v>
      </c>
      <c r="E568" s="16" t="str">
        <f>IF(TRUE,"适用","不适用采用100/100")</f>
        <v>适用</v>
      </c>
      <c r="F568" s="17" t="str">
        <f>IF(TRUE,IF(COUNTIFS(资产清单!$A$6:$A$25,A568)&lt;&gt;1,"",IF(INDEX(资产清单!$I$6:$I$25,MATCH(A568,资产清单!$A$6:$A$25,0))="","",INDEX(资产清单!$I$6:$I$25,MATCH(A568,资产清单!$A$6:$A$25,0)))),"不适用")</f>
        <v>屋顶点位</v>
      </c>
      <c r="G568" s="17" t="str">
        <f>IF(TRUE,IF(COUNTIFS(市场案例库!$A$6:$A$35,C568)&lt;&gt;1,"",IF(INDEX(市场案例库!$O$6:$O$35,MATCH(C568,市场案例库!$A$6:$A$35,0))="","",INDEX(市场案例库!$O$6:$O$35,MATCH(C568,市场案例库!$A$6:$A$35,0)))),"不适用")</f>
        <v>屋顶点位</v>
      </c>
      <c r="H568" s="19">
        <f>测算参数!$B$6</f>
        <v>100</v>
      </c>
      <c r="I568" s="10">
        <v>100</v>
      </c>
      <c r="J568" s="20">
        <f>IF(OR(C568&lt;&gt;N568,COUNT(H568:I568)&lt;&gt;2,H568&lt;=0,I568&lt;=0),"",IF(TRUE,H568/I568,H568/H568))</f>
        <v>1</v>
      </c>
      <c r="K568" s="16" t="s">
        <v>248</v>
      </c>
      <c r="L568" s="16" t="s">
        <v>215</v>
      </c>
      <c r="M568" s="16" t="str">
        <f t="shared" si="72"/>
        <v>模拟评分记录完整</v>
      </c>
      <c r="N568" s="8" t="s">
        <v>182</v>
      </c>
    </row>
    <row r="569" spans="1:14" ht="46.05" customHeight="1">
      <c r="A569" s="16" t="s">
        <v>84</v>
      </c>
      <c r="B569" s="16">
        <v>3</v>
      </c>
      <c r="C569" s="17" t="str">
        <f>三案例选用!D17</f>
        <v>SC-030</v>
      </c>
      <c r="D569" s="16" t="s">
        <v>216</v>
      </c>
      <c r="E569" s="16" t="str">
        <f>IF(TRUE,"适用","不适用采用100/100")</f>
        <v>适用</v>
      </c>
      <c r="F569" s="17" t="str">
        <f>IF(TRUE,IF(COUNTIFS(资产清单!$A$6:$A$25,A569)&lt;&gt;1,"",IF(INDEX(资产清单!$I$6:$I$25,MATCH(A569,资产清单!$A$6:$A$25,0))="","",INDEX(资产清单!$I$6:$I$25,MATCH(A569,资产清单!$A$6:$A$25,0)))),"不适用")</f>
        <v>屋顶点位</v>
      </c>
      <c r="G569" s="17" t="str">
        <f>IF(TRUE,IF(COUNTIFS(市场案例库!$A$6:$A$35,C569)&lt;&gt;1,"",IF(INDEX(市场案例库!$O$6:$O$35,MATCH(C569,市场案例库!$A$6:$A$35,0))="","",INDEX(市场案例库!$O$6:$O$35,MATCH(C569,市场案例库!$A$6:$A$35,0)))),"不适用")</f>
        <v>屋顶点位</v>
      </c>
      <c r="H569" s="19">
        <f>测算参数!$B$6</f>
        <v>100</v>
      </c>
      <c r="I569" s="10">
        <v>100</v>
      </c>
      <c r="J569" s="20">
        <f>IF(OR(C569&lt;&gt;N569,COUNT(H569:I569)&lt;&gt;2,H569&lt;=0,I569&lt;=0),"",IF(TRUE,H569/I569,H569/H569))</f>
        <v>1</v>
      </c>
      <c r="K569" s="16" t="s">
        <v>248</v>
      </c>
      <c r="L569" s="16" t="s">
        <v>215</v>
      </c>
      <c r="M569" s="16" t="str">
        <f t="shared" si="72"/>
        <v>模拟评分记录完整</v>
      </c>
      <c r="N569" s="8" t="s">
        <v>182</v>
      </c>
    </row>
    <row r="570" spans="1:14" ht="46.05" customHeight="1">
      <c r="A570" s="16" t="s">
        <v>84</v>
      </c>
      <c r="B570" s="16">
        <v>3</v>
      </c>
      <c r="C570" s="17" t="str">
        <f>三案例选用!D17</f>
        <v>SC-030</v>
      </c>
      <c r="D570" s="16" t="s">
        <v>217</v>
      </c>
      <c r="E570" s="17" t="str">
        <f>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"适用","不适用采用100/100")</f>
        <v>不适用采用100/100</v>
      </c>
      <c r="F570" s="17" t="str">
        <f>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IF(COUNTIFS(资产清单!$A$6:$A$25,A570)&lt;&gt;1,"",IF(COUNT(INDEX(资产清单!$M$6:$M$25,MATCH(A570,资产清单!$A$6:$A$25,0)))&lt;&gt;1,"",INDEX(资产清单!$M$6:$M$25,MATCH(A570,资产清单!$A$6:$A$25,0)))),"不适用")</f>
        <v>不适用</v>
      </c>
      <c r="G570" s="17" t="str">
        <f>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IF(COUNTIFS(市场案例库!$A$6:$A$35,C570)&lt;&gt;1,"",IF(COUNT(INDEX(市场案例库!$H$6:$H$35,MATCH(C570,市场案例库!$A$6:$A$35,0)))&lt;&gt;1,"",INDEX(市场案例库!$H$6:$H$35,MATCH(C570,市场案例库!$A$6:$A$35,0)))),"不适用")</f>
        <v>不适用</v>
      </c>
      <c r="H570" s="19">
        <f>测算参数!$B$6</f>
        <v>100</v>
      </c>
      <c r="I570" s="19">
        <f>IF(OR(COUNTIFS(市场案例库!$A$6:$A$35,C570)&lt;&gt;1,AND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COUNT(IF(COUNTIFS(资产清单!$A$6:$A$25,A570)&lt;&gt;1,"",IF(COUNT(INDEX(资产清单!$M$6:$M$25,MATCH(A570,资产清单!$A$6:$A$25,0)))&lt;&gt;1,"",INDEX(资产清单!$M$6:$M$25,MATCH(A570,资产清单!$A$6:$A$25,0)))),IF(COUNTIFS(市场案例库!$A$6:$A$35,C570)&lt;&gt;1,"",IF(COUNT(INDEX(市场案例库!$H$6:$H$35,MATCH(C570,市场案例库!$A$6:$A$35,0)))&lt;&gt;1,"",INDEX(市场案例库!$H$6:$H$35,MATCH(C570,市场案例库!$A$6:$A$35,0)))))&lt;&gt;2)),"",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INDEX(测算参数!$B$25:$B$31,MATCH(MAX(-测算参数!$B$11,MIN(测算参数!$B$11,IF(COUNTIFS(资产清单!$A$6:$A$25,A570)&lt;&gt;1,"",IF(COUNT(INDEX(资产清单!$M$6:$M$25,MATCH(A570,资产清单!$A$6:$A$25,0)))&lt;&gt;1,"",INDEX(资产清单!$M$6:$M$25,MATCH(A570,资产清单!$A$6:$A$25,0))))-IF(COUNTIFS(市场案例库!$A$6:$A$35,C570)&lt;&gt;1,"",IF(COUNT(INDEX(市场案例库!$H$6:$H$35,MATCH(C570,市场案例库!$A$6:$A$35,0)))&lt;&gt;1,"",INDEX(市场案例库!$H$6:$H$35,MATCH(C570,市场案例库!$A$6:$A$35,0)))))),测算参数!$A$25:$A$31,0)),测算参数!$B$6))</f>
        <v>100</v>
      </c>
      <c r="J570" s="21">
        <f>IF(OR(C570&lt;&gt;N570,COUNT(H570:I570)&lt;&gt;2,H570&lt;=0,I570&lt;=0),"",IF(OR(IF(COUNTIFS(资产清单!$A$6:$A$25,A570)&lt;&gt;1,"",IF(INDEX(资产清单!$H$6:$H$25,MATCH(A570,资产清单!$A$6:$A$25,0))="","",INDEX(资产清单!$H$6:$H$25,MATCH(A570,资产清单!$A$6:$A$25,0))))="商业",IF(COUNTIFS(资产清单!$A$6:$A$25,A570)&lt;&gt;1,"",IF(INDEX(资产清单!$H$6:$H$25,MATCH(A570,资产清单!$A$6:$A$25,0))="","",INDEX(资产清单!$H$6:$H$25,MATCH(A570,资产清单!$A$6:$A$25,0))))="办公",IF(COUNTIFS(资产清单!$A$6:$A$25,A570)&lt;&gt;1,"",IF(INDEX(资产清单!$H$6:$H$25,MATCH(A570,资产清单!$A$6:$A$25,0))="","",INDEX(资产清单!$H$6:$H$25,MATCH(A570,资产清单!$A$6:$A$25,0))))="住宅"),H570/I570,H570/H570))</f>
        <v>1</v>
      </c>
      <c r="K570" s="16" t="s">
        <v>248</v>
      </c>
      <c r="L570" s="16" t="s">
        <v>218</v>
      </c>
      <c r="M570" s="16" t="str">
        <f t="shared" si="72"/>
        <v>模拟评分记录完整</v>
      </c>
      <c r="N570" s="8" t="s">
        <v>182</v>
      </c>
    </row>
    <row r="571" spans="1:14" ht="46.05" customHeight="1">
      <c r="A571" s="16" t="s">
        <v>84</v>
      </c>
      <c r="B571" s="16">
        <v>3</v>
      </c>
      <c r="C571" s="17" t="str">
        <f>三案例选用!D17</f>
        <v>SC-030</v>
      </c>
      <c r="D571" s="16" t="s">
        <v>219</v>
      </c>
      <c r="E571" s="17" t="str">
        <f>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"适用","不适用采用100/100")</f>
        <v>不适用采用100/100</v>
      </c>
      <c r="F571" s="17" t="str">
        <f>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IF(COUNTIFS(资产清单!$A$6:$A$25,A571)&lt;&gt;1,"",IF(COUNT(INDEX(资产清单!$L$6:$L$25,MATCH(A571,资产清单!$A$6:$A$25,0)))&lt;&gt;1,"",INDEX(资产清单!$L$6:$L$25,MATCH(A571,资产清单!$A$6:$A$25,0)))),"不适用")</f>
        <v>不适用</v>
      </c>
      <c r="G571" s="17" t="str">
        <f>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IF(COUNTIFS(市场案例库!$A$6:$A$35,C571)&lt;&gt;1,"",IF(COUNT(INDEX(市场案例库!$G$6:$G$35,MATCH(C571,市场案例库!$A$6:$A$35,0)))&lt;&gt;1,"",INDEX(市场案例库!$G$6:$G$35,MATCH(C571,市场案例库!$A$6:$A$35,0)))),"不适用")</f>
        <v>不适用</v>
      </c>
      <c r="H571" s="19">
        <f>测算参数!$B$6</f>
        <v>100</v>
      </c>
      <c r="I571" s="19">
        <f>IF(OR(COUNTIFS(市场案例库!$A$6:$A$35,C571)&lt;&gt;1,AND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OR(COUNT(IF(COUNTIFS(资产清单!$A$6:$A$25,A571)&lt;&gt;1,"",IF(COUNT(INDEX(资产清单!$L$6:$L$25,MATCH(A571,资产清单!$A$6:$A$25,0)))&lt;&gt;1,"",INDEX(资产清单!$L$6:$L$25,MATCH(A571,资产清单!$A$6:$A$25,0)))),IF(COUNTIFS(市场案例库!$A$6:$A$35,C571)&lt;&gt;1,"",IF(COUNT(INDEX(市场案例库!$G$6:$G$35,MATCH(C571,市场案例库!$A$6:$A$35,0)))&lt;&gt;1,"",INDEX(市场案例库!$G$6:$G$35,MATCH(C571,市场案例库!$A$6:$A$35,0)))))&lt;&gt;2,IF(COUNTIFS(资产清单!$A$6:$A$25,A571)&lt;&gt;1,"",IF(COUNT(INDEX(资产清单!$L$6:$L$25,MATCH(A571,资产清单!$A$6:$A$25,0)))&lt;&gt;1,"",INDEX(资产清单!$L$6:$L$25,MATCH(A571,资产清单!$A$6:$A$25,0))))&lt;=0,IF(COUNTIFS(市场案例库!$A$6:$A$35,C571)&lt;&gt;1,"",IF(COUNT(INDEX(市场案例库!$G$6:$G$35,MATCH(C571,市场案例库!$A$6:$A$35,0)))&lt;&gt;1,"",INDEX(市场案例库!$G$6:$G$35,MATCH(C571,市场案例库!$A$6:$A$35,0))))&lt;=0))),"",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LOOKUP(IF(COUNTIFS(市场案例库!$A$6:$A$35,C571)&lt;&gt;1,"",IF(COUNT(INDEX(市场案例库!$G$6:$G$35,MATCH(C571,市场案例库!$A$6:$A$35,0)))&lt;&gt;1,"",INDEX(市场案例库!$G$6:$G$35,MATCH(C571,市场案例库!$A$6:$A$35,0))))/IF(COUNTIFS(资产清单!$A$6:$A$25,A571)&lt;&gt;1,"",IF(COUNT(INDEX(资产清单!$L$6:$L$25,MATCH(A571,资产清单!$A$6:$A$25,0)))&lt;&gt;1,"",INDEX(资产清单!$L$6:$L$25,MATCH(A571,资产清单!$A$6:$A$25,0)))),测算参数!$A$15:$A$21,测算参数!$C$15:$C$21),测算参数!$B$6))</f>
        <v>100</v>
      </c>
      <c r="J571" s="21">
        <f>IF(OR(C571&lt;&gt;N571,COUNT(H571:I571)&lt;&gt;2,H571&lt;=0,I571&lt;=0),"",IF(AND(IF(COUNTIFS(资产清单!$A$6:$A$25,A571)&lt;&gt;1,"",IF(INDEX(资产清单!$J$6:$J$25,MATCH(A571,资产清单!$A$6:$A$25,0))="","",INDEX(资产清单!$J$6:$J$25,MATCH(A571,资产清单!$A$6:$A$25,0))))="元/㎡/月",IF(COUNTIFS(资产清单!$A$6:$A$25,A571)&lt;&gt;1,"",IF(INDEX(资产清单!$H$6:$H$25,MATCH(A571,资产清单!$A$6:$A$25,0))="","",INDEX(资产清单!$H$6:$H$25,MATCH(A571,资产清单!$A$6:$A$25,0))))&lt;&gt;"场地"),H571/I571,H571/H571))</f>
        <v>1</v>
      </c>
      <c r="K571" s="16" t="s">
        <v>248</v>
      </c>
      <c r="L571" s="16" t="s">
        <v>220</v>
      </c>
      <c r="M571" s="16" t="str">
        <f t="shared" si="72"/>
        <v>模拟评分记录完整</v>
      </c>
      <c r="N571" s="8" t="s">
        <v>182</v>
      </c>
    </row>
    <row r="572" spans="1:14" ht="46.05" customHeight="1">
      <c r="A572" s="16" t="s">
        <v>84</v>
      </c>
      <c r="B572" s="16">
        <v>3</v>
      </c>
      <c r="C572" s="17" t="str">
        <f>三案例选用!D17</f>
        <v>SC-030</v>
      </c>
      <c r="D572" s="16" t="s">
        <v>221</v>
      </c>
      <c r="E572" s="16" t="str">
        <f t="shared" ref="E572:E577" si="79">IF(TRUE,"适用","不适用采用100/100")</f>
        <v>适用</v>
      </c>
      <c r="F572" s="17" t="str">
        <f>IF(TRUE,IF(COUNTIFS(资产清单!$A$6:$A$25,A572)&lt;&gt;1,"",IF(INDEX(资产清单!$I$6:$I$25,MATCH(A572,资产清单!$A$6:$A$25,0))="","",INDEX(资产清单!$I$6:$I$25,MATCH(A572,资产清单!$A$6:$A$25,0)))),"不适用")</f>
        <v>屋顶点位</v>
      </c>
      <c r="G572" s="17" t="str">
        <f>IF(TRUE,IF(COUNTIFS(市场案例库!$A$6:$A$35,C572)&lt;&gt;1,"",IF(INDEX(市场案例库!$O$6:$O$35,MATCH(C572,市场案例库!$A$6:$A$35,0))="","",INDEX(市场案例库!$O$6:$O$35,MATCH(C572,市场案例库!$A$6:$A$35,0)))),"不适用")</f>
        <v>屋顶点位</v>
      </c>
      <c r="H572" s="19">
        <f>测算参数!$B$6</f>
        <v>100</v>
      </c>
      <c r="I572" s="10">
        <v>100</v>
      </c>
      <c r="J572" s="20">
        <f t="shared" ref="J572:J577" si="80">IF(OR(C572&lt;&gt;N572,COUNT(H572:I572)&lt;&gt;2,H572&lt;=0,I572&lt;=0),"",IF(TRUE,H572/I572,H572/H572))</f>
        <v>1</v>
      </c>
      <c r="K572" s="16" t="s">
        <v>248</v>
      </c>
      <c r="L572" s="16" t="s">
        <v>215</v>
      </c>
      <c r="M572" s="16" t="str">
        <f t="shared" si="72"/>
        <v>模拟评分记录完整</v>
      </c>
      <c r="N572" s="8" t="s">
        <v>182</v>
      </c>
    </row>
    <row r="573" spans="1:14" ht="46.05" customHeight="1">
      <c r="A573" s="16" t="s">
        <v>84</v>
      </c>
      <c r="B573" s="16">
        <v>3</v>
      </c>
      <c r="C573" s="17" t="str">
        <f>三案例选用!D17</f>
        <v>SC-030</v>
      </c>
      <c r="D573" s="16" t="s">
        <v>222</v>
      </c>
      <c r="E573" s="16" t="str">
        <f t="shared" si="79"/>
        <v>适用</v>
      </c>
      <c r="F573" s="17" t="str">
        <f>IF(TRUE,IF(COUNTIFS(资产清单!$A$6:$A$25,A573)&lt;&gt;1,"",IF(INDEX(资产清单!$I$6:$I$25,MATCH(A573,资产清单!$A$6:$A$25,0))="","",INDEX(资产清单!$I$6:$I$25,MATCH(A573,资产清单!$A$6:$A$25,0)))),"不适用")</f>
        <v>屋顶点位</v>
      </c>
      <c r="G573" s="17" t="str">
        <f>IF(TRUE,IF(COUNTIFS(市场案例库!$A$6:$A$35,C573)&lt;&gt;1,"",IF(INDEX(市场案例库!$O$6:$O$35,MATCH(C573,市场案例库!$A$6:$A$35,0))="","",INDEX(市场案例库!$O$6:$O$35,MATCH(C573,市场案例库!$A$6:$A$35,0)))),"不适用")</f>
        <v>屋顶点位</v>
      </c>
      <c r="H573" s="19">
        <f>测算参数!$B$6</f>
        <v>100</v>
      </c>
      <c r="I573" s="10">
        <v>100</v>
      </c>
      <c r="J573" s="20">
        <f t="shared" si="80"/>
        <v>1</v>
      </c>
      <c r="K573" s="16" t="s">
        <v>248</v>
      </c>
      <c r="L573" s="16" t="s">
        <v>215</v>
      </c>
      <c r="M573" s="16" t="str">
        <f t="shared" si="72"/>
        <v>模拟评分记录完整</v>
      </c>
      <c r="N573" s="8" t="s">
        <v>182</v>
      </c>
    </row>
    <row r="574" spans="1:14" ht="46.05" customHeight="1">
      <c r="A574" s="16" t="s">
        <v>84</v>
      </c>
      <c r="B574" s="16">
        <v>3</v>
      </c>
      <c r="C574" s="17" t="str">
        <f>三案例选用!D17</f>
        <v>SC-030</v>
      </c>
      <c r="D574" s="16" t="s">
        <v>224</v>
      </c>
      <c r="E574" s="16" t="str">
        <f t="shared" si="79"/>
        <v>适用</v>
      </c>
      <c r="F574" s="17" t="str">
        <f>IF(TRUE,IF(COUNTIFS(资产清单!$A$6:$A$25,A574)&lt;&gt;1,"",IF(INDEX(资产清单!$I$6:$I$25,MATCH(A574,资产清单!$A$6:$A$25,0))="","",INDEX(资产清单!$I$6:$I$25,MATCH(A574,资产清单!$A$6:$A$25,0)))),"不适用")</f>
        <v>屋顶点位</v>
      </c>
      <c r="G574" s="17" t="str">
        <f>IF(TRUE,IF(COUNTIFS(市场案例库!$A$6:$A$35,C574)&lt;&gt;1,"",IF(INDEX(市场案例库!$O$6:$O$35,MATCH(C574,市场案例库!$A$6:$A$35,0))="","",INDEX(市场案例库!$O$6:$O$35,MATCH(C574,市场案例库!$A$6:$A$35,0)))),"不适用")</f>
        <v>屋顶点位</v>
      </c>
      <c r="H574" s="19">
        <f>测算参数!$B$6</f>
        <v>100</v>
      </c>
      <c r="I574" s="10">
        <v>100</v>
      </c>
      <c r="J574" s="20">
        <f t="shared" si="80"/>
        <v>1</v>
      </c>
      <c r="K574" s="16" t="s">
        <v>248</v>
      </c>
      <c r="L574" s="16" t="s">
        <v>215</v>
      </c>
      <c r="M574" s="16" t="str">
        <f t="shared" si="72"/>
        <v>模拟评分记录完整</v>
      </c>
      <c r="N574" s="8" t="s">
        <v>182</v>
      </c>
    </row>
    <row r="575" spans="1:14" ht="46.05" customHeight="1">
      <c r="A575" s="16" t="s">
        <v>84</v>
      </c>
      <c r="B575" s="16">
        <v>3</v>
      </c>
      <c r="C575" s="17" t="str">
        <f>三案例选用!D17</f>
        <v>SC-030</v>
      </c>
      <c r="D575" s="16" t="s">
        <v>225</v>
      </c>
      <c r="E575" s="16" t="str">
        <f t="shared" si="79"/>
        <v>适用</v>
      </c>
      <c r="F575" s="17" t="str">
        <f>IF(TRUE,IF(COUNTIFS(资产清单!$A$6:$A$25,A575)&lt;&gt;1,"",IF(INDEX(资产清单!$I$6:$I$25,MATCH(A575,资产清单!$A$6:$A$25,0))="","",INDEX(资产清单!$I$6:$I$25,MATCH(A575,资产清单!$A$6:$A$25,0)))),"不适用")</f>
        <v>屋顶点位</v>
      </c>
      <c r="G575" s="17" t="str">
        <f>IF(TRUE,IF(COUNTIFS(市场案例库!$A$6:$A$35,C575)&lt;&gt;1,"",IF(INDEX(市场案例库!$O$6:$O$35,MATCH(C575,市场案例库!$A$6:$A$35,0))="","",INDEX(市场案例库!$O$6:$O$35,MATCH(C575,市场案例库!$A$6:$A$35,0)))),"不适用")</f>
        <v>屋顶点位</v>
      </c>
      <c r="H575" s="19">
        <f>测算参数!$B$6</f>
        <v>100</v>
      </c>
      <c r="I575" s="10">
        <v>100</v>
      </c>
      <c r="J575" s="20">
        <f t="shared" si="80"/>
        <v>1</v>
      </c>
      <c r="K575" s="16" t="s">
        <v>248</v>
      </c>
      <c r="L575" s="16" t="s">
        <v>215</v>
      </c>
      <c r="M575" s="16" t="str">
        <f t="shared" si="72"/>
        <v>模拟评分记录完整</v>
      </c>
      <c r="N575" s="8" t="s">
        <v>182</v>
      </c>
    </row>
    <row r="576" spans="1:14" ht="46.05" customHeight="1">
      <c r="A576" s="16" t="s">
        <v>84</v>
      </c>
      <c r="B576" s="16">
        <v>3</v>
      </c>
      <c r="C576" s="17" t="str">
        <f>三案例选用!D17</f>
        <v>SC-030</v>
      </c>
      <c r="D576" s="16" t="s">
        <v>226</v>
      </c>
      <c r="E576" s="16" t="str">
        <f t="shared" si="79"/>
        <v>适用</v>
      </c>
      <c r="F576" s="17" t="str">
        <f>IF(TRUE,IF(COUNTIFS(资产清单!$A$6:$A$25,A576)&lt;&gt;1,"",IF(INDEX(资产清单!$I$6:$I$25,MATCH(A576,资产清单!$A$6:$A$25,0))="","",INDEX(资产清单!$I$6:$I$25,MATCH(A576,资产清单!$A$6:$A$25,0)))),"不适用")</f>
        <v>屋顶点位</v>
      </c>
      <c r="G576" s="17" t="str">
        <f>IF(TRUE,IF(COUNTIFS(市场案例库!$A$6:$A$35,C576)&lt;&gt;1,"",IF(INDEX(市场案例库!$O$6:$O$35,MATCH(C576,市场案例库!$A$6:$A$35,0))="","",INDEX(市场案例库!$O$6:$O$35,MATCH(C576,市场案例库!$A$6:$A$35,0)))),"不适用")</f>
        <v>屋顶点位</v>
      </c>
      <c r="H576" s="19">
        <f>测算参数!$B$6</f>
        <v>100</v>
      </c>
      <c r="I576" s="10">
        <v>100</v>
      </c>
      <c r="J576" s="20">
        <f t="shared" si="80"/>
        <v>1</v>
      </c>
      <c r="K576" s="16" t="s">
        <v>248</v>
      </c>
      <c r="L576" s="16" t="s">
        <v>215</v>
      </c>
      <c r="M576" s="16" t="str">
        <f t="shared" si="72"/>
        <v>模拟评分记录完整</v>
      </c>
      <c r="N576" s="8" t="s">
        <v>182</v>
      </c>
    </row>
    <row r="577" spans="1:14" ht="46.05" customHeight="1">
      <c r="A577" s="16" t="s">
        <v>84</v>
      </c>
      <c r="B577" s="16">
        <v>3</v>
      </c>
      <c r="C577" s="17" t="str">
        <f>三案例选用!D17</f>
        <v>SC-030</v>
      </c>
      <c r="D577" s="16" t="s">
        <v>227</v>
      </c>
      <c r="E577" s="16" t="str">
        <f t="shared" si="79"/>
        <v>适用</v>
      </c>
      <c r="F577" s="17" t="str">
        <f>IF(TRUE,IF(COUNTIFS(资产清单!$A$6:$A$25,A577)&lt;&gt;1,"",IF(INDEX(资产清单!$I$6:$I$25,MATCH(A577,资产清单!$A$6:$A$25,0))="","",INDEX(资产清单!$I$6:$I$25,MATCH(A577,资产清单!$A$6:$A$25,0)))),"不适用")</f>
        <v>屋顶点位</v>
      </c>
      <c r="G577" s="17" t="str">
        <f>IF(TRUE,IF(COUNTIFS(市场案例库!$A$6:$A$35,C577)&lt;&gt;1,"",IF(INDEX(市场案例库!$O$6:$O$35,MATCH(C577,市场案例库!$A$6:$A$35,0))="","",INDEX(市场案例库!$O$6:$O$35,MATCH(C577,市场案例库!$A$6:$A$35,0)))),"不适用")</f>
        <v>屋顶点位</v>
      </c>
      <c r="H577" s="19">
        <f>测算参数!$B$6</f>
        <v>100</v>
      </c>
      <c r="I577" s="10">
        <v>100</v>
      </c>
      <c r="J577" s="20">
        <f t="shared" si="80"/>
        <v>1</v>
      </c>
      <c r="K577" s="16" t="s">
        <v>248</v>
      </c>
      <c r="L577" s="16" t="s">
        <v>215</v>
      </c>
      <c r="M577" s="16" t="str">
        <f t="shared" si="72"/>
        <v>模拟评分记录完整</v>
      </c>
      <c r="N577" s="8" t="s">
        <v>182</v>
      </c>
    </row>
    <row r="578" spans="1:14" ht="46.05" customHeight="1">
      <c r="A578" s="16" t="s">
        <v>84</v>
      </c>
      <c r="B578" s="16">
        <v>3</v>
      </c>
      <c r="C578" s="17" t="str">
        <f>三案例选用!D17</f>
        <v>SC-030</v>
      </c>
      <c r="D578" s="16" t="s">
        <v>228</v>
      </c>
      <c r="E578" s="17" t="str">
        <f>IF(AND(IF(COUNTIFS(资产清单!$A$6:$A$25,A578)&lt;&gt;1,"",IF(INDEX(资产清单!$H$6:$H$25,MATCH(A578,资产清单!$A$6:$A$25,0))="","",INDEX(资产清单!$H$6:$H$25,MATCH(A578,资产清单!$A$6:$A$25,0))))&lt;&gt;"场地",IF(COUNTIFS(资产清单!$A$6:$A$25,A578)&lt;&gt;1,"",IF(INDEX(资产清单!$H$6:$H$25,MATCH(A578,资产清单!$A$6:$A$25,0))="","",INDEX(资产清单!$H$6:$H$25,MATCH(A578,资产清单!$A$6:$A$25,0))))&lt;&gt;"车位",IF(COUNTIFS(资产清单!$A$6:$A$25,A578)&lt;&gt;1,"",IF(INDEX(资产清单!$H$6:$H$25,MATCH(A578,资产清单!$A$6:$A$25,0))="","",INDEX(资产清单!$H$6:$H$25,MATCH(A578,资产清单!$A$6:$A$25,0))))&lt;&gt;"通信基站"),"适用","不适用采用100/100")</f>
        <v>不适用采用100/100</v>
      </c>
      <c r="F578" s="17" t="str">
        <f>IF(AND(IF(COUNTIFS(资产清单!$A$6:$A$25,A578)&lt;&gt;1,"",IF(INDEX(资产清单!$H$6:$H$25,MATCH(A578,资产清单!$A$6:$A$25,0))="","",INDEX(资产清单!$H$6:$H$25,MATCH(A578,资产清单!$A$6:$A$25,0))))&lt;&gt;"场地",IF(COUNTIFS(资产清单!$A$6:$A$25,A578)&lt;&gt;1,"",IF(INDEX(资产清单!$H$6:$H$25,MATCH(A578,资产清单!$A$6:$A$25,0))="","",INDEX(资产清单!$H$6:$H$25,MATCH(A578,资产清单!$A$6:$A$25,0))))&lt;&gt;"车位",IF(COUNTIFS(资产清单!$A$6:$A$25,A578)&lt;&gt;1,"",IF(INDEX(资产清单!$H$6:$H$25,MATCH(A578,资产清单!$A$6:$A$25,0))="","",INDEX(资产清单!$H$6:$H$25,MATCH(A578,资产清单!$A$6:$A$25,0))))&lt;&gt;"通信基站"),IF(COUNTIFS(资产清单!$A$6:$A$25,A578)&lt;&gt;1,"",IF(INDEX(资产清单!$I$6:$I$25,MATCH(A578,资产清单!$A$6:$A$25,0))="","",INDEX(资产清单!$I$6:$I$25,MATCH(A578,资产清单!$A$6:$A$25,0)))),"不适用")</f>
        <v>不适用</v>
      </c>
      <c r="G578" s="17" t="str">
        <f>IF(AND(IF(COUNTIFS(资产清单!$A$6:$A$25,A578)&lt;&gt;1,"",IF(INDEX(资产清单!$H$6:$H$25,MATCH(A578,资产清单!$A$6:$A$25,0))="","",INDEX(资产清单!$H$6:$H$25,MATCH(A578,资产清单!$A$6:$A$25,0))))&lt;&gt;"场地",IF(COUNTIFS(资产清单!$A$6:$A$25,A578)&lt;&gt;1,"",IF(INDEX(资产清单!$H$6:$H$25,MATCH(A578,资产清单!$A$6:$A$25,0))="","",INDEX(资产清单!$H$6:$H$25,MATCH(A578,资产清单!$A$6:$A$25,0))))&lt;&gt;"车位",IF(COUNTIFS(资产清单!$A$6:$A$25,A578)&lt;&gt;1,"",IF(INDEX(资产清单!$H$6:$H$25,MATCH(A578,资产清单!$A$6:$A$25,0))="","",INDEX(资产清单!$H$6:$H$25,MATCH(A578,资产清单!$A$6:$A$25,0))))&lt;&gt;"通信基站"),IF(COUNTIFS(市场案例库!$A$6:$A$35,C578)&lt;&gt;1,"",IF(INDEX(市场案例库!$O$6:$O$35,MATCH(C578,市场案例库!$A$6:$A$35,0))="","",INDEX(市场案例库!$O$6:$O$35,MATCH(C578,市场案例库!$A$6:$A$35,0)))),"不适用")</f>
        <v>不适用</v>
      </c>
      <c r="H578" s="19">
        <f>测算参数!$B$6</f>
        <v>100</v>
      </c>
      <c r="I578" s="10">
        <v>100</v>
      </c>
      <c r="J578" s="21">
        <f>IF(OR(C578&lt;&gt;N578,COUNT(H578:I578)&lt;&gt;2,H578&lt;=0,I578&lt;=0),"",IF(AND(IF(COUNTIFS(资产清单!$A$6:$A$25,A578)&lt;&gt;1,"",IF(INDEX(资产清单!$H$6:$H$25,MATCH(A578,资产清单!$A$6:$A$25,0))="","",INDEX(资产清单!$H$6:$H$25,MATCH(A578,资产清单!$A$6:$A$25,0))))&lt;&gt;"场地",IF(COUNTIFS(资产清单!$A$6:$A$25,A578)&lt;&gt;1,"",IF(INDEX(资产清单!$H$6:$H$25,MATCH(A578,资产清单!$A$6:$A$25,0))="","",INDEX(资产清单!$H$6:$H$25,MATCH(A578,资产清单!$A$6:$A$25,0))))&lt;&gt;"车位",IF(COUNTIFS(资产清单!$A$6:$A$25,A578)&lt;&gt;1,"",IF(INDEX(资产清单!$H$6:$H$25,MATCH(A578,资产清单!$A$6:$A$25,0))="","",INDEX(资产清单!$H$6:$H$25,MATCH(A578,资产清单!$A$6:$A$25,0))))&lt;&gt;"通信基站"),H578/I578,H578/H578))</f>
        <v>1</v>
      </c>
      <c r="K578" s="16" t="s">
        <v>248</v>
      </c>
      <c r="L578" s="16" t="s">
        <v>215</v>
      </c>
      <c r="M578" s="16" t="str">
        <f t="shared" si="72"/>
        <v>模拟评分记录完整</v>
      </c>
      <c r="N578" s="8" t="s">
        <v>182</v>
      </c>
    </row>
    <row r="579" spans="1:14" ht="46.05" customHeight="1">
      <c r="A579" s="16" t="s">
        <v>84</v>
      </c>
      <c r="B579" s="16">
        <v>3</v>
      </c>
      <c r="C579" s="17" t="str">
        <f>三案例选用!D17</f>
        <v>SC-030</v>
      </c>
      <c r="D579" s="16" t="s">
        <v>229</v>
      </c>
      <c r="E579" s="17" t="str">
        <f>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"适用","不适用采用100/100")</f>
        <v>不适用采用100/100</v>
      </c>
      <c r="F579" s="17" t="str">
        <f>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IF(COUNTIFS(资产清单!$A$6:$A$25,A579)&lt;&gt;1,"",IF(COUNT(INDEX(资产清单!$N$6:$N$25,MATCH(A579,资产清单!$A$6:$A$25,0)))&lt;&gt;1,"",INDEX(资产清单!$N$6:$N$25,MATCH(A579,资产清单!$A$6:$A$25,0)))),"不适用")</f>
        <v>不适用</v>
      </c>
      <c r="G579" s="17" t="str">
        <f>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IF(COUNTIFS(市场案例库!$A$6:$A$35,C579)&lt;&gt;1,"",IF(COUNT(INDEX(市场案例库!$I$6:$I$35,MATCH(C579,市场案例库!$A$6:$A$35,0)))&lt;&gt;1,"",INDEX(市场案例库!$I$6:$I$35,MATCH(C579,市场案例库!$A$6:$A$35,0)))),"不适用")</f>
        <v>不适用</v>
      </c>
      <c r="H579" s="19">
        <f>测算参数!$B$6</f>
        <v>100</v>
      </c>
      <c r="I579" s="19">
        <f>IF(OR(COUNTIFS(市场案例库!$A$6:$A$35,C579)&lt;&gt;1,AND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OR(COUNT(IF(COUNTIFS(资产清单!$A$6:$A$25,A579)&lt;&gt;1,"",IF(COUNT(INDEX(资产清单!$N$6:$N$25,MATCH(A579,资产清单!$A$6:$A$25,0)))&lt;&gt;1,"",INDEX(资产清单!$N$6:$N$25,MATCH(A579,资产清单!$A$6:$A$25,0)))),IF(COUNTIFS(市场案例库!$A$6:$A$35,C579)&lt;&gt;1,"",IF(COUNT(INDEX(市场案例库!$I$6:$I$35,MATCH(C579,市场案例库!$A$6:$A$35,0)))&lt;&gt;1,"",INDEX(市场案例库!$I$6:$I$35,MATCH(C579,市场案例库!$A$6:$A$35,0)))))&lt;&gt;2,IF(COUNTIFS(资产清单!$A$6:$A$25,A579)&lt;&gt;1,"",IF(COUNT(INDEX(资产清单!$N$6:$N$25,MATCH(A579,资产清单!$A$6:$A$25,0)))&lt;&gt;1,"",INDEX(资产清单!$N$6:$N$25,MATCH(A579,资产清单!$A$6:$A$25,0))))&lt;1,IF(COUNTIFS(资产清单!$A$6:$A$25,A579)&lt;&gt;1,"",IF(COUNT(INDEX(资产清单!$N$6:$N$25,MATCH(A579,资产清单!$A$6:$A$25,0)))&lt;&gt;1,"",INDEX(资产清单!$N$6:$N$25,MATCH(A579,资产清单!$A$6:$A$25,0))))&gt;4,IF(COUNTIFS(市场案例库!$A$6:$A$35,C579)&lt;&gt;1,"",IF(COUNT(INDEX(市场案例库!$I$6:$I$35,MATCH(C579,市场案例库!$A$6:$A$35,0)))&lt;&gt;1,"",INDEX(市场案例库!$I$6:$I$35,MATCH(C579,市场案例库!$A$6:$A$35,0))))&lt;1,IF(COUNTIFS(市场案例库!$A$6:$A$35,C579)&lt;&gt;1,"",IF(COUNT(INDEX(市场案例库!$I$6:$I$35,MATCH(C579,市场案例库!$A$6:$A$35,0)))&lt;&gt;1,"",INDEX(市场案例库!$I$6:$I$35,MATCH(C579,市场案例库!$A$6:$A$35,0))))&gt;4))),"",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INDEX(测算参数!$B$35:$B$41,MATCH(IF(COUNTIFS(市场案例库!$A$6:$A$35,C579)&lt;&gt;1,"",IF(COUNT(INDEX(市场案例库!$I$6:$I$35,MATCH(C579,市场案例库!$A$6:$A$35,0)))&lt;&gt;1,"",INDEX(市场案例库!$I$6:$I$35,MATCH(C579,市场案例库!$A$6:$A$35,0))))-IF(COUNTIFS(资产清单!$A$6:$A$25,A579)&lt;&gt;1,"",IF(COUNT(INDEX(资产清单!$N$6:$N$25,MATCH(A579,资产清单!$A$6:$A$25,0)))&lt;&gt;1,"",INDEX(资产清单!$N$6:$N$25,MATCH(A579,资产清单!$A$6:$A$25,0)))),测算参数!$A$35:$A$41,0)),测算参数!$B$6))</f>
        <v>100</v>
      </c>
      <c r="J579" s="21">
        <f>IF(OR(C579&lt;&gt;N579,COUNT(H579:I579)&lt;&gt;2,H579&lt;=0,I579&lt;=0),"",IF(AND(IF(COUNTIFS(资产清单!$A$6:$A$25,A579)&lt;&gt;1,"",IF(INDEX(资产清单!$H$6:$H$25,MATCH(A579,资产清单!$A$6:$A$25,0))="","",INDEX(资产清单!$H$6:$H$25,MATCH(A579,资产清单!$A$6:$A$25,0))))&lt;&gt;"场地",IF(COUNTIFS(资产清单!$A$6:$A$25,A579)&lt;&gt;1,"",IF(INDEX(资产清单!$H$6:$H$25,MATCH(A579,资产清单!$A$6:$A$25,0))="","",INDEX(资产清单!$H$6:$H$25,MATCH(A579,资产清单!$A$6:$A$25,0))))&lt;&gt;"车位",IF(COUNTIFS(资产清单!$A$6:$A$25,A579)&lt;&gt;1,"",IF(INDEX(资产清单!$H$6:$H$25,MATCH(A579,资产清单!$A$6:$A$25,0))="","",INDEX(资产清单!$H$6:$H$25,MATCH(A579,资产清单!$A$6:$A$25,0))))&lt;&gt;"通信基站"),H579/I579,H579/H579))</f>
        <v>1</v>
      </c>
      <c r="K579" s="16" t="s">
        <v>248</v>
      </c>
      <c r="L579" s="16" t="s">
        <v>230</v>
      </c>
      <c r="M579" s="16" t="str">
        <f t="shared" si="72"/>
        <v>模拟评分记录完整</v>
      </c>
      <c r="N579" s="8" t="s">
        <v>182</v>
      </c>
    </row>
    <row r="580" spans="1:14" ht="46.05" customHeight="1">
      <c r="A580" s="16" t="s">
        <v>84</v>
      </c>
      <c r="B580" s="16">
        <v>3</v>
      </c>
      <c r="C580" s="17" t="str">
        <f>三案例选用!D17</f>
        <v>SC-030</v>
      </c>
      <c r="D580" s="16" t="s">
        <v>231</v>
      </c>
      <c r="E580" s="17" t="str">
        <f>IF(AND(IF(COUNTIFS(资产清单!$A$6:$A$25,A580)&lt;&gt;1,"",IF(INDEX(资产清单!$H$6:$H$25,MATCH(A580,资产清单!$A$6:$A$25,0))="","",INDEX(资产清单!$H$6:$H$25,MATCH(A580,资产清单!$A$6:$A$25,0))))&lt;&gt;"场地",IF(COUNTIFS(资产清单!$A$6:$A$25,A580)&lt;&gt;1,"",IF(INDEX(资产清单!$H$6:$H$25,MATCH(A580,资产清单!$A$6:$A$25,0))="","",INDEX(资产清单!$H$6:$H$25,MATCH(A580,资产清单!$A$6:$A$25,0))))&lt;&gt;"车位",IF(COUNTIFS(资产清单!$A$6:$A$25,A580)&lt;&gt;1,"",IF(INDEX(资产清单!$H$6:$H$25,MATCH(A580,资产清单!$A$6:$A$25,0))="","",INDEX(资产清单!$H$6:$H$25,MATCH(A580,资产清单!$A$6:$A$25,0))))&lt;&gt;"通信基站"),"适用","不适用采用100/100")</f>
        <v>不适用采用100/100</v>
      </c>
      <c r="F580" s="17" t="str">
        <f>IF(AND(IF(COUNTIFS(资产清单!$A$6:$A$25,A580)&lt;&gt;1,"",IF(INDEX(资产清单!$H$6:$H$25,MATCH(A580,资产清单!$A$6:$A$25,0))="","",INDEX(资产清单!$H$6:$H$25,MATCH(A580,资产清单!$A$6:$A$25,0))))&lt;&gt;"场地",IF(COUNTIFS(资产清单!$A$6:$A$25,A580)&lt;&gt;1,"",IF(INDEX(资产清单!$H$6:$H$25,MATCH(A580,资产清单!$A$6:$A$25,0))="","",INDEX(资产清单!$H$6:$H$25,MATCH(A580,资产清单!$A$6:$A$25,0))))&lt;&gt;"车位",IF(COUNTIFS(资产清单!$A$6:$A$25,A580)&lt;&gt;1,"",IF(INDEX(资产清单!$H$6:$H$25,MATCH(A580,资产清单!$A$6:$A$25,0))="","",INDEX(资产清单!$H$6:$H$25,MATCH(A580,资产清单!$A$6:$A$25,0))))&lt;&gt;"通信基站"),IF(COUNTIFS(资产清单!$A$6:$A$25,A580)&lt;&gt;1,"",IF(INDEX(资产清单!$I$6:$I$25,MATCH(A580,资产清单!$A$6:$A$25,0))="","",INDEX(资产清单!$I$6:$I$25,MATCH(A580,资产清单!$A$6:$A$25,0)))),"不适用")</f>
        <v>不适用</v>
      </c>
      <c r="G580" s="17" t="str">
        <f>IF(AND(IF(COUNTIFS(资产清单!$A$6:$A$25,A580)&lt;&gt;1,"",IF(INDEX(资产清单!$H$6:$H$25,MATCH(A580,资产清单!$A$6:$A$25,0))="","",INDEX(资产清单!$H$6:$H$25,MATCH(A580,资产清单!$A$6:$A$25,0))))&lt;&gt;"场地",IF(COUNTIFS(资产清单!$A$6:$A$25,A580)&lt;&gt;1,"",IF(INDEX(资产清单!$H$6:$H$25,MATCH(A580,资产清单!$A$6:$A$25,0))="","",INDEX(资产清单!$H$6:$H$25,MATCH(A580,资产清单!$A$6:$A$25,0))))&lt;&gt;"车位",IF(COUNTIFS(资产清单!$A$6:$A$25,A580)&lt;&gt;1,"",IF(INDEX(资产清单!$H$6:$H$25,MATCH(A580,资产清单!$A$6:$A$25,0))="","",INDEX(资产清单!$H$6:$H$25,MATCH(A580,资产清单!$A$6:$A$25,0))))&lt;&gt;"通信基站"),IF(COUNTIFS(市场案例库!$A$6:$A$35,C580)&lt;&gt;1,"",IF(INDEX(市场案例库!$O$6:$O$35,MATCH(C580,市场案例库!$A$6:$A$35,0))="","",INDEX(市场案例库!$O$6:$O$35,MATCH(C580,市场案例库!$A$6:$A$35,0)))),"不适用")</f>
        <v>不适用</v>
      </c>
      <c r="H580" s="19">
        <f>测算参数!$B$6</f>
        <v>100</v>
      </c>
      <c r="I580" s="10">
        <v>100</v>
      </c>
      <c r="J580" s="21">
        <f>IF(OR(C580&lt;&gt;N580,COUNT(H580:I580)&lt;&gt;2,H580&lt;=0,I580&lt;=0),"",IF(AND(IF(COUNTIFS(资产清单!$A$6:$A$25,A580)&lt;&gt;1,"",IF(INDEX(资产清单!$H$6:$H$25,MATCH(A580,资产清单!$A$6:$A$25,0))="","",INDEX(资产清单!$H$6:$H$25,MATCH(A580,资产清单!$A$6:$A$25,0))))&lt;&gt;"场地",IF(COUNTIFS(资产清单!$A$6:$A$25,A580)&lt;&gt;1,"",IF(INDEX(资产清单!$H$6:$H$25,MATCH(A580,资产清单!$A$6:$A$25,0))="","",INDEX(资产清单!$H$6:$H$25,MATCH(A580,资产清单!$A$6:$A$25,0))))&lt;&gt;"车位",IF(COUNTIFS(资产清单!$A$6:$A$25,A580)&lt;&gt;1,"",IF(INDEX(资产清单!$H$6:$H$25,MATCH(A580,资产清单!$A$6:$A$25,0))="","",INDEX(资产清单!$H$6:$H$25,MATCH(A580,资产清单!$A$6:$A$25,0))))&lt;&gt;"通信基站"),H580/I580,H580/H580))</f>
        <v>1</v>
      </c>
      <c r="K580" s="16" t="s">
        <v>248</v>
      </c>
      <c r="L580" s="16" t="s">
        <v>215</v>
      </c>
      <c r="M580" s="16" t="str">
        <f t="shared" si="72"/>
        <v>模拟评分记录完整</v>
      </c>
      <c r="N580" s="8" t="s">
        <v>182</v>
      </c>
    </row>
    <row r="581" spans="1:14" ht="46.05" customHeight="1">
      <c r="A581" s="16" t="s">
        <v>84</v>
      </c>
      <c r="B581" s="16">
        <v>3</v>
      </c>
      <c r="C581" s="17" t="str">
        <f>三案例选用!D17</f>
        <v>SC-030</v>
      </c>
      <c r="D581" s="16" t="s">
        <v>232</v>
      </c>
      <c r="E581" s="16" t="str">
        <f>IF(TRUE,"适用","不适用采用100/100")</f>
        <v>适用</v>
      </c>
      <c r="F581" s="17" t="str">
        <f>IF(TRUE,IF(COUNTIFS(资产清单!$A$6:$A$25,A581)&lt;&gt;1,"",IF(INDEX(资产清单!$I$6:$I$25,MATCH(A581,资产清单!$A$6:$A$25,0))="","",INDEX(资产清单!$I$6:$I$25,MATCH(A581,资产清单!$A$6:$A$25,0)))),"不适用")</f>
        <v>屋顶点位</v>
      </c>
      <c r="G581" s="17" t="str">
        <f>IF(TRUE,IF(COUNTIFS(市场案例库!$A$6:$A$35,C581)&lt;&gt;1,"",IF(INDEX(市场案例库!$O$6:$O$35,MATCH(C581,市场案例库!$A$6:$A$35,0))="","",INDEX(市场案例库!$O$6:$O$35,MATCH(C581,市场案例库!$A$6:$A$35,0)))),"不适用")</f>
        <v>屋顶点位</v>
      </c>
      <c r="H581" s="19">
        <f>测算参数!$B$6</f>
        <v>100</v>
      </c>
      <c r="I581" s="10">
        <v>100</v>
      </c>
      <c r="J581" s="20">
        <f>IF(OR(C581&lt;&gt;N581,COUNT(H581:I581)&lt;&gt;2,H581&lt;=0,I581&lt;=0),"",IF(TRUE,H581/I581,H581/H581))</f>
        <v>1</v>
      </c>
      <c r="K581" s="16" t="s">
        <v>248</v>
      </c>
      <c r="L581" s="16" t="s">
        <v>215</v>
      </c>
      <c r="M581" s="16" t="str">
        <f t="shared" si="72"/>
        <v>模拟评分记录完整</v>
      </c>
      <c r="N581" s="8" t="s">
        <v>182</v>
      </c>
    </row>
    <row r="582" spans="1:14" ht="25.0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ht="25.05" customHeight="1">
      <c r="A583" s="3" t="s">
        <v>249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ht="25.0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</sheetData>
  <phoneticPr fontId="8" type="noConversion"/>
  <conditionalFormatting sqref="M6:M581">
    <cfRule type="containsText" dxfId="3" priority="1" operator="containsText" text="待"/>
  </conditionalFormatting>
  <pageMargins left="0.39370078740157477" right="0.39370078740157477" top="0.75" bottom="0.75" header="0.3" footer="0.3"/>
  <pageSetup paperSize="8" scale="5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16" customWidth="1"/>
    <col min="2" max="2" width="20" customWidth="1"/>
    <col min="3" max="3" width="19" customWidth="1"/>
    <col min="4" max="4" width="43" customWidth="1"/>
    <col min="5" max="5" width="16" customWidth="1"/>
    <col min="6" max="6" width="17" customWidth="1"/>
    <col min="7" max="7" width="14" customWidth="1"/>
    <col min="8" max="8" width="10" customWidth="1"/>
    <col min="9" max="9" width="12" customWidth="1"/>
    <col min="10" max="11" width="16" customWidth="1"/>
    <col min="12" max="12" width="17" customWidth="1"/>
    <col min="13" max="14" width="14" customWidth="1"/>
    <col min="15" max="15" width="21" customWidth="1"/>
    <col min="16" max="16" width="19" customWidth="1"/>
    <col min="17" max="17" width="27" customWidth="1"/>
    <col min="18" max="18" width="43" customWidth="1"/>
  </cols>
  <sheetData>
    <row r="1" spans="1:18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4.049999999999997" customHeight="1">
      <c r="A2" s="2" t="s">
        <v>250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44" customHeight="1">
      <c r="A5" s="4" t="s">
        <v>186</v>
      </c>
      <c r="B5" s="4" t="s">
        <v>187</v>
      </c>
      <c r="C5" s="4" t="s">
        <v>251</v>
      </c>
      <c r="D5" s="4" t="s">
        <v>252</v>
      </c>
      <c r="E5" s="4" t="s">
        <v>60</v>
      </c>
      <c r="F5" s="4" t="s">
        <v>253</v>
      </c>
      <c r="G5" s="4" t="s">
        <v>254</v>
      </c>
      <c r="H5" s="4" t="s">
        <v>217</v>
      </c>
      <c r="I5" s="4" t="s">
        <v>255</v>
      </c>
      <c r="J5" s="4" t="s">
        <v>256</v>
      </c>
      <c r="K5" s="4" t="s">
        <v>257</v>
      </c>
      <c r="L5" s="4" t="s">
        <v>258</v>
      </c>
      <c r="M5" s="4" t="s">
        <v>259</v>
      </c>
      <c r="N5" s="4" t="s">
        <v>260</v>
      </c>
      <c r="O5" s="4" t="s">
        <v>261</v>
      </c>
      <c r="P5" s="4" t="s">
        <v>262</v>
      </c>
      <c r="Q5" s="4" t="s">
        <v>263</v>
      </c>
      <c r="R5" s="4" t="s">
        <v>264</v>
      </c>
    </row>
    <row r="6" spans="1:18" ht="48" customHeight="1">
      <c r="A6" s="8" t="s">
        <v>149</v>
      </c>
      <c r="B6" s="8" t="s">
        <v>265</v>
      </c>
      <c r="C6" s="8" t="s">
        <v>266</v>
      </c>
      <c r="D6" s="8" t="s">
        <v>267</v>
      </c>
      <c r="E6" s="8" t="s">
        <v>100</v>
      </c>
      <c r="F6" s="8" t="s">
        <v>268</v>
      </c>
      <c r="G6" s="9">
        <v>44</v>
      </c>
      <c r="H6" s="10">
        <v>1</v>
      </c>
      <c r="I6" s="10">
        <v>2</v>
      </c>
      <c r="J6" s="9">
        <v>53</v>
      </c>
      <c r="K6" s="12">
        <v>46295</v>
      </c>
      <c r="L6" s="8" t="s">
        <v>269</v>
      </c>
      <c r="M6" s="10">
        <v>102</v>
      </c>
      <c r="N6" s="10">
        <v>100</v>
      </c>
      <c r="O6" s="8" t="s">
        <v>270</v>
      </c>
      <c r="P6" s="8" t="s">
        <v>271</v>
      </c>
      <c r="Q6" s="8" t="s">
        <v>272</v>
      </c>
      <c r="R6" s="8" t="s">
        <v>273</v>
      </c>
    </row>
    <row r="7" spans="1:18" ht="48" customHeight="1">
      <c r="A7" s="8" t="s">
        <v>150</v>
      </c>
      <c r="B7" s="8" t="s">
        <v>274</v>
      </c>
      <c r="C7" s="8" t="s">
        <v>275</v>
      </c>
      <c r="D7" s="8" t="s">
        <v>276</v>
      </c>
      <c r="E7" s="8" t="s">
        <v>100</v>
      </c>
      <c r="F7" s="8" t="s">
        <v>268</v>
      </c>
      <c r="G7" s="9">
        <v>75</v>
      </c>
      <c r="H7" s="10">
        <v>1</v>
      </c>
      <c r="I7" s="10">
        <v>3</v>
      </c>
      <c r="J7" s="9">
        <v>56</v>
      </c>
      <c r="K7" s="12">
        <v>46295</v>
      </c>
      <c r="L7" s="8" t="s">
        <v>269</v>
      </c>
      <c r="M7" s="10">
        <v>102</v>
      </c>
      <c r="N7" s="10">
        <v>100</v>
      </c>
      <c r="O7" s="8" t="s">
        <v>270</v>
      </c>
      <c r="P7" s="8" t="s">
        <v>277</v>
      </c>
      <c r="Q7" s="8" t="s">
        <v>272</v>
      </c>
      <c r="R7" s="8" t="s">
        <v>273</v>
      </c>
    </row>
    <row r="8" spans="1:18" ht="48" customHeight="1">
      <c r="A8" s="8" t="s">
        <v>151</v>
      </c>
      <c r="B8" s="8" t="s">
        <v>278</v>
      </c>
      <c r="C8" s="8" t="s">
        <v>279</v>
      </c>
      <c r="D8" s="8" t="s">
        <v>280</v>
      </c>
      <c r="E8" s="8" t="s">
        <v>100</v>
      </c>
      <c r="F8" s="8" t="s">
        <v>268</v>
      </c>
      <c r="G8" s="9">
        <v>90</v>
      </c>
      <c r="H8" s="10">
        <v>2</v>
      </c>
      <c r="I8" s="10">
        <v>2</v>
      </c>
      <c r="J8" s="9">
        <v>55</v>
      </c>
      <c r="K8" s="12">
        <v>46295</v>
      </c>
      <c r="L8" s="8" t="s">
        <v>269</v>
      </c>
      <c r="M8" s="10">
        <v>102</v>
      </c>
      <c r="N8" s="10">
        <v>100</v>
      </c>
      <c r="O8" s="8" t="s">
        <v>270</v>
      </c>
      <c r="P8" s="8" t="s">
        <v>281</v>
      </c>
      <c r="Q8" s="8" t="s">
        <v>272</v>
      </c>
      <c r="R8" s="8" t="s">
        <v>273</v>
      </c>
    </row>
    <row r="9" spans="1:18" ht="48" customHeight="1">
      <c r="A9" s="8" t="s">
        <v>154</v>
      </c>
      <c r="B9" s="8" t="s">
        <v>282</v>
      </c>
      <c r="C9" s="8" t="s">
        <v>283</v>
      </c>
      <c r="D9" s="8" t="s">
        <v>284</v>
      </c>
      <c r="E9" s="8" t="s">
        <v>100</v>
      </c>
      <c r="F9" s="8" t="s">
        <v>268</v>
      </c>
      <c r="G9" s="9">
        <v>80</v>
      </c>
      <c r="H9" s="10">
        <v>1</v>
      </c>
      <c r="I9" s="10">
        <v>2</v>
      </c>
      <c r="J9" s="9">
        <v>44</v>
      </c>
      <c r="K9" s="12">
        <v>46295</v>
      </c>
      <c r="L9" s="8" t="s">
        <v>269</v>
      </c>
      <c r="M9" s="10">
        <v>102</v>
      </c>
      <c r="N9" s="10">
        <v>100</v>
      </c>
      <c r="O9" s="8" t="s">
        <v>270</v>
      </c>
      <c r="P9" s="8" t="s">
        <v>285</v>
      </c>
      <c r="Q9" s="8" t="s">
        <v>272</v>
      </c>
      <c r="R9" s="8" t="s">
        <v>273</v>
      </c>
    </row>
    <row r="10" spans="1:18" ht="48" customHeight="1">
      <c r="A10" s="8" t="s">
        <v>155</v>
      </c>
      <c r="B10" s="8" t="s">
        <v>286</v>
      </c>
      <c r="C10" s="8" t="s">
        <v>287</v>
      </c>
      <c r="D10" s="8" t="s">
        <v>288</v>
      </c>
      <c r="E10" s="8" t="s">
        <v>100</v>
      </c>
      <c r="F10" s="8" t="s">
        <v>268</v>
      </c>
      <c r="G10" s="9">
        <v>100</v>
      </c>
      <c r="H10" s="10">
        <v>2</v>
      </c>
      <c r="I10" s="10">
        <v>3</v>
      </c>
      <c r="J10" s="9">
        <v>46</v>
      </c>
      <c r="K10" s="12">
        <v>46295</v>
      </c>
      <c r="L10" s="8" t="s">
        <v>269</v>
      </c>
      <c r="M10" s="10">
        <v>102</v>
      </c>
      <c r="N10" s="10">
        <v>100</v>
      </c>
      <c r="O10" s="8" t="s">
        <v>270</v>
      </c>
      <c r="P10" s="8" t="s">
        <v>289</v>
      </c>
      <c r="Q10" s="8" t="s">
        <v>272</v>
      </c>
      <c r="R10" s="8" t="s">
        <v>273</v>
      </c>
    </row>
    <row r="11" spans="1:18" ht="48" customHeight="1">
      <c r="A11" s="8" t="s">
        <v>156</v>
      </c>
      <c r="B11" s="8" t="s">
        <v>290</v>
      </c>
      <c r="C11" s="8" t="s">
        <v>291</v>
      </c>
      <c r="D11" s="8" t="s">
        <v>292</v>
      </c>
      <c r="E11" s="8" t="s">
        <v>100</v>
      </c>
      <c r="F11" s="8" t="s">
        <v>268</v>
      </c>
      <c r="G11" s="9">
        <v>120</v>
      </c>
      <c r="H11" s="10">
        <v>3</v>
      </c>
      <c r="I11" s="10">
        <v>2</v>
      </c>
      <c r="J11" s="9">
        <v>45</v>
      </c>
      <c r="K11" s="12">
        <v>46295</v>
      </c>
      <c r="L11" s="8" t="s">
        <v>269</v>
      </c>
      <c r="M11" s="10">
        <v>102</v>
      </c>
      <c r="N11" s="10">
        <v>100</v>
      </c>
      <c r="O11" s="8" t="s">
        <v>270</v>
      </c>
      <c r="P11" s="8" t="s">
        <v>293</v>
      </c>
      <c r="Q11" s="8" t="s">
        <v>272</v>
      </c>
      <c r="R11" s="8" t="s">
        <v>273</v>
      </c>
    </row>
    <row r="12" spans="1:18" ht="48" customHeight="1">
      <c r="A12" s="8" t="s">
        <v>158</v>
      </c>
      <c r="B12" s="8" t="s">
        <v>294</v>
      </c>
      <c r="C12" s="8" t="s">
        <v>295</v>
      </c>
      <c r="D12" s="8" t="s">
        <v>296</v>
      </c>
      <c r="E12" s="8" t="s">
        <v>100</v>
      </c>
      <c r="F12" s="8" t="s">
        <v>268</v>
      </c>
      <c r="G12" s="9">
        <v>35</v>
      </c>
      <c r="H12" s="10">
        <v>1</v>
      </c>
      <c r="I12" s="10">
        <v>2</v>
      </c>
      <c r="J12" s="9">
        <v>66</v>
      </c>
      <c r="K12" s="12">
        <v>46295</v>
      </c>
      <c r="L12" s="8" t="s">
        <v>269</v>
      </c>
      <c r="M12" s="10">
        <v>102</v>
      </c>
      <c r="N12" s="10">
        <v>100</v>
      </c>
      <c r="O12" s="8" t="s">
        <v>270</v>
      </c>
      <c r="P12" s="8" t="s">
        <v>297</v>
      </c>
      <c r="Q12" s="8" t="s">
        <v>272</v>
      </c>
      <c r="R12" s="8" t="s">
        <v>273</v>
      </c>
    </row>
    <row r="13" spans="1:18" ht="48" customHeight="1">
      <c r="A13" s="8" t="s">
        <v>159</v>
      </c>
      <c r="B13" s="8" t="s">
        <v>298</v>
      </c>
      <c r="C13" s="8" t="s">
        <v>299</v>
      </c>
      <c r="D13" s="8" t="s">
        <v>300</v>
      </c>
      <c r="E13" s="8" t="s">
        <v>100</v>
      </c>
      <c r="F13" s="8" t="s">
        <v>268</v>
      </c>
      <c r="G13" s="9">
        <v>42</v>
      </c>
      <c r="H13" s="10">
        <v>1</v>
      </c>
      <c r="I13" s="10">
        <v>3</v>
      </c>
      <c r="J13" s="9">
        <v>68</v>
      </c>
      <c r="K13" s="12">
        <v>46295</v>
      </c>
      <c r="L13" s="8" t="s">
        <v>269</v>
      </c>
      <c r="M13" s="10">
        <v>102</v>
      </c>
      <c r="N13" s="10">
        <v>100</v>
      </c>
      <c r="O13" s="8" t="s">
        <v>270</v>
      </c>
      <c r="P13" s="8" t="s">
        <v>301</v>
      </c>
      <c r="Q13" s="8" t="s">
        <v>272</v>
      </c>
      <c r="R13" s="8" t="s">
        <v>273</v>
      </c>
    </row>
    <row r="14" spans="1:18" ht="48" customHeight="1">
      <c r="A14" s="8" t="s">
        <v>160</v>
      </c>
      <c r="B14" s="8" t="s">
        <v>302</v>
      </c>
      <c r="C14" s="8" t="s">
        <v>303</v>
      </c>
      <c r="D14" s="8" t="s">
        <v>304</v>
      </c>
      <c r="E14" s="8" t="s">
        <v>100</v>
      </c>
      <c r="F14" s="8" t="s">
        <v>268</v>
      </c>
      <c r="G14" s="9">
        <v>50</v>
      </c>
      <c r="H14" s="10">
        <v>1</v>
      </c>
      <c r="I14" s="10">
        <v>2</v>
      </c>
      <c r="J14" s="9">
        <v>65</v>
      </c>
      <c r="K14" s="12">
        <v>46295</v>
      </c>
      <c r="L14" s="8" t="s">
        <v>269</v>
      </c>
      <c r="M14" s="10">
        <v>102</v>
      </c>
      <c r="N14" s="10">
        <v>100</v>
      </c>
      <c r="O14" s="8" t="s">
        <v>270</v>
      </c>
      <c r="P14" s="8" t="s">
        <v>305</v>
      </c>
      <c r="Q14" s="8" t="s">
        <v>272</v>
      </c>
      <c r="R14" s="8" t="s">
        <v>273</v>
      </c>
    </row>
    <row r="15" spans="1:18" ht="48" customHeight="1">
      <c r="A15" s="8" t="s">
        <v>162</v>
      </c>
      <c r="B15" s="8" t="s">
        <v>306</v>
      </c>
      <c r="C15" s="8" t="s">
        <v>307</v>
      </c>
      <c r="D15" s="8" t="s">
        <v>308</v>
      </c>
      <c r="E15" s="8" t="s">
        <v>102</v>
      </c>
      <c r="F15" s="8" t="s">
        <v>268</v>
      </c>
      <c r="G15" s="9">
        <v>130</v>
      </c>
      <c r="H15" s="10">
        <v>2</v>
      </c>
      <c r="I15" s="10">
        <v>2</v>
      </c>
      <c r="J15" s="9">
        <v>26</v>
      </c>
      <c r="K15" s="12">
        <v>46295</v>
      </c>
      <c r="L15" s="8" t="s">
        <v>269</v>
      </c>
      <c r="M15" s="10">
        <v>102</v>
      </c>
      <c r="N15" s="10">
        <v>100</v>
      </c>
      <c r="O15" s="8" t="s">
        <v>309</v>
      </c>
      <c r="P15" s="8" t="s">
        <v>310</v>
      </c>
      <c r="Q15" s="8" t="s">
        <v>272</v>
      </c>
      <c r="R15" s="8" t="s">
        <v>273</v>
      </c>
    </row>
    <row r="16" spans="1:18" ht="48" customHeight="1">
      <c r="A16" s="8" t="s">
        <v>163</v>
      </c>
      <c r="B16" s="8" t="s">
        <v>311</v>
      </c>
      <c r="C16" s="8" t="s">
        <v>312</v>
      </c>
      <c r="D16" s="8" t="s">
        <v>313</v>
      </c>
      <c r="E16" s="8" t="s">
        <v>102</v>
      </c>
      <c r="F16" s="8" t="s">
        <v>268</v>
      </c>
      <c r="G16" s="9">
        <v>180</v>
      </c>
      <c r="H16" s="10">
        <v>3</v>
      </c>
      <c r="I16" s="10">
        <v>3</v>
      </c>
      <c r="J16" s="9">
        <v>27</v>
      </c>
      <c r="K16" s="12">
        <v>46295</v>
      </c>
      <c r="L16" s="8" t="s">
        <v>269</v>
      </c>
      <c r="M16" s="10">
        <v>102</v>
      </c>
      <c r="N16" s="10">
        <v>100</v>
      </c>
      <c r="O16" s="8" t="s">
        <v>309</v>
      </c>
      <c r="P16" s="8" t="s">
        <v>314</v>
      </c>
      <c r="Q16" s="8" t="s">
        <v>272</v>
      </c>
      <c r="R16" s="8" t="s">
        <v>273</v>
      </c>
    </row>
    <row r="17" spans="1:18" ht="48" customHeight="1">
      <c r="A17" s="8" t="s">
        <v>164</v>
      </c>
      <c r="B17" s="8" t="s">
        <v>315</v>
      </c>
      <c r="C17" s="8" t="s">
        <v>316</v>
      </c>
      <c r="D17" s="8" t="s">
        <v>317</v>
      </c>
      <c r="E17" s="8" t="s">
        <v>102</v>
      </c>
      <c r="F17" s="8" t="s">
        <v>268</v>
      </c>
      <c r="G17" s="9">
        <v>160</v>
      </c>
      <c r="H17" s="10">
        <v>4</v>
      </c>
      <c r="I17" s="10">
        <v>2</v>
      </c>
      <c r="J17" s="9">
        <v>28</v>
      </c>
      <c r="K17" s="12">
        <v>46295</v>
      </c>
      <c r="L17" s="8" t="s">
        <v>269</v>
      </c>
      <c r="M17" s="10">
        <v>102</v>
      </c>
      <c r="N17" s="10">
        <v>100</v>
      </c>
      <c r="O17" s="8" t="s">
        <v>309</v>
      </c>
      <c r="P17" s="8" t="s">
        <v>318</v>
      </c>
      <c r="Q17" s="8" t="s">
        <v>272</v>
      </c>
      <c r="R17" s="8" t="s">
        <v>273</v>
      </c>
    </row>
    <row r="18" spans="1:18" ht="48" customHeight="1">
      <c r="A18" s="8" t="s">
        <v>165</v>
      </c>
      <c r="B18" s="8" t="s">
        <v>319</v>
      </c>
      <c r="C18" s="8" t="s">
        <v>320</v>
      </c>
      <c r="D18" s="8" t="s">
        <v>321</v>
      </c>
      <c r="E18" s="8" t="s">
        <v>103</v>
      </c>
      <c r="F18" s="8" t="s">
        <v>268</v>
      </c>
      <c r="G18" s="9">
        <v>240</v>
      </c>
      <c r="H18" s="10">
        <v>1</v>
      </c>
      <c r="I18" s="10">
        <v>1</v>
      </c>
      <c r="J18" s="9">
        <v>12.5</v>
      </c>
      <c r="K18" s="12">
        <v>46295</v>
      </c>
      <c r="L18" s="8" t="s">
        <v>269</v>
      </c>
      <c r="M18" s="10">
        <v>102</v>
      </c>
      <c r="N18" s="10">
        <v>100</v>
      </c>
      <c r="O18" s="8" t="s">
        <v>322</v>
      </c>
      <c r="P18" s="8" t="s">
        <v>323</v>
      </c>
      <c r="Q18" s="8" t="s">
        <v>272</v>
      </c>
      <c r="R18" s="8" t="s">
        <v>273</v>
      </c>
    </row>
    <row r="19" spans="1:18" ht="48" customHeight="1">
      <c r="A19" s="8" t="s">
        <v>166</v>
      </c>
      <c r="B19" s="8" t="s">
        <v>324</v>
      </c>
      <c r="C19" s="8" t="s">
        <v>325</v>
      </c>
      <c r="D19" s="8" t="s">
        <v>326</v>
      </c>
      <c r="E19" s="8" t="s">
        <v>103</v>
      </c>
      <c r="F19" s="8" t="s">
        <v>268</v>
      </c>
      <c r="G19" s="9">
        <v>650</v>
      </c>
      <c r="H19" s="10">
        <v>1</v>
      </c>
      <c r="I19" s="10">
        <v>2</v>
      </c>
      <c r="J19" s="9">
        <v>13</v>
      </c>
      <c r="K19" s="12">
        <v>46295</v>
      </c>
      <c r="L19" s="8" t="s">
        <v>269</v>
      </c>
      <c r="M19" s="10">
        <v>102</v>
      </c>
      <c r="N19" s="10">
        <v>100</v>
      </c>
      <c r="O19" s="8" t="s">
        <v>322</v>
      </c>
      <c r="P19" s="8" t="s">
        <v>327</v>
      </c>
      <c r="Q19" s="8" t="s">
        <v>272</v>
      </c>
      <c r="R19" s="8" t="s">
        <v>273</v>
      </c>
    </row>
    <row r="20" spans="1:18" ht="48" customHeight="1">
      <c r="A20" s="8" t="s">
        <v>167</v>
      </c>
      <c r="B20" s="8" t="s">
        <v>328</v>
      </c>
      <c r="C20" s="8" t="s">
        <v>329</v>
      </c>
      <c r="D20" s="8" t="s">
        <v>330</v>
      </c>
      <c r="E20" s="8" t="s">
        <v>103</v>
      </c>
      <c r="F20" s="8" t="s">
        <v>268</v>
      </c>
      <c r="G20" s="9">
        <v>500</v>
      </c>
      <c r="H20" s="10">
        <v>1</v>
      </c>
      <c r="I20" s="10">
        <v>1</v>
      </c>
      <c r="J20" s="9">
        <v>12</v>
      </c>
      <c r="K20" s="12">
        <v>46295</v>
      </c>
      <c r="L20" s="8" t="s">
        <v>269</v>
      </c>
      <c r="M20" s="10">
        <v>102</v>
      </c>
      <c r="N20" s="10">
        <v>100</v>
      </c>
      <c r="O20" s="8" t="s">
        <v>322</v>
      </c>
      <c r="P20" s="8" t="s">
        <v>331</v>
      </c>
      <c r="Q20" s="8" t="s">
        <v>272</v>
      </c>
      <c r="R20" s="8" t="s">
        <v>273</v>
      </c>
    </row>
    <row r="21" spans="1:18" ht="48" customHeight="1">
      <c r="A21" s="8" t="s">
        <v>168</v>
      </c>
      <c r="B21" s="8" t="s">
        <v>332</v>
      </c>
      <c r="C21" s="8" t="s">
        <v>333</v>
      </c>
      <c r="D21" s="8" t="s">
        <v>334</v>
      </c>
      <c r="E21" s="8" t="s">
        <v>104</v>
      </c>
      <c r="F21" s="8" t="s">
        <v>268</v>
      </c>
      <c r="G21" s="9">
        <v>1000</v>
      </c>
      <c r="H21" s="10">
        <v>1</v>
      </c>
      <c r="I21" s="10">
        <v>1</v>
      </c>
      <c r="J21" s="9">
        <v>18</v>
      </c>
      <c r="K21" s="12">
        <v>46295</v>
      </c>
      <c r="L21" s="8" t="s">
        <v>269</v>
      </c>
      <c r="M21" s="10">
        <v>102</v>
      </c>
      <c r="N21" s="10">
        <v>100</v>
      </c>
      <c r="O21" s="8" t="s">
        <v>335</v>
      </c>
      <c r="P21" s="8" t="s">
        <v>336</v>
      </c>
      <c r="Q21" s="8" t="s">
        <v>272</v>
      </c>
      <c r="R21" s="8" t="s">
        <v>273</v>
      </c>
    </row>
    <row r="22" spans="1:18" ht="48" customHeight="1">
      <c r="A22" s="8" t="s">
        <v>169</v>
      </c>
      <c r="B22" s="8" t="s">
        <v>337</v>
      </c>
      <c r="C22" s="8" t="s">
        <v>338</v>
      </c>
      <c r="D22" s="8" t="s">
        <v>339</v>
      </c>
      <c r="E22" s="8" t="s">
        <v>104</v>
      </c>
      <c r="F22" s="8" t="s">
        <v>268</v>
      </c>
      <c r="G22" s="9">
        <v>1500</v>
      </c>
      <c r="H22" s="10">
        <v>1</v>
      </c>
      <c r="I22" s="10">
        <v>2</v>
      </c>
      <c r="J22" s="9">
        <v>19</v>
      </c>
      <c r="K22" s="12">
        <v>46295</v>
      </c>
      <c r="L22" s="8" t="s">
        <v>269</v>
      </c>
      <c r="M22" s="10">
        <v>102</v>
      </c>
      <c r="N22" s="10">
        <v>100</v>
      </c>
      <c r="O22" s="8" t="s">
        <v>335</v>
      </c>
      <c r="P22" s="8" t="s">
        <v>340</v>
      </c>
      <c r="Q22" s="8" t="s">
        <v>272</v>
      </c>
      <c r="R22" s="8" t="s">
        <v>273</v>
      </c>
    </row>
    <row r="23" spans="1:18" ht="48" customHeight="1">
      <c r="A23" s="8" t="s">
        <v>170</v>
      </c>
      <c r="B23" s="8" t="s">
        <v>341</v>
      </c>
      <c r="C23" s="8" t="s">
        <v>342</v>
      </c>
      <c r="D23" s="8" t="s">
        <v>343</v>
      </c>
      <c r="E23" s="8" t="s">
        <v>104</v>
      </c>
      <c r="F23" s="8" t="s">
        <v>268</v>
      </c>
      <c r="G23" s="9">
        <v>1300</v>
      </c>
      <c r="H23" s="10">
        <v>1</v>
      </c>
      <c r="I23" s="10">
        <v>1</v>
      </c>
      <c r="J23" s="9">
        <v>18.5</v>
      </c>
      <c r="K23" s="12">
        <v>46295</v>
      </c>
      <c r="L23" s="8" t="s">
        <v>269</v>
      </c>
      <c r="M23" s="10">
        <v>102</v>
      </c>
      <c r="N23" s="10">
        <v>100</v>
      </c>
      <c r="O23" s="8" t="s">
        <v>335</v>
      </c>
      <c r="P23" s="8" t="s">
        <v>344</v>
      </c>
      <c r="Q23" s="8" t="s">
        <v>272</v>
      </c>
      <c r="R23" s="8" t="s">
        <v>273</v>
      </c>
    </row>
    <row r="24" spans="1:18" ht="48" customHeight="1">
      <c r="A24" s="8" t="s">
        <v>171</v>
      </c>
      <c r="B24" s="8" t="s">
        <v>345</v>
      </c>
      <c r="C24" s="8" t="s">
        <v>346</v>
      </c>
      <c r="D24" s="8" t="s">
        <v>347</v>
      </c>
      <c r="E24" s="8" t="s">
        <v>105</v>
      </c>
      <c r="F24" s="8" t="s">
        <v>268</v>
      </c>
      <c r="G24" s="9">
        <v>800</v>
      </c>
      <c r="H24" s="10"/>
      <c r="I24" s="10"/>
      <c r="J24" s="9">
        <v>3.4</v>
      </c>
      <c r="K24" s="12">
        <v>46295</v>
      </c>
      <c r="L24" s="8" t="s">
        <v>269</v>
      </c>
      <c r="M24" s="10">
        <v>102</v>
      </c>
      <c r="N24" s="10">
        <v>100</v>
      </c>
      <c r="O24" s="8" t="s">
        <v>348</v>
      </c>
      <c r="P24" s="8" t="s">
        <v>349</v>
      </c>
      <c r="Q24" s="8" t="s">
        <v>272</v>
      </c>
      <c r="R24" s="8" t="s">
        <v>273</v>
      </c>
    </row>
    <row r="25" spans="1:18" ht="48" customHeight="1">
      <c r="A25" s="8" t="s">
        <v>172</v>
      </c>
      <c r="B25" s="8" t="s">
        <v>350</v>
      </c>
      <c r="C25" s="8" t="s">
        <v>351</v>
      </c>
      <c r="D25" s="8" t="s">
        <v>352</v>
      </c>
      <c r="E25" s="8" t="s">
        <v>105</v>
      </c>
      <c r="F25" s="8" t="s">
        <v>268</v>
      </c>
      <c r="G25" s="9">
        <v>900</v>
      </c>
      <c r="H25" s="10"/>
      <c r="I25" s="10"/>
      <c r="J25" s="9">
        <v>3.6</v>
      </c>
      <c r="K25" s="12">
        <v>46295</v>
      </c>
      <c r="L25" s="8" t="s">
        <v>269</v>
      </c>
      <c r="M25" s="10">
        <v>102</v>
      </c>
      <c r="N25" s="10">
        <v>100</v>
      </c>
      <c r="O25" s="8" t="s">
        <v>348</v>
      </c>
      <c r="P25" s="8" t="s">
        <v>353</v>
      </c>
      <c r="Q25" s="8" t="s">
        <v>272</v>
      </c>
      <c r="R25" s="8" t="s">
        <v>273</v>
      </c>
    </row>
    <row r="26" spans="1:18" ht="48" customHeight="1">
      <c r="A26" s="8" t="s">
        <v>173</v>
      </c>
      <c r="B26" s="8" t="s">
        <v>354</v>
      </c>
      <c r="C26" s="8" t="s">
        <v>355</v>
      </c>
      <c r="D26" s="8" t="s">
        <v>356</v>
      </c>
      <c r="E26" s="8" t="s">
        <v>105</v>
      </c>
      <c r="F26" s="8" t="s">
        <v>268</v>
      </c>
      <c r="G26" s="9">
        <v>1000</v>
      </c>
      <c r="H26" s="10"/>
      <c r="I26" s="10"/>
      <c r="J26" s="9">
        <v>3.5</v>
      </c>
      <c r="K26" s="12">
        <v>46295</v>
      </c>
      <c r="L26" s="8" t="s">
        <v>269</v>
      </c>
      <c r="M26" s="10">
        <v>102</v>
      </c>
      <c r="N26" s="10">
        <v>100</v>
      </c>
      <c r="O26" s="8" t="s">
        <v>348</v>
      </c>
      <c r="P26" s="8" t="s">
        <v>357</v>
      </c>
      <c r="Q26" s="8" t="s">
        <v>272</v>
      </c>
      <c r="R26" s="8" t="s">
        <v>273</v>
      </c>
    </row>
    <row r="27" spans="1:18" ht="48" customHeight="1">
      <c r="A27" s="8" t="s">
        <v>174</v>
      </c>
      <c r="B27" s="8" t="s">
        <v>358</v>
      </c>
      <c r="C27" s="8" t="s">
        <v>359</v>
      </c>
      <c r="D27" s="8" t="s">
        <v>360</v>
      </c>
      <c r="E27" s="8" t="s">
        <v>106</v>
      </c>
      <c r="F27" s="8" t="s">
        <v>361</v>
      </c>
      <c r="G27" s="9"/>
      <c r="H27" s="10"/>
      <c r="I27" s="10"/>
      <c r="J27" s="9">
        <v>185</v>
      </c>
      <c r="K27" s="12">
        <v>46295</v>
      </c>
      <c r="L27" s="8" t="s">
        <v>362</v>
      </c>
      <c r="M27" s="10">
        <v>100</v>
      </c>
      <c r="N27" s="10">
        <v>100</v>
      </c>
      <c r="O27" s="8" t="s">
        <v>363</v>
      </c>
      <c r="P27" s="8" t="s">
        <v>364</v>
      </c>
      <c r="Q27" s="8" t="s">
        <v>272</v>
      </c>
      <c r="R27" s="8" t="s">
        <v>365</v>
      </c>
    </row>
    <row r="28" spans="1:18" ht="48" customHeight="1">
      <c r="A28" s="8" t="s">
        <v>175</v>
      </c>
      <c r="B28" s="8" t="s">
        <v>366</v>
      </c>
      <c r="C28" s="8" t="s">
        <v>367</v>
      </c>
      <c r="D28" s="8" t="s">
        <v>368</v>
      </c>
      <c r="E28" s="8" t="s">
        <v>106</v>
      </c>
      <c r="F28" s="8" t="s">
        <v>361</v>
      </c>
      <c r="G28" s="9"/>
      <c r="H28" s="10"/>
      <c r="I28" s="10"/>
      <c r="J28" s="9">
        <v>190</v>
      </c>
      <c r="K28" s="12">
        <v>46295</v>
      </c>
      <c r="L28" s="8" t="s">
        <v>362</v>
      </c>
      <c r="M28" s="10">
        <v>100</v>
      </c>
      <c r="N28" s="10">
        <v>100</v>
      </c>
      <c r="O28" s="8" t="s">
        <v>363</v>
      </c>
      <c r="P28" s="8" t="s">
        <v>369</v>
      </c>
      <c r="Q28" s="8" t="s">
        <v>272</v>
      </c>
      <c r="R28" s="8" t="s">
        <v>365</v>
      </c>
    </row>
    <row r="29" spans="1:18" ht="48" customHeight="1">
      <c r="A29" s="8" t="s">
        <v>176</v>
      </c>
      <c r="B29" s="8" t="s">
        <v>370</v>
      </c>
      <c r="C29" s="8" t="s">
        <v>371</v>
      </c>
      <c r="D29" s="8" t="s">
        <v>372</v>
      </c>
      <c r="E29" s="8" t="s">
        <v>106</v>
      </c>
      <c r="F29" s="8" t="s">
        <v>361</v>
      </c>
      <c r="G29" s="9"/>
      <c r="H29" s="10"/>
      <c r="I29" s="10"/>
      <c r="J29" s="9">
        <v>180</v>
      </c>
      <c r="K29" s="12">
        <v>46295</v>
      </c>
      <c r="L29" s="8" t="s">
        <v>362</v>
      </c>
      <c r="M29" s="10">
        <v>100</v>
      </c>
      <c r="N29" s="10">
        <v>100</v>
      </c>
      <c r="O29" s="8" t="s">
        <v>363</v>
      </c>
      <c r="P29" s="8" t="s">
        <v>373</v>
      </c>
      <c r="Q29" s="8" t="s">
        <v>272</v>
      </c>
      <c r="R29" s="8" t="s">
        <v>365</v>
      </c>
    </row>
    <row r="30" spans="1:18" ht="48" customHeight="1">
      <c r="A30" s="8" t="s">
        <v>177</v>
      </c>
      <c r="B30" s="8" t="s">
        <v>374</v>
      </c>
      <c r="C30" s="8" t="s">
        <v>375</v>
      </c>
      <c r="D30" s="8" t="s">
        <v>376</v>
      </c>
      <c r="E30" s="8" t="s">
        <v>107</v>
      </c>
      <c r="F30" s="8" t="s">
        <v>377</v>
      </c>
      <c r="G30" s="9">
        <v>25</v>
      </c>
      <c r="H30" s="10">
        <v>2</v>
      </c>
      <c r="I30" s="10">
        <v>2</v>
      </c>
      <c r="J30" s="9">
        <v>680</v>
      </c>
      <c r="K30" s="12">
        <v>46295</v>
      </c>
      <c r="L30" s="8" t="s">
        <v>269</v>
      </c>
      <c r="M30" s="10">
        <v>102</v>
      </c>
      <c r="N30" s="10">
        <v>100</v>
      </c>
      <c r="O30" s="8" t="s">
        <v>378</v>
      </c>
      <c r="P30" s="8" t="s">
        <v>379</v>
      </c>
      <c r="Q30" s="8" t="s">
        <v>272</v>
      </c>
      <c r="R30" s="8" t="s">
        <v>273</v>
      </c>
    </row>
    <row r="31" spans="1:18" ht="48" customHeight="1">
      <c r="A31" s="8" t="s">
        <v>178</v>
      </c>
      <c r="B31" s="8" t="s">
        <v>380</v>
      </c>
      <c r="C31" s="8" t="s">
        <v>381</v>
      </c>
      <c r="D31" s="8" t="s">
        <v>382</v>
      </c>
      <c r="E31" s="8" t="s">
        <v>107</v>
      </c>
      <c r="F31" s="8" t="s">
        <v>377</v>
      </c>
      <c r="G31" s="9">
        <v>30</v>
      </c>
      <c r="H31" s="10">
        <v>3</v>
      </c>
      <c r="I31" s="10">
        <v>3</v>
      </c>
      <c r="J31" s="9">
        <v>700</v>
      </c>
      <c r="K31" s="12">
        <v>46295</v>
      </c>
      <c r="L31" s="8" t="s">
        <v>269</v>
      </c>
      <c r="M31" s="10">
        <v>102</v>
      </c>
      <c r="N31" s="10">
        <v>100</v>
      </c>
      <c r="O31" s="8" t="s">
        <v>378</v>
      </c>
      <c r="P31" s="8" t="s">
        <v>383</v>
      </c>
      <c r="Q31" s="8" t="s">
        <v>272</v>
      </c>
      <c r="R31" s="8" t="s">
        <v>273</v>
      </c>
    </row>
    <row r="32" spans="1:18" ht="48" customHeight="1">
      <c r="A32" s="8" t="s">
        <v>179</v>
      </c>
      <c r="B32" s="8" t="s">
        <v>384</v>
      </c>
      <c r="C32" s="8" t="s">
        <v>385</v>
      </c>
      <c r="D32" s="8" t="s">
        <v>386</v>
      </c>
      <c r="E32" s="8" t="s">
        <v>107</v>
      </c>
      <c r="F32" s="8" t="s">
        <v>377</v>
      </c>
      <c r="G32" s="9">
        <v>32</v>
      </c>
      <c r="H32" s="10">
        <v>2</v>
      </c>
      <c r="I32" s="10">
        <v>2</v>
      </c>
      <c r="J32" s="9">
        <v>660</v>
      </c>
      <c r="K32" s="12">
        <v>46295</v>
      </c>
      <c r="L32" s="8" t="s">
        <v>269</v>
      </c>
      <c r="M32" s="10">
        <v>102</v>
      </c>
      <c r="N32" s="10">
        <v>100</v>
      </c>
      <c r="O32" s="8" t="s">
        <v>378</v>
      </c>
      <c r="P32" s="8" t="s">
        <v>387</v>
      </c>
      <c r="Q32" s="8" t="s">
        <v>272</v>
      </c>
      <c r="R32" s="8" t="s">
        <v>273</v>
      </c>
    </row>
    <row r="33" spans="1:18" ht="48" customHeight="1">
      <c r="A33" s="8" t="s">
        <v>180</v>
      </c>
      <c r="B33" s="8" t="s">
        <v>388</v>
      </c>
      <c r="C33" s="8" t="s">
        <v>389</v>
      </c>
      <c r="D33" s="8" t="s">
        <v>390</v>
      </c>
      <c r="E33" s="8" t="s">
        <v>108</v>
      </c>
      <c r="F33" s="8" t="s">
        <v>391</v>
      </c>
      <c r="G33" s="9">
        <v>18</v>
      </c>
      <c r="H33" s="10"/>
      <c r="I33" s="10"/>
      <c r="J33" s="9">
        <v>720</v>
      </c>
      <c r="K33" s="12">
        <v>46295</v>
      </c>
      <c r="L33" s="8" t="s">
        <v>269</v>
      </c>
      <c r="M33" s="10">
        <v>102</v>
      </c>
      <c r="N33" s="10">
        <v>100</v>
      </c>
      <c r="O33" s="8" t="s">
        <v>392</v>
      </c>
      <c r="P33" s="8" t="s">
        <v>393</v>
      </c>
      <c r="Q33" s="8" t="s">
        <v>272</v>
      </c>
      <c r="R33" s="8" t="s">
        <v>273</v>
      </c>
    </row>
    <row r="34" spans="1:18" ht="48" customHeight="1">
      <c r="A34" s="8" t="s">
        <v>181</v>
      </c>
      <c r="B34" s="8" t="s">
        <v>394</v>
      </c>
      <c r="C34" s="8" t="s">
        <v>395</v>
      </c>
      <c r="D34" s="8" t="s">
        <v>396</v>
      </c>
      <c r="E34" s="8" t="s">
        <v>108</v>
      </c>
      <c r="F34" s="8" t="s">
        <v>391</v>
      </c>
      <c r="G34" s="9">
        <v>22</v>
      </c>
      <c r="H34" s="10"/>
      <c r="I34" s="10"/>
      <c r="J34" s="9">
        <v>750</v>
      </c>
      <c r="K34" s="12">
        <v>46295</v>
      </c>
      <c r="L34" s="8" t="s">
        <v>269</v>
      </c>
      <c r="M34" s="10">
        <v>102</v>
      </c>
      <c r="N34" s="10">
        <v>100</v>
      </c>
      <c r="O34" s="8" t="s">
        <v>392</v>
      </c>
      <c r="P34" s="8" t="s">
        <v>397</v>
      </c>
      <c r="Q34" s="8" t="s">
        <v>272</v>
      </c>
      <c r="R34" s="8" t="s">
        <v>273</v>
      </c>
    </row>
    <row r="35" spans="1:18" ht="48" customHeight="1">
      <c r="A35" s="8" t="s">
        <v>182</v>
      </c>
      <c r="B35" s="8" t="s">
        <v>398</v>
      </c>
      <c r="C35" s="8" t="s">
        <v>399</v>
      </c>
      <c r="D35" s="8" t="s">
        <v>400</v>
      </c>
      <c r="E35" s="8" t="s">
        <v>108</v>
      </c>
      <c r="F35" s="8" t="s">
        <v>391</v>
      </c>
      <c r="G35" s="9">
        <v>25</v>
      </c>
      <c r="H35" s="10"/>
      <c r="I35" s="10"/>
      <c r="J35" s="9">
        <v>730</v>
      </c>
      <c r="K35" s="12">
        <v>46295</v>
      </c>
      <c r="L35" s="8" t="s">
        <v>269</v>
      </c>
      <c r="M35" s="10">
        <v>102</v>
      </c>
      <c r="N35" s="10">
        <v>100</v>
      </c>
      <c r="O35" s="8" t="s">
        <v>392</v>
      </c>
      <c r="P35" s="8" t="s">
        <v>401</v>
      </c>
      <c r="Q35" s="8" t="s">
        <v>272</v>
      </c>
      <c r="R35" s="8" t="s">
        <v>273</v>
      </c>
    </row>
    <row r="36" spans="1:18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25.05" customHeight="1">
      <c r="A37" s="3" t="s">
        <v>402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phoneticPr fontId="8" type="noConversion"/>
  <pageMargins left="0.39370078740157477" right="0.39370078740157477" top="0.75" bottom="0.75" header="0.3" footer="0.3"/>
  <pageSetup paperSize="8" scale="52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2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B6" sqref="B6"/>
    </sheetView>
  </sheetViews>
  <sheetFormatPr defaultRowHeight="13.5"/>
  <cols>
    <col min="1" max="1" width="16" customWidth="1"/>
    <col min="2" max="2" width="15" customWidth="1"/>
    <col min="3" max="3" width="18" customWidth="1"/>
    <col min="4" max="4" width="23" customWidth="1"/>
    <col min="5" max="5" width="22" customWidth="1"/>
    <col min="6" max="6" width="16" customWidth="1"/>
    <col min="7" max="7" width="35" customWidth="1"/>
    <col min="8" max="8" width="16" customWidth="1"/>
    <col min="9" max="9" width="20" customWidth="1"/>
    <col min="10" max="10" width="17" customWidth="1"/>
    <col min="11" max="12" width="14" customWidth="1"/>
    <col min="13" max="13" width="10" customWidth="1"/>
    <col min="14" max="14" width="12" customWidth="1"/>
    <col min="15" max="15" width="22" customWidth="1"/>
  </cols>
  <sheetData>
    <row r="1" spans="1:15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4.049999999999997" customHeight="1">
      <c r="A2" s="2" t="s">
        <v>403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4" customHeight="1">
      <c r="A5" s="4" t="s">
        <v>58</v>
      </c>
      <c r="B5" s="4" t="s">
        <v>404</v>
      </c>
      <c r="C5" s="4" t="s">
        <v>405</v>
      </c>
      <c r="D5" s="4" t="s">
        <v>59</v>
      </c>
      <c r="E5" s="4" t="s">
        <v>406</v>
      </c>
      <c r="F5" s="4" t="s">
        <v>126</v>
      </c>
      <c r="G5" s="4" t="s">
        <v>407</v>
      </c>
      <c r="H5" s="4" t="s">
        <v>128</v>
      </c>
      <c r="I5" s="4" t="s">
        <v>261</v>
      </c>
      <c r="J5" s="4" t="s">
        <v>189</v>
      </c>
      <c r="K5" s="4" t="s">
        <v>63</v>
      </c>
      <c r="L5" s="4" t="s">
        <v>408</v>
      </c>
      <c r="M5" s="4" t="s">
        <v>217</v>
      </c>
      <c r="N5" s="4" t="s">
        <v>409</v>
      </c>
      <c r="O5" s="4" t="s">
        <v>410</v>
      </c>
    </row>
    <row r="6" spans="1:15" ht="46.05" customHeight="1">
      <c r="A6" s="8" t="s">
        <v>72</v>
      </c>
      <c r="B6" s="8" t="s">
        <v>411</v>
      </c>
      <c r="C6" s="8" t="s">
        <v>412</v>
      </c>
      <c r="D6" s="8" t="s">
        <v>413</v>
      </c>
      <c r="E6" s="8" t="s">
        <v>414</v>
      </c>
      <c r="F6" s="8" t="s">
        <v>100</v>
      </c>
      <c r="G6" s="8" t="s">
        <v>415</v>
      </c>
      <c r="H6" s="8" t="s">
        <v>100</v>
      </c>
      <c r="I6" s="8" t="s">
        <v>270</v>
      </c>
      <c r="J6" s="8" t="s">
        <v>268</v>
      </c>
      <c r="K6" s="9">
        <v>60</v>
      </c>
      <c r="L6" s="9">
        <v>60</v>
      </c>
      <c r="M6" s="10">
        <v>1</v>
      </c>
      <c r="N6" s="10">
        <v>2</v>
      </c>
      <c r="O6" s="8" t="s">
        <v>416</v>
      </c>
    </row>
    <row r="7" spans="1:15" ht="46.05" customHeight="1">
      <c r="A7" s="8" t="s">
        <v>74</v>
      </c>
      <c r="B7" s="8" t="s">
        <v>411</v>
      </c>
      <c r="C7" s="8" t="s">
        <v>412</v>
      </c>
      <c r="D7" s="8" t="s">
        <v>417</v>
      </c>
      <c r="E7" s="8" t="s">
        <v>414</v>
      </c>
      <c r="F7" s="8" t="s">
        <v>100</v>
      </c>
      <c r="G7" s="8" t="s">
        <v>415</v>
      </c>
      <c r="H7" s="8" t="s">
        <v>100</v>
      </c>
      <c r="I7" s="8" t="s">
        <v>270</v>
      </c>
      <c r="J7" s="8" t="s">
        <v>268</v>
      </c>
      <c r="K7" s="9">
        <v>110</v>
      </c>
      <c r="L7" s="9">
        <v>110</v>
      </c>
      <c r="M7" s="10">
        <v>1</v>
      </c>
      <c r="N7" s="10">
        <v>2</v>
      </c>
      <c r="O7" s="8" t="s">
        <v>416</v>
      </c>
    </row>
    <row r="8" spans="1:15" ht="46.05" customHeight="1">
      <c r="A8" s="8" t="s">
        <v>75</v>
      </c>
      <c r="B8" s="8" t="s">
        <v>411</v>
      </c>
      <c r="C8" s="8" t="s">
        <v>412</v>
      </c>
      <c r="D8" s="8" t="s">
        <v>418</v>
      </c>
      <c r="E8" s="8" t="s">
        <v>414</v>
      </c>
      <c r="F8" s="8" t="s">
        <v>100</v>
      </c>
      <c r="G8" s="8" t="s">
        <v>419</v>
      </c>
      <c r="H8" s="8" t="s">
        <v>100</v>
      </c>
      <c r="I8" s="8" t="s">
        <v>270</v>
      </c>
      <c r="J8" s="8" t="s">
        <v>268</v>
      </c>
      <c r="K8" s="9">
        <v>95</v>
      </c>
      <c r="L8" s="9">
        <v>95</v>
      </c>
      <c r="M8" s="10">
        <v>2</v>
      </c>
      <c r="N8" s="10">
        <v>2</v>
      </c>
      <c r="O8" s="8" t="s">
        <v>416</v>
      </c>
    </row>
    <row r="9" spans="1:15" ht="46.05" customHeight="1">
      <c r="A9" s="8" t="s">
        <v>76</v>
      </c>
      <c r="B9" s="8" t="s">
        <v>411</v>
      </c>
      <c r="C9" s="8" t="s">
        <v>412</v>
      </c>
      <c r="D9" s="8" t="s">
        <v>420</v>
      </c>
      <c r="E9" s="8" t="s">
        <v>421</v>
      </c>
      <c r="F9" s="8" t="s">
        <v>102</v>
      </c>
      <c r="G9" s="8" t="s">
        <v>422</v>
      </c>
      <c r="H9" s="8" t="s">
        <v>100</v>
      </c>
      <c r="I9" s="8" t="s">
        <v>420</v>
      </c>
      <c r="J9" s="8" t="s">
        <v>268</v>
      </c>
      <c r="K9" s="9">
        <v>38</v>
      </c>
      <c r="L9" s="9">
        <v>38</v>
      </c>
      <c r="M9" s="10">
        <v>1</v>
      </c>
      <c r="N9" s="10">
        <v>2</v>
      </c>
      <c r="O9" s="8" t="s">
        <v>416</v>
      </c>
    </row>
    <row r="10" spans="1:15" ht="46.05" customHeight="1">
      <c r="A10" s="8" t="s">
        <v>77</v>
      </c>
      <c r="B10" s="8" t="s">
        <v>423</v>
      </c>
      <c r="C10" s="8" t="s">
        <v>424</v>
      </c>
      <c r="D10" s="8" t="s">
        <v>425</v>
      </c>
      <c r="E10" s="8" t="s">
        <v>426</v>
      </c>
      <c r="F10" s="8" t="s">
        <v>102</v>
      </c>
      <c r="G10" s="8" t="s">
        <v>427</v>
      </c>
      <c r="H10" s="8" t="s">
        <v>102</v>
      </c>
      <c r="I10" s="8" t="s">
        <v>309</v>
      </c>
      <c r="J10" s="8" t="s">
        <v>268</v>
      </c>
      <c r="K10" s="9">
        <v>140</v>
      </c>
      <c r="L10" s="9">
        <v>140</v>
      </c>
      <c r="M10" s="10">
        <v>3</v>
      </c>
      <c r="N10" s="10">
        <v>2</v>
      </c>
      <c r="O10" s="8" t="s">
        <v>416</v>
      </c>
    </row>
    <row r="11" spans="1:15" ht="46.05" customHeight="1">
      <c r="A11" s="8" t="s">
        <v>78</v>
      </c>
      <c r="B11" s="8" t="s">
        <v>423</v>
      </c>
      <c r="C11" s="8" t="s">
        <v>424</v>
      </c>
      <c r="D11" s="8" t="s">
        <v>428</v>
      </c>
      <c r="E11" s="8" t="s">
        <v>426</v>
      </c>
      <c r="F11" s="8" t="s">
        <v>102</v>
      </c>
      <c r="G11" s="8" t="s">
        <v>427</v>
      </c>
      <c r="H11" s="8" t="s">
        <v>102</v>
      </c>
      <c r="I11" s="8" t="s">
        <v>309</v>
      </c>
      <c r="J11" s="8" t="s">
        <v>268</v>
      </c>
      <c r="K11" s="9">
        <v>180</v>
      </c>
      <c r="L11" s="9">
        <v>180</v>
      </c>
      <c r="M11" s="10">
        <v>3</v>
      </c>
      <c r="N11" s="10">
        <v>2</v>
      </c>
      <c r="O11" s="8" t="s">
        <v>416</v>
      </c>
    </row>
    <row r="12" spans="1:15" ht="46.05" customHeight="1">
      <c r="A12" s="8" t="s">
        <v>79</v>
      </c>
      <c r="B12" s="8" t="s">
        <v>429</v>
      </c>
      <c r="C12" s="8" t="s">
        <v>430</v>
      </c>
      <c r="D12" s="8" t="s">
        <v>431</v>
      </c>
      <c r="E12" s="8" t="s">
        <v>432</v>
      </c>
      <c r="F12" s="8" t="s">
        <v>103</v>
      </c>
      <c r="G12" s="8" t="s">
        <v>433</v>
      </c>
      <c r="H12" s="8" t="s">
        <v>103</v>
      </c>
      <c r="I12" s="8" t="s">
        <v>322</v>
      </c>
      <c r="J12" s="8" t="s">
        <v>268</v>
      </c>
      <c r="K12" s="9">
        <v>500</v>
      </c>
      <c r="L12" s="9">
        <v>500</v>
      </c>
      <c r="M12" s="10">
        <v>1</v>
      </c>
      <c r="N12" s="10">
        <v>1</v>
      </c>
      <c r="O12" s="8" t="s">
        <v>416</v>
      </c>
    </row>
    <row r="13" spans="1:15" ht="46.05" customHeight="1">
      <c r="A13" s="8" t="s">
        <v>80</v>
      </c>
      <c r="B13" s="8" t="s">
        <v>429</v>
      </c>
      <c r="C13" s="8" t="s">
        <v>430</v>
      </c>
      <c r="D13" s="8" t="s">
        <v>335</v>
      </c>
      <c r="E13" s="8" t="s">
        <v>434</v>
      </c>
      <c r="F13" s="8" t="s">
        <v>104</v>
      </c>
      <c r="G13" s="8" t="s">
        <v>435</v>
      </c>
      <c r="H13" s="8" t="s">
        <v>104</v>
      </c>
      <c r="I13" s="8" t="s">
        <v>335</v>
      </c>
      <c r="J13" s="8" t="s">
        <v>268</v>
      </c>
      <c r="K13" s="9">
        <v>1200</v>
      </c>
      <c r="L13" s="9">
        <v>1200</v>
      </c>
      <c r="M13" s="10">
        <v>1</v>
      </c>
      <c r="N13" s="10">
        <v>1</v>
      </c>
      <c r="O13" s="8" t="s">
        <v>416</v>
      </c>
    </row>
    <row r="14" spans="1:15" ht="46.05" customHeight="1">
      <c r="A14" s="8" t="s">
        <v>81</v>
      </c>
      <c r="B14" s="8" t="s">
        <v>429</v>
      </c>
      <c r="C14" s="8" t="s">
        <v>430</v>
      </c>
      <c r="D14" s="8" t="s">
        <v>348</v>
      </c>
      <c r="E14" s="8" t="s">
        <v>436</v>
      </c>
      <c r="F14" s="8" t="s">
        <v>105</v>
      </c>
      <c r="G14" s="8" t="s">
        <v>437</v>
      </c>
      <c r="H14" s="8" t="s">
        <v>105</v>
      </c>
      <c r="I14" s="8" t="s">
        <v>348</v>
      </c>
      <c r="J14" s="8" t="s">
        <v>268</v>
      </c>
      <c r="K14" s="9">
        <v>900</v>
      </c>
      <c r="L14" s="9">
        <v>900</v>
      </c>
      <c r="M14" s="10"/>
      <c r="N14" s="10"/>
      <c r="O14" s="8" t="s">
        <v>416</v>
      </c>
    </row>
    <row r="15" spans="1:15" ht="46.05" customHeight="1">
      <c r="A15" s="8" t="s">
        <v>82</v>
      </c>
      <c r="B15" s="8" t="s">
        <v>423</v>
      </c>
      <c r="C15" s="8" t="s">
        <v>424</v>
      </c>
      <c r="D15" s="8" t="s">
        <v>438</v>
      </c>
      <c r="E15" s="8" t="s">
        <v>439</v>
      </c>
      <c r="F15" s="8" t="s">
        <v>440</v>
      </c>
      <c r="G15" s="8" t="s">
        <v>441</v>
      </c>
      <c r="H15" s="8" t="s">
        <v>106</v>
      </c>
      <c r="I15" s="8" t="s">
        <v>363</v>
      </c>
      <c r="J15" s="8" t="s">
        <v>361</v>
      </c>
      <c r="K15" s="9">
        <v>10</v>
      </c>
      <c r="L15" s="9"/>
      <c r="M15" s="10"/>
      <c r="N15" s="10"/>
      <c r="O15" s="8" t="s">
        <v>416</v>
      </c>
    </row>
    <row r="16" spans="1:15" ht="46.05" customHeight="1">
      <c r="A16" s="8" t="s">
        <v>83</v>
      </c>
      <c r="B16" s="8" t="s">
        <v>423</v>
      </c>
      <c r="C16" s="8" t="s">
        <v>424</v>
      </c>
      <c r="D16" s="8" t="s">
        <v>442</v>
      </c>
      <c r="E16" s="8" t="s">
        <v>443</v>
      </c>
      <c r="F16" s="8" t="s">
        <v>107</v>
      </c>
      <c r="G16" s="8" t="s">
        <v>444</v>
      </c>
      <c r="H16" s="8" t="s">
        <v>107</v>
      </c>
      <c r="I16" s="8" t="s">
        <v>378</v>
      </c>
      <c r="J16" s="8" t="s">
        <v>377</v>
      </c>
      <c r="K16" s="9">
        <v>1</v>
      </c>
      <c r="L16" s="9">
        <v>30</v>
      </c>
      <c r="M16" s="10">
        <v>2</v>
      </c>
      <c r="N16" s="10">
        <v>2</v>
      </c>
      <c r="O16" s="8" t="s">
        <v>416</v>
      </c>
    </row>
    <row r="17" spans="1:15" ht="46.05" customHeight="1">
      <c r="A17" s="8" t="s">
        <v>84</v>
      </c>
      <c r="B17" s="8" t="s">
        <v>423</v>
      </c>
      <c r="C17" s="8" t="s">
        <v>424</v>
      </c>
      <c r="D17" s="8" t="s">
        <v>445</v>
      </c>
      <c r="E17" s="8" t="s">
        <v>446</v>
      </c>
      <c r="F17" s="8" t="s">
        <v>102</v>
      </c>
      <c r="G17" s="8" t="s">
        <v>447</v>
      </c>
      <c r="H17" s="8" t="s">
        <v>108</v>
      </c>
      <c r="I17" s="8" t="s">
        <v>392</v>
      </c>
      <c r="J17" s="8" t="s">
        <v>391</v>
      </c>
      <c r="K17" s="9">
        <v>1</v>
      </c>
      <c r="L17" s="9">
        <v>20</v>
      </c>
      <c r="M17" s="10"/>
      <c r="N17" s="10"/>
      <c r="O17" s="8" t="s">
        <v>416</v>
      </c>
    </row>
    <row r="18" spans="1:15" ht="46.05" customHeight="1">
      <c r="A18" s="8" t="s">
        <v>85</v>
      </c>
      <c r="B18" s="8" t="s">
        <v>429</v>
      </c>
      <c r="C18" s="8" t="s">
        <v>430</v>
      </c>
      <c r="D18" s="8" t="s">
        <v>448</v>
      </c>
      <c r="E18" s="8" t="s">
        <v>449</v>
      </c>
      <c r="F18" s="8" t="s">
        <v>103</v>
      </c>
      <c r="G18" s="8" t="s">
        <v>450</v>
      </c>
      <c r="H18" s="8" t="s">
        <v>103</v>
      </c>
      <c r="I18" s="8" t="s">
        <v>322</v>
      </c>
      <c r="J18" s="8" t="s">
        <v>268</v>
      </c>
      <c r="K18" s="9">
        <v>25</v>
      </c>
      <c r="L18" s="9">
        <v>25</v>
      </c>
      <c r="M18" s="10">
        <v>1</v>
      </c>
      <c r="N18" s="10">
        <v>1</v>
      </c>
      <c r="O18" s="8" t="s">
        <v>416</v>
      </c>
    </row>
    <row r="19" spans="1:15" ht="46.05" customHeight="1">
      <c r="A19" s="8" t="s">
        <v>86</v>
      </c>
      <c r="B19" s="8" t="s">
        <v>423</v>
      </c>
      <c r="C19" s="8" t="s">
        <v>424</v>
      </c>
      <c r="D19" s="8" t="s">
        <v>451</v>
      </c>
      <c r="E19" s="8" t="s">
        <v>452</v>
      </c>
      <c r="F19" s="8" t="s">
        <v>105</v>
      </c>
      <c r="G19" s="8" t="s">
        <v>453</v>
      </c>
      <c r="H19" s="8" t="s">
        <v>105</v>
      </c>
      <c r="I19" s="8" t="s">
        <v>392</v>
      </c>
      <c r="J19" s="8" t="s">
        <v>391</v>
      </c>
      <c r="K19" s="9">
        <v>1</v>
      </c>
      <c r="L19" s="9">
        <v>15</v>
      </c>
      <c r="M19" s="10"/>
      <c r="N19" s="10"/>
      <c r="O19" s="8" t="s">
        <v>416</v>
      </c>
    </row>
    <row r="20" spans="1:15" ht="46.05" customHeight="1">
      <c r="A20" s="8" t="s">
        <v>87</v>
      </c>
      <c r="B20" s="8" t="s">
        <v>411</v>
      </c>
      <c r="C20" s="8" t="s">
        <v>412</v>
      </c>
      <c r="D20" s="8" t="s">
        <v>454</v>
      </c>
      <c r="E20" s="8" t="s">
        <v>455</v>
      </c>
      <c r="F20" s="8" t="s">
        <v>102</v>
      </c>
      <c r="G20" s="8" t="s">
        <v>456</v>
      </c>
      <c r="H20" s="8" t="s">
        <v>109</v>
      </c>
      <c r="I20" s="8" t="s">
        <v>454</v>
      </c>
      <c r="J20" s="8" t="s">
        <v>457</v>
      </c>
      <c r="K20" s="9">
        <v>1</v>
      </c>
      <c r="L20" s="9">
        <v>520</v>
      </c>
      <c r="M20" s="10"/>
      <c r="N20" s="10"/>
      <c r="O20" s="8" t="s">
        <v>416</v>
      </c>
    </row>
    <row r="21" spans="1:15" ht="46.05" customHeight="1">
      <c r="A21" s="8" t="s">
        <v>88</v>
      </c>
      <c r="B21" s="8" t="s">
        <v>411</v>
      </c>
      <c r="C21" s="8" t="s">
        <v>412</v>
      </c>
      <c r="D21" s="8" t="s">
        <v>458</v>
      </c>
      <c r="E21" s="8" t="s">
        <v>459</v>
      </c>
      <c r="F21" s="8" t="s">
        <v>460</v>
      </c>
      <c r="G21" s="8" t="s">
        <v>461</v>
      </c>
      <c r="H21" s="8" t="s">
        <v>110</v>
      </c>
      <c r="I21" s="8" t="s">
        <v>462</v>
      </c>
      <c r="J21" s="8" t="s">
        <v>391</v>
      </c>
      <c r="K21" s="9">
        <v>1</v>
      </c>
      <c r="L21" s="9">
        <v>2</v>
      </c>
      <c r="M21" s="10"/>
      <c r="N21" s="10"/>
      <c r="O21" s="8" t="s">
        <v>416</v>
      </c>
    </row>
    <row r="22" spans="1:15" ht="46.05" customHeight="1">
      <c r="A22" s="8" t="s">
        <v>89</v>
      </c>
      <c r="B22" s="8" t="s">
        <v>429</v>
      </c>
      <c r="C22" s="8" t="s">
        <v>430</v>
      </c>
      <c r="D22" s="8" t="s">
        <v>463</v>
      </c>
      <c r="E22" s="8" t="s">
        <v>434</v>
      </c>
      <c r="F22" s="8" t="s">
        <v>111</v>
      </c>
      <c r="G22" s="8" t="s">
        <v>464</v>
      </c>
      <c r="H22" s="8" t="s">
        <v>111</v>
      </c>
      <c r="I22" s="8" t="s">
        <v>465</v>
      </c>
      <c r="J22" s="8" t="s">
        <v>466</v>
      </c>
      <c r="K22" s="9">
        <v>1</v>
      </c>
      <c r="L22" s="9"/>
      <c r="M22" s="10"/>
      <c r="N22" s="10"/>
      <c r="O22" s="8" t="s">
        <v>416</v>
      </c>
    </row>
    <row r="23" spans="1:15" ht="46.05" customHeight="1">
      <c r="A23" s="8" t="s">
        <v>90</v>
      </c>
      <c r="B23" s="8" t="s">
        <v>429</v>
      </c>
      <c r="C23" s="8" t="s">
        <v>430</v>
      </c>
      <c r="D23" s="8" t="s">
        <v>467</v>
      </c>
      <c r="E23" s="8" t="s">
        <v>434</v>
      </c>
      <c r="F23" s="8" t="s">
        <v>111</v>
      </c>
      <c r="G23" s="8" t="s">
        <v>464</v>
      </c>
      <c r="H23" s="8" t="s">
        <v>111</v>
      </c>
      <c r="I23" s="8" t="s">
        <v>468</v>
      </c>
      <c r="J23" s="8" t="s">
        <v>466</v>
      </c>
      <c r="K23" s="9">
        <v>1</v>
      </c>
      <c r="L23" s="9"/>
      <c r="M23" s="10"/>
      <c r="N23" s="10"/>
      <c r="O23" s="8" t="s">
        <v>416</v>
      </c>
    </row>
    <row r="24" spans="1:15" ht="46.05" customHeight="1">
      <c r="A24" s="8" t="s">
        <v>91</v>
      </c>
      <c r="B24" s="8" t="s">
        <v>429</v>
      </c>
      <c r="C24" s="8" t="s">
        <v>430</v>
      </c>
      <c r="D24" s="8" t="s">
        <v>469</v>
      </c>
      <c r="E24" s="8" t="s">
        <v>432</v>
      </c>
      <c r="F24" s="8" t="s">
        <v>103</v>
      </c>
      <c r="G24" s="8" t="s">
        <v>470</v>
      </c>
      <c r="H24" s="8" t="s">
        <v>103</v>
      </c>
      <c r="I24" s="8" t="s">
        <v>322</v>
      </c>
      <c r="J24" s="8" t="s">
        <v>268</v>
      </c>
      <c r="K24" s="9">
        <v>500</v>
      </c>
      <c r="L24" s="9">
        <v>500</v>
      </c>
      <c r="M24" s="10">
        <v>1</v>
      </c>
      <c r="N24" s="10">
        <v>1</v>
      </c>
      <c r="O24" s="8" t="s">
        <v>416</v>
      </c>
    </row>
    <row r="25" spans="1:15" ht="46.05" customHeight="1">
      <c r="A25" s="8" t="s">
        <v>92</v>
      </c>
      <c r="B25" s="8" t="s">
        <v>411</v>
      </c>
      <c r="C25" s="8" t="s">
        <v>412</v>
      </c>
      <c r="D25" s="8" t="s">
        <v>471</v>
      </c>
      <c r="E25" s="8" t="s">
        <v>472</v>
      </c>
      <c r="F25" s="8" t="s">
        <v>102</v>
      </c>
      <c r="G25" s="8" t="s">
        <v>473</v>
      </c>
      <c r="H25" s="8" t="s">
        <v>102</v>
      </c>
      <c r="I25" s="8" t="s">
        <v>309</v>
      </c>
      <c r="J25" s="8" t="s">
        <v>268</v>
      </c>
      <c r="K25" s="9">
        <v>80</v>
      </c>
      <c r="L25" s="9">
        <v>80</v>
      </c>
      <c r="M25" s="10">
        <v>2</v>
      </c>
      <c r="N25" s="10">
        <v>1</v>
      </c>
      <c r="O25" s="8" t="s">
        <v>416</v>
      </c>
    </row>
    <row r="26" spans="1:15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5.05" customHeight="1">
      <c r="A27" s="3" t="s">
        <v>474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</sheetData>
  <phoneticPr fontId="8" type="noConversion"/>
  <dataValidations count="2">
    <dataValidation type="list" sqref="H6:H25" xr:uid="{00000000-0002-0000-0900-000000000000}">
      <formula1>"商业,办公,住宅,仓储,厂房,场地,车位,通信基站,广告位,场馆,设备"</formula1>
    </dataValidation>
    <dataValidation type="list" sqref="J6:J25" xr:uid="{00000000-0002-0000-0900-000001000000}">
      <formula1>"元/㎡/月,元/个/月,元/间/月,元/处/月,元/场·天,元/台/月"</formula1>
    </dataValidation>
  </dataValidations>
  <pageMargins left="0.39370078740157477" right="0.39370078740157477" top="0.75" bottom="0.75" header="0.3" footer="0.3"/>
  <pageSetup paperSize="8" scale="6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29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13" customWidth="1"/>
    <col min="3" max="3" width="22" customWidth="1"/>
    <col min="4" max="4" width="18" customWidth="1"/>
    <col min="5" max="5" width="20" customWidth="1"/>
    <col min="6" max="6" width="19" customWidth="1"/>
    <col min="7" max="7" width="18" customWidth="1"/>
    <col min="8" max="8" width="52" customWidth="1"/>
  </cols>
  <sheetData>
    <row r="1" spans="1:8" ht="25.05" customHeight="1">
      <c r="A1" s="1"/>
      <c r="B1" s="1"/>
      <c r="C1" s="1"/>
      <c r="D1" s="1"/>
      <c r="E1" s="1"/>
      <c r="F1" s="1"/>
      <c r="G1" s="1"/>
      <c r="H1" s="1"/>
    </row>
    <row r="2" spans="1:8" ht="34.049999999999997" customHeight="1">
      <c r="A2" s="2" t="s">
        <v>475</v>
      </c>
      <c r="B2" s="2"/>
      <c r="C2" s="2"/>
      <c r="D2" s="2"/>
      <c r="E2" s="2"/>
      <c r="F2" s="2"/>
      <c r="G2" s="2"/>
      <c r="H2" s="2"/>
    </row>
    <row r="3" spans="1:8" ht="25.05" customHeight="1">
      <c r="A3" s="3" t="s">
        <v>57</v>
      </c>
      <c r="B3" s="1"/>
      <c r="C3" s="1"/>
      <c r="D3" s="1"/>
      <c r="E3" s="1"/>
      <c r="F3" s="1"/>
      <c r="G3" s="1"/>
      <c r="H3" s="1"/>
    </row>
    <row r="4" spans="1:8" ht="25.05" customHeight="1">
      <c r="A4" s="1"/>
      <c r="B4" s="1"/>
      <c r="C4" s="1"/>
      <c r="D4" s="1"/>
      <c r="E4" s="1"/>
      <c r="F4" s="1"/>
      <c r="G4" s="1"/>
      <c r="H4" s="1"/>
    </row>
    <row r="5" spans="1:8" ht="44" customHeight="1">
      <c r="A5" s="4" t="s">
        <v>58</v>
      </c>
      <c r="B5" s="4" t="s">
        <v>69</v>
      </c>
      <c r="C5" s="4" t="s">
        <v>476</v>
      </c>
      <c r="D5" s="4" t="s">
        <v>477</v>
      </c>
      <c r="E5" s="4" t="s">
        <v>478</v>
      </c>
      <c r="F5" s="4" t="s">
        <v>479</v>
      </c>
      <c r="G5" s="4" t="s">
        <v>480</v>
      </c>
      <c r="H5" s="4" t="s">
        <v>481</v>
      </c>
    </row>
    <row r="6" spans="1:8" ht="45" customHeight="1">
      <c r="A6" s="8" t="s">
        <v>72</v>
      </c>
      <c r="B6" s="8" t="s">
        <v>482</v>
      </c>
      <c r="C6" s="8" t="s">
        <v>483</v>
      </c>
      <c r="D6" s="9">
        <v>48</v>
      </c>
      <c r="E6" s="9">
        <v>34560</v>
      </c>
      <c r="F6" s="8" t="s">
        <v>210</v>
      </c>
      <c r="G6" s="8"/>
      <c r="H6" s="8" t="s">
        <v>484</v>
      </c>
    </row>
    <row r="7" spans="1:8" ht="45" customHeight="1">
      <c r="A7" s="8" t="s">
        <v>74</v>
      </c>
      <c r="B7" s="8" t="s">
        <v>482</v>
      </c>
      <c r="C7" s="8" t="s">
        <v>483</v>
      </c>
      <c r="D7" s="9">
        <v>47</v>
      </c>
      <c r="E7" s="9">
        <v>62040</v>
      </c>
      <c r="F7" s="8" t="s">
        <v>233</v>
      </c>
      <c r="G7" s="8"/>
      <c r="H7" s="8" t="s">
        <v>484</v>
      </c>
    </row>
    <row r="8" spans="1:8" ht="45" customHeight="1">
      <c r="A8" s="8" t="s">
        <v>75</v>
      </c>
      <c r="B8" s="8" t="s">
        <v>482</v>
      </c>
      <c r="C8" s="8" t="s">
        <v>483</v>
      </c>
      <c r="D8" s="9">
        <v>42</v>
      </c>
      <c r="E8" s="9">
        <v>47880</v>
      </c>
      <c r="F8" s="8" t="s">
        <v>234</v>
      </c>
      <c r="G8" s="8"/>
      <c r="H8" s="8" t="s">
        <v>484</v>
      </c>
    </row>
    <row r="9" spans="1:8" ht="45" customHeight="1">
      <c r="A9" s="8" t="s">
        <v>76</v>
      </c>
      <c r="B9" s="8" t="s">
        <v>482</v>
      </c>
      <c r="C9" s="8" t="s">
        <v>483</v>
      </c>
      <c r="D9" s="9">
        <v>50</v>
      </c>
      <c r="E9" s="9">
        <v>22800</v>
      </c>
      <c r="F9" s="8" t="s">
        <v>235</v>
      </c>
      <c r="G9" s="8"/>
      <c r="H9" s="8" t="s">
        <v>484</v>
      </c>
    </row>
    <row r="10" spans="1:8" ht="45" customHeight="1">
      <c r="A10" s="8" t="s">
        <v>77</v>
      </c>
      <c r="B10" s="8" t="s">
        <v>482</v>
      </c>
      <c r="C10" s="8" t="s">
        <v>483</v>
      </c>
      <c r="D10" s="9">
        <v>14</v>
      </c>
      <c r="E10" s="9">
        <v>23520</v>
      </c>
      <c r="F10" s="8" t="s">
        <v>237</v>
      </c>
      <c r="G10" s="8"/>
      <c r="H10" s="8" t="s">
        <v>484</v>
      </c>
    </row>
    <row r="11" spans="1:8" ht="45" customHeight="1">
      <c r="A11" s="8" t="s">
        <v>78</v>
      </c>
      <c r="B11" s="8" t="s">
        <v>482</v>
      </c>
      <c r="C11" s="8" t="s">
        <v>483</v>
      </c>
      <c r="D11" s="9">
        <v>32</v>
      </c>
      <c r="E11" s="9">
        <v>69120</v>
      </c>
      <c r="F11" s="8" t="s">
        <v>238</v>
      </c>
      <c r="G11" s="8"/>
      <c r="H11" s="8" t="s">
        <v>484</v>
      </c>
    </row>
    <row r="12" spans="1:8" ht="45" customHeight="1">
      <c r="A12" s="8" t="s">
        <v>79</v>
      </c>
      <c r="B12" s="8" t="s">
        <v>482</v>
      </c>
      <c r="C12" s="8" t="s">
        <v>483</v>
      </c>
      <c r="D12" s="9">
        <v>11</v>
      </c>
      <c r="E12" s="9">
        <v>66000</v>
      </c>
      <c r="F12" s="8" t="s">
        <v>239</v>
      </c>
      <c r="G12" s="8"/>
      <c r="H12" s="8" t="s">
        <v>484</v>
      </c>
    </row>
    <row r="13" spans="1:8" ht="45" customHeight="1">
      <c r="A13" s="8" t="s">
        <v>80</v>
      </c>
      <c r="B13" s="8" t="s">
        <v>482</v>
      </c>
      <c r="C13" s="8" t="s">
        <v>483</v>
      </c>
      <c r="D13" s="9">
        <v>15</v>
      </c>
      <c r="E13" s="9">
        <v>216000</v>
      </c>
      <c r="F13" s="8" t="s">
        <v>240</v>
      </c>
      <c r="G13" s="8"/>
      <c r="H13" s="8" t="s">
        <v>484</v>
      </c>
    </row>
    <row r="14" spans="1:8" ht="45" customHeight="1">
      <c r="A14" s="8" t="s">
        <v>81</v>
      </c>
      <c r="B14" s="8" t="s">
        <v>482</v>
      </c>
      <c r="C14" s="8" t="s">
        <v>483</v>
      </c>
      <c r="D14" s="9">
        <v>3</v>
      </c>
      <c r="E14" s="9">
        <v>32400</v>
      </c>
      <c r="F14" s="8" t="s">
        <v>245</v>
      </c>
      <c r="G14" s="8"/>
      <c r="H14" s="8" t="s">
        <v>484</v>
      </c>
    </row>
    <row r="15" spans="1:8" ht="45" customHeight="1">
      <c r="A15" s="8" t="s">
        <v>82</v>
      </c>
      <c r="B15" s="8" t="s">
        <v>482</v>
      </c>
      <c r="C15" s="8" t="s">
        <v>483</v>
      </c>
      <c r="D15" s="9">
        <v>175</v>
      </c>
      <c r="E15" s="9">
        <v>21000</v>
      </c>
      <c r="F15" s="8" t="s">
        <v>246</v>
      </c>
      <c r="G15" s="8"/>
      <c r="H15" s="8" t="s">
        <v>484</v>
      </c>
    </row>
    <row r="16" spans="1:8" ht="45" customHeight="1">
      <c r="A16" s="8" t="s">
        <v>83</v>
      </c>
      <c r="B16" s="8" t="s">
        <v>482</v>
      </c>
      <c r="C16" s="8" t="s">
        <v>483</v>
      </c>
      <c r="D16" s="9">
        <v>620</v>
      </c>
      <c r="E16" s="9">
        <v>7440</v>
      </c>
      <c r="F16" s="8" t="s">
        <v>247</v>
      </c>
      <c r="G16" s="8"/>
      <c r="H16" s="8" t="s">
        <v>484</v>
      </c>
    </row>
    <row r="17" spans="1:8" ht="45" customHeight="1">
      <c r="A17" s="8" t="s">
        <v>84</v>
      </c>
      <c r="B17" s="8" t="s">
        <v>482</v>
      </c>
      <c r="C17" s="8" t="s">
        <v>483</v>
      </c>
      <c r="D17" s="9">
        <v>680</v>
      </c>
      <c r="E17" s="9">
        <v>8160</v>
      </c>
      <c r="F17" s="8" t="s">
        <v>248</v>
      </c>
      <c r="G17" s="8"/>
      <c r="H17" s="8" t="s">
        <v>484</v>
      </c>
    </row>
    <row r="18" spans="1:8" ht="45" customHeight="1">
      <c r="A18" s="8" t="s">
        <v>85</v>
      </c>
      <c r="B18" s="8" t="s">
        <v>482</v>
      </c>
      <c r="C18" s="8" t="s">
        <v>485</v>
      </c>
      <c r="D18" s="9">
        <v>4</v>
      </c>
      <c r="E18" s="9">
        <v>1200</v>
      </c>
      <c r="F18" s="8" t="s">
        <v>486</v>
      </c>
      <c r="G18" s="8"/>
      <c r="H18" s="8" t="s">
        <v>487</v>
      </c>
    </row>
    <row r="19" spans="1:8" ht="45" customHeight="1">
      <c r="A19" s="8" t="s">
        <v>86</v>
      </c>
      <c r="B19" s="8" t="s">
        <v>482</v>
      </c>
      <c r="C19" s="8" t="s">
        <v>488</v>
      </c>
      <c r="D19" s="9">
        <v>650</v>
      </c>
      <c r="E19" s="9">
        <v>7800</v>
      </c>
      <c r="F19" s="8" t="s">
        <v>489</v>
      </c>
      <c r="G19" s="8"/>
      <c r="H19" s="8" t="s">
        <v>490</v>
      </c>
    </row>
    <row r="20" spans="1:8" ht="45" customHeight="1">
      <c r="A20" s="8" t="s">
        <v>87</v>
      </c>
      <c r="B20" s="8" t="s">
        <v>482</v>
      </c>
      <c r="C20" s="8" t="s">
        <v>491</v>
      </c>
      <c r="D20" s="9">
        <v>1800</v>
      </c>
      <c r="E20" s="9">
        <v>64800</v>
      </c>
      <c r="F20" s="8" t="s">
        <v>492</v>
      </c>
      <c r="G20" s="8"/>
      <c r="H20" s="8" t="s">
        <v>484</v>
      </c>
    </row>
    <row r="21" spans="1:8" ht="45" customHeight="1">
      <c r="A21" s="8" t="s">
        <v>88</v>
      </c>
      <c r="B21" s="8" t="s">
        <v>482</v>
      </c>
      <c r="C21" s="8" t="s">
        <v>491</v>
      </c>
      <c r="D21" s="9">
        <v>380</v>
      </c>
      <c r="E21" s="9">
        <v>4560</v>
      </c>
      <c r="F21" s="8" t="s">
        <v>493</v>
      </c>
      <c r="G21" s="8"/>
      <c r="H21" s="8" t="s">
        <v>484</v>
      </c>
    </row>
    <row r="22" spans="1:8" ht="45" customHeight="1">
      <c r="A22" s="8" t="s">
        <v>89</v>
      </c>
      <c r="B22" s="8" t="s">
        <v>482</v>
      </c>
      <c r="C22" s="8" t="s">
        <v>494</v>
      </c>
      <c r="D22" s="9">
        <v>266.6666666667</v>
      </c>
      <c r="E22" s="9">
        <v>3200</v>
      </c>
      <c r="F22" s="8" t="s">
        <v>495</v>
      </c>
      <c r="G22" s="8"/>
      <c r="H22" s="8" t="s">
        <v>496</v>
      </c>
    </row>
    <row r="23" spans="1:8" ht="45" customHeight="1">
      <c r="A23" s="8" t="s">
        <v>90</v>
      </c>
      <c r="B23" s="8" t="s">
        <v>482</v>
      </c>
      <c r="C23" s="8" t="s">
        <v>494</v>
      </c>
      <c r="D23" s="9">
        <v>133.3333333333</v>
      </c>
      <c r="E23" s="9">
        <v>1600</v>
      </c>
      <c r="F23" s="8" t="s">
        <v>497</v>
      </c>
      <c r="G23" s="8"/>
      <c r="H23" s="8" t="s">
        <v>496</v>
      </c>
    </row>
    <row r="24" spans="1:8" ht="45" customHeight="1">
      <c r="A24" s="8" t="s">
        <v>91</v>
      </c>
      <c r="B24" s="8" t="s">
        <v>498</v>
      </c>
      <c r="C24" s="8" t="s">
        <v>499</v>
      </c>
      <c r="D24" s="9"/>
      <c r="E24" s="9"/>
      <c r="F24" s="8" t="s">
        <v>500</v>
      </c>
      <c r="G24" s="8" t="s">
        <v>79</v>
      </c>
      <c r="H24" s="8" t="s">
        <v>501</v>
      </c>
    </row>
    <row r="25" spans="1:8" ht="45" customHeight="1">
      <c r="A25" s="8" t="s">
        <v>92</v>
      </c>
      <c r="B25" s="8" t="s">
        <v>498</v>
      </c>
      <c r="C25" s="8" t="s">
        <v>502</v>
      </c>
      <c r="D25" s="9"/>
      <c r="E25" s="9"/>
      <c r="F25" s="8" t="s">
        <v>503</v>
      </c>
      <c r="G25" s="8"/>
      <c r="H25" s="8" t="s">
        <v>504</v>
      </c>
    </row>
    <row r="26" spans="1:8" ht="25.05" customHeight="1">
      <c r="A26" s="1"/>
      <c r="B26" s="1"/>
      <c r="C26" s="1"/>
      <c r="D26" s="1"/>
      <c r="E26" s="1"/>
      <c r="F26" s="1"/>
      <c r="G26" s="1"/>
      <c r="H26" s="1"/>
    </row>
    <row r="27" spans="1:8" ht="25.05" customHeight="1">
      <c r="A27" s="3" t="s">
        <v>505</v>
      </c>
      <c r="B27" s="1"/>
      <c r="C27" s="1"/>
      <c r="D27" s="1"/>
      <c r="E27" s="1"/>
      <c r="F27" s="1"/>
      <c r="G27" s="1"/>
      <c r="H27" s="1"/>
    </row>
    <row r="28" spans="1:8" ht="25.05" customHeight="1">
      <c r="A28" s="3" t="s">
        <v>506</v>
      </c>
      <c r="B28" s="1"/>
      <c r="C28" s="1"/>
      <c r="D28" s="1"/>
      <c r="E28" s="1"/>
      <c r="F28" s="1"/>
      <c r="G28" s="1"/>
      <c r="H28" s="1"/>
    </row>
    <row r="29" spans="1:8" ht="25.05" customHeight="1">
      <c r="A29" s="1"/>
      <c r="B29" s="1"/>
      <c r="C29" s="1"/>
      <c r="D29" s="1"/>
      <c r="E29" s="1"/>
      <c r="F29" s="1"/>
      <c r="G29" s="1"/>
      <c r="H29" s="1"/>
    </row>
  </sheetData>
  <phoneticPr fontId="8" type="noConversion"/>
  <dataValidations count="2">
    <dataValidation type="list" sqref="B6:B25" xr:uid="{00000000-0002-0000-0A00-000000000000}">
      <formula1>"纳入,排除"</formula1>
    </dataValidation>
    <dataValidation type="list" sqref="C6:C25" xr:uid="{00000000-0002-0000-0A00-000001000000}">
      <formula1>"市场比较,资料核定,租赁资料核定,专项计租,设备附表,不重复计租,不纳入"</formula1>
    </dataValidation>
  </dataValidations>
  <pageMargins left="0.39370078740157477" right="0.39370078740157477" top="0.75" bottom="0.75" header="0.3" footer="0.3"/>
  <pageSetup paperSize="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47"/>
  <sheetViews>
    <sheetView showGridLines="0" workbookViewId="0"/>
  </sheetViews>
  <sheetFormatPr defaultRowHeight="13.5"/>
  <cols>
    <col min="1" max="1" width="30" customWidth="1"/>
    <col min="2" max="2" width="19" customWidth="1"/>
    <col min="3" max="3" width="18" customWidth="1"/>
    <col min="4" max="4" width="70" customWidth="1"/>
  </cols>
  <sheetData>
    <row r="1" spans="1:4" ht="25.05" customHeight="1">
      <c r="A1" s="1"/>
      <c r="B1" s="1"/>
      <c r="C1" s="1"/>
      <c r="D1" s="1"/>
    </row>
    <row r="2" spans="1:4" ht="34.049999999999997" customHeight="1">
      <c r="A2" s="2" t="s">
        <v>507</v>
      </c>
      <c r="B2" s="2"/>
      <c r="C2" s="2"/>
      <c r="D2" s="2"/>
    </row>
    <row r="3" spans="1:4" ht="25.05" customHeight="1">
      <c r="A3" s="3" t="s">
        <v>57</v>
      </c>
      <c r="B3" s="1"/>
      <c r="C3" s="1"/>
      <c r="D3" s="1"/>
    </row>
    <row r="4" spans="1:4" ht="25.05" customHeight="1">
      <c r="A4" s="1"/>
      <c r="B4" s="1"/>
      <c r="C4" s="1"/>
      <c r="D4" s="1"/>
    </row>
    <row r="5" spans="1:4" ht="44" customHeight="1">
      <c r="A5" s="4" t="s">
        <v>508</v>
      </c>
      <c r="B5" s="4" t="s">
        <v>509</v>
      </c>
      <c r="C5" s="4" t="s">
        <v>510</v>
      </c>
      <c r="D5" s="4" t="s">
        <v>99</v>
      </c>
    </row>
    <row r="6" spans="1:4" ht="25.05" customHeight="1">
      <c r="A6" s="1" t="s">
        <v>511</v>
      </c>
      <c r="B6" s="7">
        <v>100</v>
      </c>
      <c r="C6" s="1" t="s">
        <v>512</v>
      </c>
      <c r="D6" s="1" t="s">
        <v>513</v>
      </c>
    </row>
    <row r="7" spans="1:4" ht="25.05" customHeight="1">
      <c r="A7" s="1" t="s">
        <v>514</v>
      </c>
      <c r="B7" s="13">
        <v>0.2</v>
      </c>
      <c r="C7" s="1" t="s">
        <v>515</v>
      </c>
      <c r="D7" s="1" t="s">
        <v>516</v>
      </c>
    </row>
    <row r="8" spans="1:4" ht="25.05" customHeight="1">
      <c r="A8" s="1" t="s">
        <v>517</v>
      </c>
      <c r="B8" s="13">
        <v>0.2</v>
      </c>
      <c r="C8" s="1" t="s">
        <v>515</v>
      </c>
      <c r="D8" s="1" t="s">
        <v>518</v>
      </c>
    </row>
    <row r="9" spans="1:4" ht="25.05" customHeight="1">
      <c r="A9" s="1" t="s">
        <v>519</v>
      </c>
      <c r="B9" s="7">
        <v>1</v>
      </c>
      <c r="C9" s="1" t="s">
        <v>520</v>
      </c>
      <c r="D9" s="1" t="s">
        <v>521</v>
      </c>
    </row>
    <row r="10" spans="1:4" ht="25.05" customHeight="1">
      <c r="A10" s="1" t="s">
        <v>522</v>
      </c>
      <c r="B10" s="7">
        <v>12</v>
      </c>
      <c r="C10" s="1" t="s">
        <v>523</v>
      </c>
      <c r="D10" s="1" t="s">
        <v>524</v>
      </c>
    </row>
    <row r="11" spans="1:4" ht="25.05" customHeight="1">
      <c r="A11" s="1" t="s">
        <v>525</v>
      </c>
      <c r="B11" s="7">
        <v>3</v>
      </c>
      <c r="C11" s="1" t="s">
        <v>526</v>
      </c>
      <c r="D11" s="1" t="s">
        <v>527</v>
      </c>
    </row>
    <row r="12" spans="1:4" ht="25.05" customHeight="1">
      <c r="A12" s="1"/>
      <c r="B12" s="1"/>
      <c r="C12" s="1"/>
      <c r="D12" s="1"/>
    </row>
    <row r="13" spans="1:4" ht="25.05" customHeight="1">
      <c r="A13" s="1"/>
      <c r="B13" s="1"/>
      <c r="C13" s="1"/>
      <c r="D13" s="1"/>
    </row>
    <row r="14" spans="1:4" ht="44" customHeight="1">
      <c r="A14" s="4" t="s">
        <v>528</v>
      </c>
      <c r="B14" s="4" t="s">
        <v>529</v>
      </c>
      <c r="C14" s="4" t="s">
        <v>530</v>
      </c>
      <c r="D14" s="4" t="s">
        <v>99</v>
      </c>
    </row>
    <row r="15" spans="1:4" ht="25.05" customHeight="1">
      <c r="A15" s="6">
        <v>0</v>
      </c>
      <c r="B15" s="6">
        <v>0.5</v>
      </c>
      <c r="C15" s="7">
        <v>105</v>
      </c>
      <c r="D15" s="1" t="s">
        <v>531</v>
      </c>
    </row>
    <row r="16" spans="1:4" ht="25.05" customHeight="1">
      <c r="A16" s="6">
        <v>0.5</v>
      </c>
      <c r="B16" s="6">
        <v>0.67</v>
      </c>
      <c r="C16" s="7">
        <v>104</v>
      </c>
      <c r="D16" s="1" t="s">
        <v>532</v>
      </c>
    </row>
    <row r="17" spans="1:4" ht="25.05" customHeight="1">
      <c r="A17" s="6">
        <v>0.67</v>
      </c>
      <c r="B17" s="6">
        <v>0.8</v>
      </c>
      <c r="C17" s="7">
        <v>102</v>
      </c>
      <c r="D17" s="1" t="s">
        <v>533</v>
      </c>
    </row>
    <row r="18" spans="1:4" ht="25.05" customHeight="1">
      <c r="A18" s="6">
        <v>0.8</v>
      </c>
      <c r="B18" s="6">
        <v>1.25</v>
      </c>
      <c r="C18" s="7">
        <v>100</v>
      </c>
      <c r="D18" s="1" t="s">
        <v>534</v>
      </c>
    </row>
    <row r="19" spans="1:4" ht="25.05" customHeight="1">
      <c r="A19" s="6">
        <v>1.25</v>
      </c>
      <c r="B19" s="6">
        <v>1.5</v>
      </c>
      <c r="C19" s="7">
        <v>98</v>
      </c>
      <c r="D19" s="1" t="s">
        <v>535</v>
      </c>
    </row>
    <row r="20" spans="1:4" ht="25.05" customHeight="1">
      <c r="A20" s="6">
        <v>1.5</v>
      </c>
      <c r="B20" s="6">
        <v>2</v>
      </c>
      <c r="C20" s="7">
        <v>96</v>
      </c>
      <c r="D20" s="1" t="s">
        <v>536</v>
      </c>
    </row>
    <row r="21" spans="1:4" ht="25.05" customHeight="1">
      <c r="A21" s="6">
        <v>2</v>
      </c>
      <c r="B21" s="6">
        <v>999999</v>
      </c>
      <c r="C21" s="7">
        <v>95</v>
      </c>
      <c r="D21" s="1" t="s">
        <v>537</v>
      </c>
    </row>
    <row r="22" spans="1:4" ht="25.05" customHeight="1">
      <c r="A22" s="1"/>
      <c r="B22" s="1"/>
      <c r="C22" s="1"/>
      <c r="D22" s="1"/>
    </row>
    <row r="23" spans="1:4" ht="25.05" customHeight="1">
      <c r="A23" s="1"/>
      <c r="B23" s="1"/>
      <c r="C23" s="1"/>
      <c r="D23" s="1"/>
    </row>
    <row r="24" spans="1:4" ht="44" customHeight="1">
      <c r="A24" s="4" t="s">
        <v>538</v>
      </c>
      <c r="B24" s="4" t="s">
        <v>530</v>
      </c>
      <c r="C24" s="4" t="s">
        <v>539</v>
      </c>
      <c r="D24" s="4" t="s">
        <v>99</v>
      </c>
    </row>
    <row r="25" spans="1:4" ht="25.05" customHeight="1">
      <c r="A25" s="7">
        <v>-3</v>
      </c>
      <c r="B25" s="7">
        <v>97</v>
      </c>
      <c r="C25" s="14">
        <f t="shared" ref="C25:C31" si="0">$B$6/B25</f>
        <v>1.0309278350515463</v>
      </c>
      <c r="D25" s="1" t="s">
        <v>540</v>
      </c>
    </row>
    <row r="26" spans="1:4" ht="25.05" customHeight="1">
      <c r="A26" s="7">
        <v>-2</v>
      </c>
      <c r="B26" s="7">
        <v>98</v>
      </c>
      <c r="C26" s="14">
        <f t="shared" si="0"/>
        <v>1.0204081632653061</v>
      </c>
      <c r="D26" s="1" t="s">
        <v>540</v>
      </c>
    </row>
    <row r="27" spans="1:4" ht="25.05" customHeight="1">
      <c r="A27" s="7">
        <v>-1</v>
      </c>
      <c r="B27" s="7">
        <v>99</v>
      </c>
      <c r="C27" s="14">
        <f t="shared" si="0"/>
        <v>1.0101010101010102</v>
      </c>
      <c r="D27" s="1" t="s">
        <v>540</v>
      </c>
    </row>
    <row r="28" spans="1:4" ht="25.05" customHeight="1">
      <c r="A28" s="7">
        <v>0</v>
      </c>
      <c r="B28" s="7">
        <v>100</v>
      </c>
      <c r="C28" s="14">
        <f t="shared" si="0"/>
        <v>1</v>
      </c>
      <c r="D28" s="1" t="s">
        <v>540</v>
      </c>
    </row>
    <row r="29" spans="1:4" ht="25.05" customHeight="1">
      <c r="A29" s="7">
        <v>1</v>
      </c>
      <c r="B29" s="7">
        <v>101</v>
      </c>
      <c r="C29" s="14">
        <f t="shared" si="0"/>
        <v>0.99009900990099009</v>
      </c>
      <c r="D29" s="1" t="s">
        <v>540</v>
      </c>
    </row>
    <row r="30" spans="1:4" ht="25.05" customHeight="1">
      <c r="A30" s="7">
        <v>2</v>
      </c>
      <c r="B30" s="7">
        <v>102</v>
      </c>
      <c r="C30" s="14">
        <f t="shared" si="0"/>
        <v>0.98039215686274506</v>
      </c>
      <c r="D30" s="1" t="s">
        <v>540</v>
      </c>
    </row>
    <row r="31" spans="1:4" ht="25.05" customHeight="1">
      <c r="A31" s="7">
        <v>3</v>
      </c>
      <c r="B31" s="7">
        <v>103</v>
      </c>
      <c r="C31" s="14">
        <f t="shared" si="0"/>
        <v>0.970873786407767</v>
      </c>
      <c r="D31" s="1" t="s">
        <v>540</v>
      </c>
    </row>
    <row r="32" spans="1:4" ht="25.05" customHeight="1">
      <c r="A32" s="1"/>
      <c r="B32" s="1"/>
      <c r="C32" s="14"/>
      <c r="D32" s="1"/>
    </row>
    <row r="33" spans="1:4" ht="25.05" customHeight="1">
      <c r="A33" s="1"/>
      <c r="B33" s="1"/>
      <c r="C33" s="14"/>
      <c r="D33" s="1"/>
    </row>
    <row r="34" spans="1:4" ht="44" customHeight="1">
      <c r="A34" s="4" t="s">
        <v>541</v>
      </c>
      <c r="B34" s="4" t="s">
        <v>530</v>
      </c>
      <c r="C34" s="15" t="s">
        <v>539</v>
      </c>
      <c r="D34" s="4" t="s">
        <v>99</v>
      </c>
    </row>
    <row r="35" spans="1:4" ht="25.05" customHeight="1">
      <c r="A35" s="7">
        <v>-3</v>
      </c>
      <c r="B35" s="7">
        <v>95</v>
      </c>
      <c r="C35" s="14">
        <f t="shared" ref="C35:C41" si="1">$B$6/B35</f>
        <v>1.0526315789473684</v>
      </c>
      <c r="D35" s="1" t="s">
        <v>542</v>
      </c>
    </row>
    <row r="36" spans="1:4" ht="25.05" customHeight="1">
      <c r="A36" s="7">
        <v>-2</v>
      </c>
      <c r="B36" s="7">
        <v>97</v>
      </c>
      <c r="C36" s="14">
        <f t="shared" si="1"/>
        <v>1.0309278350515463</v>
      </c>
      <c r="D36" s="1" t="s">
        <v>542</v>
      </c>
    </row>
    <row r="37" spans="1:4" ht="25.05" customHeight="1">
      <c r="A37" s="7">
        <v>-1</v>
      </c>
      <c r="B37" s="7">
        <v>98</v>
      </c>
      <c r="C37" s="14">
        <f t="shared" si="1"/>
        <v>1.0204081632653061</v>
      </c>
      <c r="D37" s="1" t="s">
        <v>542</v>
      </c>
    </row>
    <row r="38" spans="1:4" ht="25.05" customHeight="1">
      <c r="A38" s="7">
        <v>0</v>
      </c>
      <c r="B38" s="7">
        <v>100</v>
      </c>
      <c r="C38" s="14">
        <f t="shared" si="1"/>
        <v>1</v>
      </c>
      <c r="D38" s="1" t="s">
        <v>542</v>
      </c>
    </row>
    <row r="39" spans="1:4" ht="25.05" customHeight="1">
      <c r="A39" s="7">
        <v>1</v>
      </c>
      <c r="B39" s="7">
        <v>102</v>
      </c>
      <c r="C39" s="14">
        <f t="shared" si="1"/>
        <v>0.98039215686274506</v>
      </c>
      <c r="D39" s="1" t="s">
        <v>542</v>
      </c>
    </row>
    <row r="40" spans="1:4" ht="25.05" customHeight="1">
      <c r="A40" s="7">
        <v>2</v>
      </c>
      <c r="B40" s="7">
        <v>103</v>
      </c>
      <c r="C40" s="14">
        <f t="shared" si="1"/>
        <v>0.970873786407767</v>
      </c>
      <c r="D40" s="1" t="s">
        <v>542</v>
      </c>
    </row>
    <row r="41" spans="1:4" ht="25.05" customHeight="1">
      <c r="A41" s="7">
        <v>3</v>
      </c>
      <c r="B41" s="7">
        <v>105</v>
      </c>
      <c r="C41" s="14">
        <f t="shared" si="1"/>
        <v>0.95238095238095233</v>
      </c>
      <c r="D41" s="1" t="s">
        <v>542</v>
      </c>
    </row>
    <row r="42" spans="1:4" ht="25.05" customHeight="1">
      <c r="A42" s="1"/>
      <c r="B42" s="1"/>
      <c r="C42" s="1"/>
      <c r="D42" s="1"/>
    </row>
    <row r="43" spans="1:4" ht="25.05" customHeight="1">
      <c r="A43" s="1"/>
      <c r="B43" s="1"/>
      <c r="C43" s="1"/>
      <c r="D43" s="1"/>
    </row>
    <row r="44" spans="1:4" ht="25.05" customHeight="1">
      <c r="A44" s="3" t="s">
        <v>543</v>
      </c>
      <c r="B44" s="1"/>
      <c r="C44" s="1"/>
      <c r="D44" s="1"/>
    </row>
    <row r="45" spans="1:4" ht="25.05" customHeight="1">
      <c r="A45" s="3" t="s">
        <v>544</v>
      </c>
      <c r="B45" s="1"/>
      <c r="C45" s="1"/>
      <c r="D45" s="1"/>
    </row>
    <row r="46" spans="1:4" ht="25.05" customHeight="1">
      <c r="A46" s="1"/>
      <c r="B46" s="1"/>
      <c r="C46" s="1"/>
      <c r="D46" s="1"/>
    </row>
    <row r="47" spans="1:4" ht="25.05" customHeight="1">
      <c r="A47" s="1"/>
      <c r="B47" s="1"/>
      <c r="C47" s="1"/>
      <c r="D47" s="1"/>
    </row>
  </sheetData>
  <phoneticPr fontId="8" type="noConversion"/>
  <pageMargins left="0.39370078740157477" right="0.39370078740157477" top="0.75" bottom="0.75" header="0.3" footer="0.3"/>
  <pageSetup paperSize="8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P11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2" customWidth="1"/>
    <col min="3" max="3" width="18" customWidth="1"/>
    <col min="4" max="4" width="17" customWidth="1"/>
    <col min="5" max="5" width="18" customWidth="1"/>
    <col min="6" max="6" width="14" customWidth="1"/>
    <col min="7" max="7" width="20" customWidth="1"/>
    <col min="8" max="11" width="18" customWidth="1"/>
    <col min="12" max="12" width="15" customWidth="1"/>
    <col min="13" max="13" width="18" customWidth="1"/>
    <col min="14" max="14" width="20" customWidth="1"/>
    <col min="15" max="15" width="28" customWidth="1"/>
    <col min="16" max="16" width="57" customWidth="1"/>
  </cols>
  <sheetData>
    <row r="1" spans="1:16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34.049999999999997" customHeight="1">
      <c r="A2" s="2" t="s">
        <v>545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44" customHeight="1">
      <c r="A5" s="4" t="s">
        <v>58</v>
      </c>
      <c r="B5" s="4" t="s">
        <v>262</v>
      </c>
      <c r="C5" s="4" t="s">
        <v>546</v>
      </c>
      <c r="D5" s="4" t="s">
        <v>547</v>
      </c>
      <c r="E5" s="4" t="s">
        <v>548</v>
      </c>
      <c r="F5" s="4" t="s">
        <v>549</v>
      </c>
      <c r="G5" s="4" t="s">
        <v>550</v>
      </c>
      <c r="H5" s="4" t="s">
        <v>551</v>
      </c>
      <c r="I5" s="4" t="s">
        <v>552</v>
      </c>
      <c r="J5" s="4" t="s">
        <v>553</v>
      </c>
      <c r="K5" s="4" t="s">
        <v>554</v>
      </c>
      <c r="L5" s="4" t="s">
        <v>555</v>
      </c>
      <c r="M5" s="4" t="s">
        <v>556</v>
      </c>
      <c r="N5" s="4" t="s">
        <v>557</v>
      </c>
      <c r="O5" s="4" t="s">
        <v>558</v>
      </c>
      <c r="P5" s="4" t="s">
        <v>559</v>
      </c>
    </row>
    <row r="6" spans="1:16" ht="80" customHeight="1">
      <c r="A6" s="8" t="s">
        <v>85</v>
      </c>
      <c r="B6" s="8" t="s">
        <v>560</v>
      </c>
      <c r="C6" s="8" t="s">
        <v>268</v>
      </c>
      <c r="D6" s="9">
        <v>4.8</v>
      </c>
      <c r="E6" s="8" t="s">
        <v>268</v>
      </c>
      <c r="F6" s="24">
        <f>IF(COUNTIFS(资产清单!$A$6:$A$25,A6)&lt;&gt;1,"",IF(COUNT(INDEX(资产清单!$K$6:$K$25,MATCH(A6,资产清单!$A$6:$A$25,0)))&lt;&gt;1,"",INDEX(资产清单!$K$6:$K$25,MATCH(A6,资产清单!$A$6:$A$25,0))))</f>
        <v>25</v>
      </c>
      <c r="G6" s="24">
        <f>IF(COUNT(D6,F6)&lt;&gt;2,"",IF(C6="元/处/年",D6*F6,D6*F6*测算参数!$B$10))</f>
        <v>1440</v>
      </c>
      <c r="H6" s="8" t="s">
        <v>561</v>
      </c>
      <c r="I6" s="8" t="s">
        <v>561</v>
      </c>
      <c r="J6" s="8" t="s">
        <v>561</v>
      </c>
      <c r="K6" s="8" t="s">
        <v>561</v>
      </c>
      <c r="L6" s="8" t="s">
        <v>561</v>
      </c>
      <c r="M6" s="24">
        <f>IF(OR(COUNTIFS($A$6:$A$7,A6)&lt;&gt;1,COUNT(D6,F6)&lt;&gt;2,D6&lt;=0,F6&lt;=0,E6&lt;&gt;IF(COUNTIFS(资产清单!$A$6:$A$25,A6)&lt;&gt;1,"",IF(INDEX(资产清单!$J$6:$J$25,MATCH(A6,资产清单!$A$6:$A$25,0))="","",INDEX(资产清单!$J$6:$J$25,MATCH(A6,资产清单!$A$6:$A$25,0)))),L6&lt;&gt;"是",AND(IF(COUNTIFS(计租与历史!$A$6:$A$25,A6)&lt;&gt;1,"",IF(INDEX(计租与历史!$C$6:$C$25,MATCH(A6,计租与历史!$A$6:$A$25,0))="","",INDEX(计租与历史!$C$6:$C$25,MATCH(A6,计租与历史!$A$6:$A$25,0))))="资料核定",OR(H6&lt;&gt;"是",I6&lt;&gt;"是",J6&lt;&gt;"是",K6&lt;&gt;"是"))),"",IF(C6=E6,D6,IF(AND(C6="元/处/年",E6="元/处/月"),D6/测算参数!$B$10,"")))</f>
        <v>4.8</v>
      </c>
      <c r="N6" s="24">
        <f>IF(COUNT(M6)&lt;&gt;1,"",ROUND(M6*F6*测算参数!$B$10,2))</f>
        <v>1440</v>
      </c>
      <c r="O6" s="16" t="str">
        <f>IF(COUNT(M6)&lt;&gt;1,"待核资料或步骤","模拟资料核定完成")</f>
        <v>模拟资料核定完成</v>
      </c>
      <c r="P6" s="16" t="s">
        <v>562</v>
      </c>
    </row>
    <row r="7" spans="1:16" ht="80" customHeight="1">
      <c r="A7" s="8" t="s">
        <v>86</v>
      </c>
      <c r="B7" s="8" t="s">
        <v>563</v>
      </c>
      <c r="C7" s="8" t="s">
        <v>564</v>
      </c>
      <c r="D7" s="9">
        <v>8400</v>
      </c>
      <c r="E7" s="8" t="s">
        <v>391</v>
      </c>
      <c r="F7" s="24">
        <f>IF(COUNTIFS(资产清单!$A$6:$A$25,A7)&lt;&gt;1,"",IF(COUNT(INDEX(资产清单!$K$6:$K$25,MATCH(A7,资产清单!$A$6:$A$25,0)))&lt;&gt;1,"",INDEX(资产清单!$K$6:$K$25,MATCH(A7,资产清单!$A$6:$A$25,0))))</f>
        <v>1</v>
      </c>
      <c r="G7" s="24">
        <f>IF(COUNT(D7,F7)&lt;&gt;2,"",IF(C7="元/处/年",D7*F7,D7*F7*测算参数!$B$10))</f>
        <v>8400</v>
      </c>
      <c r="H7" s="8" t="s">
        <v>565</v>
      </c>
      <c r="I7" s="8" t="s">
        <v>565</v>
      </c>
      <c r="J7" s="8" t="s">
        <v>565</v>
      </c>
      <c r="K7" s="8" t="s">
        <v>565</v>
      </c>
      <c r="L7" s="8" t="s">
        <v>561</v>
      </c>
      <c r="M7" s="24">
        <f>IF(OR(COUNTIFS($A$6:$A$7,A7)&lt;&gt;1,COUNT(D7,F7)&lt;&gt;2,D7&lt;=0,F7&lt;=0,E7&lt;&gt;IF(COUNTIFS(资产清单!$A$6:$A$25,A7)&lt;&gt;1,"",IF(INDEX(资产清单!$J$6:$J$25,MATCH(A7,资产清单!$A$6:$A$25,0))="","",INDEX(资产清单!$J$6:$J$25,MATCH(A7,资产清单!$A$6:$A$25,0)))),L7&lt;&gt;"是",AND(IF(COUNTIFS(计租与历史!$A$6:$A$25,A7)&lt;&gt;1,"",IF(INDEX(计租与历史!$C$6:$C$25,MATCH(A7,计租与历史!$A$6:$A$25,0))="","",INDEX(计租与历史!$C$6:$C$25,MATCH(A7,计租与历史!$A$6:$A$25,0))))="资料核定",OR(H7&lt;&gt;"是",I7&lt;&gt;"是",J7&lt;&gt;"是",K7&lt;&gt;"是"))),"",IF(C7=E7,D7,IF(AND(C7="元/处/年",E7="元/处/月"),D7/测算参数!$B$10,"")))</f>
        <v>700</v>
      </c>
      <c r="N7" s="24">
        <f>IF(COUNT(M7)&lt;&gt;1,"",ROUND(M7*F7*测算参数!$B$10,2))</f>
        <v>8400</v>
      </c>
      <c r="O7" s="16" t="str">
        <f>IF(COUNT(M7)&lt;&gt;1,"待核资料或步骤","模拟资料核定完成")</f>
        <v>模拟资料核定完成</v>
      </c>
      <c r="P7" s="16" t="s">
        <v>566</v>
      </c>
    </row>
    <row r="8" spans="1:16" ht="25.0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5.05" customHeight="1">
      <c r="A9" s="3" t="s">
        <v>567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5.05" customHeight="1">
      <c r="A10" s="3" t="s">
        <v>568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5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</sheetData>
  <phoneticPr fontId="8" type="noConversion"/>
  <conditionalFormatting sqref="O6:O7">
    <cfRule type="containsText" dxfId="2" priority="1" operator="containsText" text="待"/>
  </conditionalFormatting>
  <pageMargins left="0.39370078740157477" right="0.39370078740157477" top="0.75" bottom="0.75" header="0.3" footer="0.3"/>
  <pageSetup paperSize="8" scale="55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K11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2" customWidth="1"/>
    <col min="3" max="3" width="18" customWidth="1"/>
    <col min="4" max="4" width="17" customWidth="1"/>
    <col min="5" max="6" width="16" customWidth="1"/>
    <col min="7" max="7" width="15" customWidth="1"/>
    <col min="8" max="8" width="23" customWidth="1"/>
    <col min="9" max="9" width="28" customWidth="1"/>
    <col min="10" max="10" width="20" customWidth="1"/>
    <col min="11" max="11" width="55" customWidth="1"/>
  </cols>
  <sheetData>
    <row r="1" spans="1:11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4.049999999999997" customHeight="1">
      <c r="A2" s="2" t="s">
        <v>569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ht="44" customHeight="1">
      <c r="A5" s="4" t="s">
        <v>58</v>
      </c>
      <c r="B5" s="4" t="s">
        <v>59</v>
      </c>
      <c r="C5" s="4" t="s">
        <v>62</v>
      </c>
      <c r="D5" s="4" t="s">
        <v>570</v>
      </c>
      <c r="E5" s="4" t="s">
        <v>571</v>
      </c>
      <c r="F5" s="4" t="s">
        <v>572</v>
      </c>
      <c r="G5" s="4" t="s">
        <v>63</v>
      </c>
      <c r="H5" s="4" t="s">
        <v>205</v>
      </c>
      <c r="I5" s="4" t="s">
        <v>573</v>
      </c>
      <c r="J5" s="4" t="s">
        <v>574</v>
      </c>
      <c r="K5" s="4" t="s">
        <v>575</v>
      </c>
    </row>
    <row r="6" spans="1:11" ht="75" customHeight="1">
      <c r="A6" s="8" t="s">
        <v>87</v>
      </c>
      <c r="B6" s="8" t="s">
        <v>454</v>
      </c>
      <c r="C6" s="8" t="s">
        <v>457</v>
      </c>
      <c r="D6" s="9">
        <v>1950</v>
      </c>
      <c r="E6" s="9">
        <v>36</v>
      </c>
      <c r="F6" s="9">
        <v>1</v>
      </c>
      <c r="G6" s="26">
        <f>IF(COUNTIFS(资产清单!$A$6:$A$25,A6)&lt;&gt;1,"",IF(COUNT(INDEX(资产清单!$K$6:$K$25,MATCH(A6,资产清单!$A$6:$A$25,0)))&lt;&gt;1,"",INDEX(资产清单!$K$6:$K$25,MATCH(A6,资产清单!$A$6:$A$25,0))))</f>
        <v>1</v>
      </c>
      <c r="H6" s="8" t="s">
        <v>576</v>
      </c>
      <c r="I6" s="8" t="s">
        <v>577</v>
      </c>
      <c r="J6" s="24">
        <f>IF(OR(COUNT(D6)&lt;&gt;1,D6&lt;=0),"",IF(C6="元/场·天",IF(OR(COUNT(E6:F6)&lt;&gt;2,E6&lt;0,F6&lt;=0),"",ROUND(D6*E6*F6,2)),IF(C6="元/处/月",IF(OR(COUNT(G6)&lt;&gt;1,G6&lt;=0),"",ROUND(D6*G6*测算参数!$B$10,2)),"")))</f>
        <v>70200</v>
      </c>
      <c r="K6" s="16" t="s">
        <v>578</v>
      </c>
    </row>
    <row r="7" spans="1:11" ht="75" customHeight="1">
      <c r="A7" s="8" t="s">
        <v>88</v>
      </c>
      <c r="B7" s="8" t="s">
        <v>458</v>
      </c>
      <c r="C7" s="8" t="s">
        <v>391</v>
      </c>
      <c r="D7" s="9">
        <v>400</v>
      </c>
      <c r="E7" s="9"/>
      <c r="F7" s="9"/>
      <c r="G7" s="26">
        <f>IF(COUNTIFS(资产清单!$A$6:$A$25,A7)&lt;&gt;1,"",IF(COUNT(INDEX(资产清单!$K$6:$K$25,MATCH(A7,资产清单!$A$6:$A$25,0)))&lt;&gt;1,"",INDEX(资产清单!$K$6:$K$25,MATCH(A7,资产清单!$A$6:$A$25,0))))</f>
        <v>1</v>
      </c>
      <c r="H7" s="8" t="s">
        <v>579</v>
      </c>
      <c r="I7" s="8" t="s">
        <v>577</v>
      </c>
      <c r="J7" s="24">
        <f>IF(OR(COUNT(D7)&lt;&gt;1,D7&lt;=0),"",IF(C7="元/场·天",IF(OR(COUNT(E7:F7)&lt;&gt;2,E7&lt;0,F7&lt;=0),"",ROUND(D7*E7*F7,2)),IF(C7="元/处/月",IF(OR(COUNT(G7)&lt;&gt;1,G7&lt;=0),"",ROUND(D7*G7*测算参数!$B$10,2)),"")))</f>
        <v>4800</v>
      </c>
      <c r="K7" s="16" t="s">
        <v>580</v>
      </c>
    </row>
    <row r="8" spans="1:11" ht="25.0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5.05" customHeight="1">
      <c r="A9" s="3" t="s">
        <v>581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5.05" customHeight="1">
      <c r="A10" s="3" t="s">
        <v>582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5.0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phoneticPr fontId="8" type="noConversion"/>
  <pageMargins left="0.39370078740157477" right="0.39370078740157477" top="0.75" bottom="0.75" header="0.3" footer="0.3"/>
  <pageSetup paperSize="8" scale="75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11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2" customWidth="1"/>
    <col min="3" max="3" width="24" customWidth="1"/>
    <col min="4" max="4" width="20" customWidth="1"/>
    <col min="5" max="5" width="14" customWidth="1"/>
    <col min="6" max="7" width="20" customWidth="1"/>
    <col min="8" max="8" width="25" customWidth="1"/>
    <col min="9" max="9" width="29" customWidth="1"/>
  </cols>
  <sheetData>
    <row r="1" spans="1:9" ht="25.05" customHeight="1">
      <c r="A1" s="1"/>
      <c r="B1" s="1"/>
      <c r="C1" s="1"/>
      <c r="D1" s="1"/>
      <c r="E1" s="1"/>
      <c r="F1" s="1"/>
      <c r="G1" s="1"/>
      <c r="H1" s="1"/>
      <c r="I1" s="1"/>
    </row>
    <row r="2" spans="1:9" ht="34.049999999999997" customHeight="1">
      <c r="A2" s="2" t="s">
        <v>583</v>
      </c>
      <c r="B2" s="2"/>
      <c r="C2" s="2"/>
      <c r="D2" s="2"/>
      <c r="E2" s="2"/>
      <c r="F2" s="2"/>
      <c r="G2" s="2"/>
      <c r="H2" s="2"/>
      <c r="I2" s="2"/>
    </row>
    <row r="3" spans="1:9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</row>
    <row r="4" spans="1:9" ht="25.05" customHeight="1">
      <c r="A4" s="1"/>
      <c r="B4" s="1"/>
      <c r="C4" s="1"/>
      <c r="D4" s="1"/>
      <c r="E4" s="1"/>
      <c r="F4" s="1"/>
      <c r="G4" s="1"/>
      <c r="H4" s="1"/>
      <c r="I4" s="1"/>
    </row>
    <row r="5" spans="1:9" ht="44" customHeight="1">
      <c r="A5" s="4" t="s">
        <v>584</v>
      </c>
      <c r="B5" s="4" t="s">
        <v>585</v>
      </c>
      <c r="C5" s="4" t="s">
        <v>586</v>
      </c>
      <c r="D5" s="4" t="s">
        <v>587</v>
      </c>
      <c r="E5" s="4" t="s">
        <v>588</v>
      </c>
      <c r="F5" s="4" t="s">
        <v>589</v>
      </c>
      <c r="G5" s="4" t="s">
        <v>590</v>
      </c>
      <c r="H5" s="4" t="s">
        <v>573</v>
      </c>
      <c r="I5" s="4" t="s">
        <v>99</v>
      </c>
    </row>
    <row r="6" spans="1:9" ht="65" customHeight="1">
      <c r="A6" s="8" t="s">
        <v>89</v>
      </c>
      <c r="B6" s="8" t="s">
        <v>463</v>
      </c>
      <c r="C6" s="8" t="s">
        <v>591</v>
      </c>
      <c r="D6" s="9">
        <v>3600</v>
      </c>
      <c r="E6" s="26">
        <f>IF(COUNTIFS(资产清单!$A$6:$A$25,A6)&lt;&gt;1,"",IF(COUNT(INDEX(资产清单!$K$6:$K$25,MATCH(A6,资产清单!$A$6:$A$25,0)))&lt;&gt;1,"",INDEX(资产清单!$K$6:$K$25,MATCH(A6,资产清单!$A$6:$A$25,0))))</f>
        <v>1</v>
      </c>
      <c r="F6" s="24">
        <f>IF(OR(COUNT(D6)&lt;&gt;1,D6&lt;0),"",D6/测算参数!$B$10)</f>
        <v>300</v>
      </c>
      <c r="G6" s="28">
        <f>IF(OR(COUNT(D6,E6)&lt;&gt;2,D6&lt;0,E6&lt;=0),"",ROUND(D6*E6,2))</f>
        <v>3600</v>
      </c>
      <c r="H6" s="16" t="s">
        <v>592</v>
      </c>
      <c r="I6" s="16" t="s">
        <v>593</v>
      </c>
    </row>
    <row r="7" spans="1:9" ht="65" customHeight="1">
      <c r="A7" s="8" t="s">
        <v>90</v>
      </c>
      <c r="B7" s="8" t="s">
        <v>467</v>
      </c>
      <c r="C7" s="8" t="s">
        <v>594</v>
      </c>
      <c r="D7" s="9">
        <v>1800</v>
      </c>
      <c r="E7" s="26">
        <f>IF(COUNTIFS(资产清单!$A$6:$A$25,A7)&lt;&gt;1,"",IF(COUNT(INDEX(资产清单!$K$6:$K$25,MATCH(A7,资产清单!$A$6:$A$25,0)))&lt;&gt;1,"",INDEX(资产清单!$K$6:$K$25,MATCH(A7,资产清单!$A$6:$A$25,0))))</f>
        <v>1</v>
      </c>
      <c r="F7" s="24">
        <f>IF(OR(COUNT(D7)&lt;&gt;1,D7&lt;0),"",D7/测算参数!$B$10)</f>
        <v>150</v>
      </c>
      <c r="G7" s="28">
        <f>IF(OR(COUNT(D7,E7)&lt;&gt;2,D7&lt;0,E7&lt;=0),"",ROUND(D7*E7,2))</f>
        <v>1800</v>
      </c>
      <c r="H7" s="16" t="s">
        <v>592</v>
      </c>
      <c r="I7" s="16" t="s">
        <v>593</v>
      </c>
    </row>
    <row r="8" spans="1:9" ht="25.05" customHeight="1">
      <c r="A8" s="1"/>
      <c r="B8" s="1"/>
      <c r="C8" s="1"/>
      <c r="D8" s="1"/>
      <c r="E8" s="1"/>
      <c r="F8" s="1"/>
      <c r="G8" s="1"/>
      <c r="H8" s="1"/>
      <c r="I8" s="1"/>
    </row>
    <row r="9" spans="1:9" ht="25.05" customHeight="1">
      <c r="A9" s="3" t="s">
        <v>595</v>
      </c>
      <c r="B9" s="1"/>
      <c r="C9" s="1"/>
      <c r="D9" s="1"/>
      <c r="E9" s="1"/>
      <c r="F9" s="1"/>
      <c r="G9" s="1"/>
      <c r="H9" s="1"/>
      <c r="I9" s="1"/>
    </row>
    <row r="10" spans="1:9" ht="25.05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25.05" customHeight="1">
      <c r="A11" s="1"/>
      <c r="B11" s="1"/>
      <c r="C11" s="1"/>
      <c r="D11" s="1"/>
      <c r="E11" s="1"/>
      <c r="F11" s="1"/>
      <c r="G11" s="1"/>
      <c r="H11" s="1"/>
      <c r="I11" s="1"/>
    </row>
  </sheetData>
  <phoneticPr fontId="8" type="noConversion"/>
  <pageMargins left="0.39370078740157477" right="0.39370078740157477" top="0.75" bottom="0.75" header="0.3" footer="0.3"/>
  <pageSetup paperSize="8" scale="97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28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67" customWidth="1"/>
    <col min="3" max="3" width="14" customWidth="1"/>
    <col min="4" max="5" width="18" customWidth="1"/>
    <col min="6" max="6" width="19" customWidth="1"/>
    <col min="7" max="7" width="28" customWidth="1"/>
    <col min="8" max="8" width="48" customWidth="1"/>
    <col min="9" max="9" width="31" customWidth="1"/>
  </cols>
  <sheetData>
    <row r="1" spans="1:9" ht="25.05" customHeight="1">
      <c r="A1" s="1"/>
      <c r="B1" s="1"/>
      <c r="C1" s="1"/>
      <c r="D1" s="1"/>
      <c r="E1" s="1"/>
      <c r="F1" s="1"/>
      <c r="G1" s="1"/>
      <c r="H1" s="1"/>
      <c r="I1" s="1"/>
    </row>
    <row r="2" spans="1:9" ht="34.049999999999997" customHeight="1">
      <c r="A2" s="2" t="s">
        <v>596</v>
      </c>
      <c r="B2" s="2"/>
      <c r="C2" s="2"/>
      <c r="D2" s="2"/>
      <c r="E2" s="2"/>
      <c r="F2" s="2"/>
      <c r="G2" s="2"/>
      <c r="H2" s="2"/>
      <c r="I2" s="2"/>
    </row>
    <row r="3" spans="1:9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</row>
    <row r="4" spans="1:9" ht="25.05" customHeight="1">
      <c r="A4" s="1"/>
      <c r="B4" s="1"/>
      <c r="C4" s="1"/>
      <c r="D4" s="1"/>
      <c r="E4" s="1"/>
      <c r="F4" s="1"/>
      <c r="G4" s="1"/>
      <c r="H4" s="1"/>
      <c r="I4" s="1"/>
    </row>
    <row r="5" spans="1:9" ht="44" customHeight="1">
      <c r="A5" s="4" t="s">
        <v>58</v>
      </c>
      <c r="B5" s="4" t="s">
        <v>132</v>
      </c>
      <c r="C5" s="4" t="s">
        <v>597</v>
      </c>
      <c r="D5" s="4" t="s">
        <v>598</v>
      </c>
      <c r="E5" s="4" t="s">
        <v>599</v>
      </c>
      <c r="F5" s="4" t="s">
        <v>600</v>
      </c>
      <c r="G5" s="4" t="s">
        <v>601</v>
      </c>
      <c r="H5" s="4" t="s">
        <v>602</v>
      </c>
      <c r="I5" s="4" t="s">
        <v>603</v>
      </c>
    </row>
    <row r="6" spans="1:9" ht="58.05" customHeight="1">
      <c r="A6" s="16" t="s">
        <v>72</v>
      </c>
      <c r="B6" s="17" t="str">
        <f>识别与分组!I6</f>
        <v>模拟商业楼A|商业|临街商铺|元/㎡/月|1</v>
      </c>
      <c r="C6" s="19">
        <f>COUNTIFS(识别与分组!$I$6:$I$25,B6,计租与历史!$B$6:$B$25,"纳入",计租与历史!$D$6:$D$25,"&gt;0")</f>
        <v>2</v>
      </c>
      <c r="D6" s="24">
        <f>IF(C6=0,"",_xlfn.MINIFS(计租与历史!$D$6:$D$25,识别与分组!$I$6:$I$25,B6,计租与历史!$B$6:$B$25,"纳入",计租与历史!$D$6:$D$25,"&gt;0"))</f>
        <v>47</v>
      </c>
      <c r="E6" s="24">
        <f>IF(C6=0,"",_xlfn.MAXIFS(计租与历史!$D$6:$D$25,识别与分组!$I$6:$I$25,B6,计租与历史!$B$6:$B$25,"纳入",计租与历史!$D$6:$D$25,"&gt;0"))</f>
        <v>48</v>
      </c>
      <c r="F6" s="25">
        <f t="shared" ref="F6:F25" si="0">IF(OR(C6&lt;2,COUNT(D6:E6)&lt;&gt;2,D6&lt;=0),"",E6/D6-1)</f>
        <v>2.1276595744680771E-2</v>
      </c>
      <c r="G6" s="17" t="str">
        <f>IF(C6&lt;2,"单项或无有效历史",IF(COUNT(F6)&lt;&gt;1,"待核历史资料",IF(F6&gt;内部复核参数!$B$6,"离散超限待复核","一般复核")))</f>
        <v>一般复核</v>
      </c>
      <c r="H6" s="8"/>
      <c r="I6" s="16" t="str">
        <f t="shared" ref="I6:I25" si="1">IF(G6="离散超限待复核",IF(H6="","待填写原因","已记录待专业确认"),"按资料复核")</f>
        <v>按资料复核</v>
      </c>
    </row>
    <row r="7" spans="1:9" ht="58.05" customHeight="1">
      <c r="A7" s="16" t="s">
        <v>74</v>
      </c>
      <c r="B7" s="17" t="str">
        <f>识别与分组!I7</f>
        <v>模拟商业楼A|商业|临街商铺|元/㎡/月|1</v>
      </c>
      <c r="C7" s="19">
        <f>COUNTIFS(识别与分组!$I$6:$I$25,B7,计租与历史!$B$6:$B$25,"纳入",计租与历史!$D$6:$D$25,"&gt;0")</f>
        <v>2</v>
      </c>
      <c r="D7" s="24">
        <f>IF(C7=0,"",_xlfn.MINIFS(计租与历史!$D$6:$D$25,识别与分组!$I$6:$I$25,B7,计租与历史!$B$6:$B$25,"纳入",计租与历史!$D$6:$D$25,"&gt;0"))</f>
        <v>47</v>
      </c>
      <c r="E7" s="24">
        <f>IF(C7=0,"",_xlfn.MAXIFS(计租与历史!$D$6:$D$25,识别与分组!$I$6:$I$25,B7,计租与历史!$B$6:$B$25,"纳入",计租与历史!$D$6:$D$25,"&gt;0"))</f>
        <v>48</v>
      </c>
      <c r="F7" s="25">
        <f t="shared" si="0"/>
        <v>2.1276595744680771E-2</v>
      </c>
      <c r="G7" s="17" t="str">
        <f>IF(C7&lt;2,"单项或无有效历史",IF(COUNT(F7)&lt;&gt;1,"待核历史资料",IF(F7&gt;内部复核参数!$B$6,"离散超限待复核","一般复核")))</f>
        <v>一般复核</v>
      </c>
      <c r="H7" s="8"/>
      <c r="I7" s="16" t="str">
        <f t="shared" si="1"/>
        <v>按资料复核</v>
      </c>
    </row>
    <row r="8" spans="1:9" ht="58.05" customHeight="1">
      <c r="A8" s="16" t="s">
        <v>75</v>
      </c>
      <c r="B8" s="17" t="str">
        <f>识别与分组!I8</f>
        <v>模拟商业楼A|商业|临街商铺|元/㎡/月|2</v>
      </c>
      <c r="C8" s="19">
        <f>COUNTIFS(识别与分组!$I$6:$I$25,B8,计租与历史!$B$6:$B$25,"纳入",计租与历史!$D$6:$D$25,"&gt;0")</f>
        <v>1</v>
      </c>
      <c r="D8" s="24">
        <f>IF(C8=0,"",_xlfn.MINIFS(计租与历史!$D$6:$D$25,识别与分组!$I$6:$I$25,B8,计租与历史!$B$6:$B$25,"纳入",计租与历史!$D$6:$D$25,"&gt;0"))</f>
        <v>42</v>
      </c>
      <c r="E8" s="24">
        <f>IF(C8=0,"",_xlfn.MAXIFS(计租与历史!$D$6:$D$25,识别与分组!$I$6:$I$25,B8,计租与历史!$B$6:$B$25,"纳入",计租与历史!$D$6:$D$25,"&gt;0"))</f>
        <v>42</v>
      </c>
      <c r="F8" s="25" t="str">
        <f t="shared" si="0"/>
        <v/>
      </c>
      <c r="G8" s="17" t="str">
        <f>IF(C8&lt;2,"单项或无有效历史",IF(COUNT(F8)&lt;&gt;1,"待核历史资料",IF(F8&gt;内部复核参数!$B$6,"离散超限待复核","一般复核")))</f>
        <v>单项或无有效历史</v>
      </c>
      <c r="H8" s="8"/>
      <c r="I8" s="16" t="str">
        <f t="shared" si="1"/>
        <v>按资料复核</v>
      </c>
    </row>
    <row r="9" spans="1:9" ht="58.05" customHeight="1">
      <c r="A9" s="16" t="s">
        <v>76</v>
      </c>
      <c r="B9" s="17" t="str">
        <f>识别与分组!I9</f>
        <v>模拟商业楼B|商业|内部通道商铺|元/㎡/月|1</v>
      </c>
      <c r="C9" s="19">
        <f>COUNTIFS(识别与分组!$I$6:$I$25,B9,计租与历史!$B$6:$B$25,"纳入",计租与历史!$D$6:$D$25,"&gt;0")</f>
        <v>1</v>
      </c>
      <c r="D9" s="24">
        <f>IF(C9=0,"",_xlfn.MINIFS(计租与历史!$D$6:$D$25,识别与分组!$I$6:$I$25,B9,计租与历史!$B$6:$B$25,"纳入",计租与历史!$D$6:$D$25,"&gt;0"))</f>
        <v>50</v>
      </c>
      <c r="E9" s="24">
        <f>IF(C9=0,"",_xlfn.MAXIFS(计租与历史!$D$6:$D$25,识别与分组!$I$6:$I$25,B9,计租与历史!$B$6:$B$25,"纳入",计租与历史!$D$6:$D$25,"&gt;0"))</f>
        <v>50</v>
      </c>
      <c r="F9" s="25" t="str">
        <f t="shared" si="0"/>
        <v/>
      </c>
      <c r="G9" s="17" t="str">
        <f>IF(C9&lt;2,"单项或无有效历史",IF(COUNT(F9)&lt;&gt;1,"待核历史资料",IF(F9&gt;内部复核参数!$B$6,"离散超限待复核","一般复核")))</f>
        <v>单项或无有效历史</v>
      </c>
      <c r="H9" s="8"/>
      <c r="I9" s="16" t="str">
        <f t="shared" si="1"/>
        <v>按资料复核</v>
      </c>
    </row>
    <row r="10" spans="1:9" ht="58.05" customHeight="1">
      <c r="A10" s="16" t="s">
        <v>77</v>
      </c>
      <c r="B10" s="17" t="str">
        <f>识别与分组!I10</f>
        <v>模拟办公楼C|办公|办公用房|元/㎡/月|3</v>
      </c>
      <c r="C10" s="19">
        <f>COUNTIFS(识别与分组!$I$6:$I$25,B10,计租与历史!$B$6:$B$25,"纳入",计租与历史!$D$6:$D$25,"&gt;0")</f>
        <v>2</v>
      </c>
      <c r="D10" s="24">
        <f>IF(C10=0,"",_xlfn.MINIFS(计租与历史!$D$6:$D$25,识别与分组!$I$6:$I$25,B10,计租与历史!$B$6:$B$25,"纳入",计租与历史!$D$6:$D$25,"&gt;0"))</f>
        <v>14</v>
      </c>
      <c r="E10" s="24">
        <f>IF(C10=0,"",_xlfn.MAXIFS(计租与历史!$D$6:$D$25,识别与分组!$I$6:$I$25,B10,计租与历史!$B$6:$B$25,"纳入",计租与历史!$D$6:$D$25,"&gt;0"))</f>
        <v>32</v>
      </c>
      <c r="F10" s="25">
        <f t="shared" si="0"/>
        <v>1.2857142857142856</v>
      </c>
      <c r="G10" s="17" t="str">
        <f>IF(C10&lt;2,"单项或无有效历史",IF(COUNT(F10)&lt;&gt;1,"待核历史资料",IF(F10&gt;内部复核参数!$B$6,"离散超限待复核","一般复核")))</f>
        <v>离散超限待复核</v>
      </c>
      <c r="H10" s="8"/>
      <c r="I10" s="16" t="str">
        <f t="shared" si="1"/>
        <v>待填写原因</v>
      </c>
    </row>
    <row r="11" spans="1:9" ht="58.05" customHeight="1">
      <c r="A11" s="16" t="s">
        <v>78</v>
      </c>
      <c r="B11" s="17" t="str">
        <f>识别与分组!I11</f>
        <v>模拟办公楼C|办公|办公用房|元/㎡/月|3</v>
      </c>
      <c r="C11" s="19">
        <f>COUNTIFS(识别与分组!$I$6:$I$25,B11,计租与历史!$B$6:$B$25,"纳入",计租与历史!$D$6:$D$25,"&gt;0")</f>
        <v>2</v>
      </c>
      <c r="D11" s="24">
        <f>IF(C11=0,"",_xlfn.MINIFS(计租与历史!$D$6:$D$25,识别与分组!$I$6:$I$25,B11,计租与历史!$B$6:$B$25,"纳入",计租与历史!$D$6:$D$25,"&gt;0"))</f>
        <v>14</v>
      </c>
      <c r="E11" s="24">
        <f>IF(C11=0,"",_xlfn.MAXIFS(计租与历史!$D$6:$D$25,识别与分组!$I$6:$I$25,B11,计租与历史!$B$6:$B$25,"纳入",计租与历史!$D$6:$D$25,"&gt;0"))</f>
        <v>32</v>
      </c>
      <c r="F11" s="25">
        <f t="shared" si="0"/>
        <v>1.2857142857142856</v>
      </c>
      <c r="G11" s="17" t="str">
        <f>IF(C11&lt;2,"单项或无有效历史",IF(COUNT(F11)&lt;&gt;1,"待核历史资料",IF(F11&gt;内部复核参数!$B$6,"离散超限待复核","一般复核")))</f>
        <v>离散超限待复核</v>
      </c>
      <c r="H11" s="8"/>
      <c r="I11" s="16" t="str">
        <f t="shared" si="1"/>
        <v>待填写原因</v>
      </c>
    </row>
    <row r="12" spans="1:9" ht="58.05" customHeight="1">
      <c r="A12" s="16" t="s">
        <v>79</v>
      </c>
      <c r="B12" s="17" t="str">
        <f>识别与分组!I12</f>
        <v>模拟仓储楼D|仓储|仓储用房|元/㎡/月|1</v>
      </c>
      <c r="C12" s="19">
        <f>COUNTIFS(识别与分组!$I$6:$I$25,B12,计租与历史!$B$6:$B$25,"纳入",计租与历史!$D$6:$D$25,"&gt;0")</f>
        <v>1</v>
      </c>
      <c r="D12" s="24">
        <f>IF(C12=0,"",_xlfn.MINIFS(计租与历史!$D$6:$D$25,识别与分组!$I$6:$I$25,B12,计租与历史!$B$6:$B$25,"纳入",计租与历史!$D$6:$D$25,"&gt;0"))</f>
        <v>11</v>
      </c>
      <c r="E12" s="24">
        <f>IF(C12=0,"",_xlfn.MAXIFS(计租与历史!$D$6:$D$25,识别与分组!$I$6:$I$25,B12,计租与历史!$B$6:$B$25,"纳入",计租与历史!$D$6:$D$25,"&gt;0"))</f>
        <v>11</v>
      </c>
      <c r="F12" s="25" t="str">
        <f t="shared" si="0"/>
        <v/>
      </c>
      <c r="G12" s="17" t="str">
        <f>IF(C12&lt;2,"单项或无有效历史",IF(COUNT(F12)&lt;&gt;1,"待核历史资料",IF(F12&gt;内部复核参数!$B$6,"离散超限待复核","一般复核")))</f>
        <v>单项或无有效历史</v>
      </c>
      <c r="H12" s="8"/>
      <c r="I12" s="16" t="str">
        <f t="shared" si="1"/>
        <v>按资料复核</v>
      </c>
    </row>
    <row r="13" spans="1:9" ht="58.05" customHeight="1">
      <c r="A13" s="16" t="s">
        <v>80</v>
      </c>
      <c r="B13" s="17" t="str">
        <f>识别与分组!I13</f>
        <v>模拟工业园E|厂房|工业厂房|元/㎡/月|1</v>
      </c>
      <c r="C13" s="19">
        <f>COUNTIFS(识别与分组!$I$6:$I$25,B13,计租与历史!$B$6:$B$25,"纳入",计租与历史!$D$6:$D$25,"&gt;0")</f>
        <v>1</v>
      </c>
      <c r="D13" s="24">
        <f>IF(C13=0,"",_xlfn.MINIFS(计租与历史!$D$6:$D$25,识别与分组!$I$6:$I$25,B13,计租与历史!$B$6:$B$25,"纳入",计租与历史!$D$6:$D$25,"&gt;0"))</f>
        <v>15</v>
      </c>
      <c r="E13" s="24">
        <f>IF(C13=0,"",_xlfn.MAXIFS(计租与历史!$D$6:$D$25,识别与分组!$I$6:$I$25,B13,计租与历史!$B$6:$B$25,"纳入",计租与历史!$D$6:$D$25,"&gt;0"))</f>
        <v>15</v>
      </c>
      <c r="F13" s="25" t="str">
        <f t="shared" si="0"/>
        <v/>
      </c>
      <c r="G13" s="17" t="str">
        <f>IF(C13&lt;2,"单项或无有效历史",IF(COUNT(F13)&lt;&gt;1,"待核历史资料",IF(F13&gt;内部复核参数!$B$6,"离散超限待复核","一般复核")))</f>
        <v>单项或无有效历史</v>
      </c>
      <c r="H13" s="8"/>
      <c r="I13" s="16" t="str">
        <f t="shared" si="1"/>
        <v>按资料复核</v>
      </c>
    </row>
    <row r="14" spans="1:9" ht="58.05" customHeight="1">
      <c r="A14" s="16" t="s">
        <v>81</v>
      </c>
      <c r="B14" s="17" t="str">
        <f>识别与分组!I14</f>
        <v>模拟场地F|场地|露天场地|元/㎡/月|不适用</v>
      </c>
      <c r="C14" s="19">
        <f>COUNTIFS(识别与分组!$I$6:$I$25,B14,计租与历史!$B$6:$B$25,"纳入",计租与历史!$D$6:$D$25,"&gt;0")</f>
        <v>1</v>
      </c>
      <c r="D14" s="24">
        <f>IF(C14=0,"",_xlfn.MINIFS(计租与历史!$D$6:$D$25,识别与分组!$I$6:$I$25,B14,计租与历史!$B$6:$B$25,"纳入",计租与历史!$D$6:$D$25,"&gt;0"))</f>
        <v>3</v>
      </c>
      <c r="E14" s="24">
        <f>IF(C14=0,"",_xlfn.MAXIFS(计租与历史!$D$6:$D$25,识别与分组!$I$6:$I$25,B14,计租与历史!$B$6:$B$25,"纳入",计租与历史!$D$6:$D$25,"&gt;0"))</f>
        <v>3</v>
      </c>
      <c r="F14" s="25" t="str">
        <f t="shared" si="0"/>
        <v/>
      </c>
      <c r="G14" s="17" t="str">
        <f>IF(C14&lt;2,"单项或无有效历史",IF(COUNT(F14)&lt;&gt;1,"待核历史资料",IF(F14&gt;内部复核参数!$B$6,"离散超限待复核","一般复核")))</f>
        <v>单项或无有效历史</v>
      </c>
      <c r="H14" s="8"/>
      <c r="I14" s="16" t="str">
        <f t="shared" si="1"/>
        <v>按资料复核</v>
      </c>
    </row>
    <row r="15" spans="1:9" ht="58.05" customHeight="1">
      <c r="A15" s="16" t="s">
        <v>82</v>
      </c>
      <c r="B15" s="17" t="str">
        <f>识别与分组!I15</f>
        <v>模拟停车区G|车位|停车位|元/个/月|不适用</v>
      </c>
      <c r="C15" s="19">
        <f>COUNTIFS(识别与分组!$I$6:$I$25,B15,计租与历史!$B$6:$B$25,"纳入",计租与历史!$D$6:$D$25,"&gt;0")</f>
        <v>1</v>
      </c>
      <c r="D15" s="24">
        <f>IF(C15=0,"",_xlfn.MINIFS(计租与历史!$D$6:$D$25,识别与分组!$I$6:$I$25,B15,计租与历史!$B$6:$B$25,"纳入",计租与历史!$D$6:$D$25,"&gt;0"))</f>
        <v>175</v>
      </c>
      <c r="E15" s="24">
        <f>IF(C15=0,"",_xlfn.MAXIFS(计租与历史!$D$6:$D$25,识别与分组!$I$6:$I$25,B15,计租与历史!$B$6:$B$25,"纳入",计租与历史!$D$6:$D$25,"&gt;0"))</f>
        <v>175</v>
      </c>
      <c r="F15" s="25" t="str">
        <f t="shared" si="0"/>
        <v/>
      </c>
      <c r="G15" s="17" t="str">
        <f>IF(C15&lt;2,"单项或无有效历史",IF(COUNT(F15)&lt;&gt;1,"待核历史资料",IF(F15&gt;内部复核参数!$B$6,"离散超限待复核","一般复核")))</f>
        <v>单项或无有效历史</v>
      </c>
      <c r="H15" s="8"/>
      <c r="I15" s="16" t="str">
        <f t="shared" si="1"/>
        <v>按资料复核</v>
      </c>
    </row>
    <row r="16" spans="1:9" ht="58.05" customHeight="1">
      <c r="A16" s="16" t="s">
        <v>83</v>
      </c>
      <c r="B16" s="17" t="str">
        <f>识别与分组!I16</f>
        <v>模拟宿舍楼H|住宅|宿舍|元/间/月|2</v>
      </c>
      <c r="C16" s="19">
        <f>COUNTIFS(识别与分组!$I$6:$I$25,B16,计租与历史!$B$6:$B$25,"纳入",计租与历史!$D$6:$D$25,"&gt;0")</f>
        <v>1</v>
      </c>
      <c r="D16" s="24">
        <f>IF(C16=0,"",_xlfn.MINIFS(计租与历史!$D$6:$D$25,识别与分组!$I$6:$I$25,B16,计租与历史!$B$6:$B$25,"纳入",计租与历史!$D$6:$D$25,"&gt;0"))</f>
        <v>620</v>
      </c>
      <c r="E16" s="24">
        <f>IF(C16=0,"",_xlfn.MAXIFS(计租与历史!$D$6:$D$25,识别与分组!$I$6:$I$25,B16,计租与历史!$B$6:$B$25,"纳入",计租与历史!$D$6:$D$25,"&gt;0"))</f>
        <v>620</v>
      </c>
      <c r="F16" s="25" t="str">
        <f t="shared" si="0"/>
        <v/>
      </c>
      <c r="G16" s="17" t="str">
        <f>IF(C16&lt;2,"单项或无有效历史",IF(COUNT(F16)&lt;&gt;1,"待核历史资料",IF(F16&gt;内部复核参数!$B$6,"离散超限待复核","一般复核")))</f>
        <v>单项或无有效历史</v>
      </c>
      <c r="H16" s="8"/>
      <c r="I16" s="16" t="str">
        <f t="shared" si="1"/>
        <v>按资料复核</v>
      </c>
    </row>
    <row r="17" spans="1:9" ht="58.05" customHeight="1">
      <c r="A17" s="16" t="s">
        <v>84</v>
      </c>
      <c r="B17" s="17" t="str">
        <f>识别与分组!I17</f>
        <v>模拟屋顶I|通信基站|屋顶点位|元/处/月|不适用</v>
      </c>
      <c r="C17" s="19">
        <f>COUNTIFS(识别与分组!$I$6:$I$25,B17,计租与历史!$B$6:$B$25,"纳入",计租与历史!$D$6:$D$25,"&gt;0")</f>
        <v>1</v>
      </c>
      <c r="D17" s="24">
        <f>IF(C17=0,"",_xlfn.MINIFS(计租与历史!$D$6:$D$25,识别与分组!$I$6:$I$25,B17,计租与历史!$B$6:$B$25,"纳入",计租与历史!$D$6:$D$25,"&gt;0"))</f>
        <v>680</v>
      </c>
      <c r="E17" s="24">
        <f>IF(C17=0,"",_xlfn.MAXIFS(计租与历史!$D$6:$D$25,识别与分组!$I$6:$I$25,B17,计租与历史!$B$6:$B$25,"纳入",计租与历史!$D$6:$D$25,"&gt;0"))</f>
        <v>680</v>
      </c>
      <c r="F17" s="25" t="str">
        <f t="shared" si="0"/>
        <v/>
      </c>
      <c r="G17" s="17" t="str">
        <f>IF(C17&lt;2,"单项或无有效历史",IF(COUNT(F17)&lt;&gt;1,"待核历史资料",IF(F17&gt;内部复核参数!$B$6,"离散超限待复核","一般复核")))</f>
        <v>单项或无有效历史</v>
      </c>
      <c r="H17" s="8"/>
      <c r="I17" s="16" t="str">
        <f t="shared" si="1"/>
        <v>按资料复核</v>
      </c>
    </row>
    <row r="18" spans="1:9" ht="58.05" customHeight="1">
      <c r="A18" s="16" t="s">
        <v>85</v>
      </c>
      <c r="B18" s="17" t="str">
        <f>识别与分组!I18</f>
        <v>模拟附属楼J|仓储|仓储用房|元/㎡/月|1</v>
      </c>
      <c r="C18" s="19">
        <f>COUNTIFS(识别与分组!$I$6:$I$25,B18,计租与历史!$B$6:$B$25,"纳入",计租与历史!$D$6:$D$25,"&gt;0")</f>
        <v>1</v>
      </c>
      <c r="D18" s="24">
        <f>IF(C18=0,"",_xlfn.MINIFS(计租与历史!$D$6:$D$25,识别与分组!$I$6:$I$25,B18,计租与历史!$B$6:$B$25,"纳入",计租与历史!$D$6:$D$25,"&gt;0"))</f>
        <v>4</v>
      </c>
      <c r="E18" s="24">
        <f>IF(C18=0,"",_xlfn.MAXIFS(计租与历史!$D$6:$D$25,识别与分组!$I$6:$I$25,B18,计租与历史!$B$6:$B$25,"纳入",计租与历史!$D$6:$D$25,"&gt;0"))</f>
        <v>4</v>
      </c>
      <c r="F18" s="25" t="str">
        <f t="shared" si="0"/>
        <v/>
      </c>
      <c r="G18" s="17" t="str">
        <f>IF(C18&lt;2,"单项或无有效历史",IF(COUNT(F18)&lt;&gt;1,"待核历史资料",IF(F18&gt;内部复核参数!$B$6,"离散超限待复核","一般复核")))</f>
        <v>单项或无有效历史</v>
      </c>
      <c r="H18" s="8"/>
      <c r="I18" s="16" t="str">
        <f t="shared" si="1"/>
        <v>按资料复核</v>
      </c>
    </row>
    <row r="19" spans="1:9" ht="58.05" customHeight="1">
      <c r="A19" s="16" t="s">
        <v>86</v>
      </c>
      <c r="B19" s="17" t="str">
        <f>识别与分组!I19</f>
        <v>模拟屋顶K|场地|屋顶点位|元/处/月|不适用</v>
      </c>
      <c r="C19" s="19">
        <f>COUNTIFS(识别与分组!$I$6:$I$25,B19,计租与历史!$B$6:$B$25,"纳入",计租与历史!$D$6:$D$25,"&gt;0")</f>
        <v>1</v>
      </c>
      <c r="D19" s="24">
        <f>IF(C19=0,"",_xlfn.MINIFS(计租与历史!$D$6:$D$25,识别与分组!$I$6:$I$25,B19,计租与历史!$B$6:$B$25,"纳入",计租与历史!$D$6:$D$25,"&gt;0"))</f>
        <v>650</v>
      </c>
      <c r="E19" s="24">
        <f>IF(C19=0,"",_xlfn.MAXIFS(计租与历史!$D$6:$D$25,识别与分组!$I$6:$I$25,B19,计租与历史!$B$6:$B$25,"纳入",计租与历史!$D$6:$D$25,"&gt;0"))</f>
        <v>650</v>
      </c>
      <c r="F19" s="25" t="str">
        <f t="shared" si="0"/>
        <v/>
      </c>
      <c r="G19" s="17" t="str">
        <f>IF(C19&lt;2,"单项或无有效历史",IF(COUNT(F19)&lt;&gt;1,"待核历史资料",IF(F19&gt;内部复核参数!$B$6,"离散超限待复核","一般复核")))</f>
        <v>单项或无有效历史</v>
      </c>
      <c r="H19" s="8"/>
      <c r="I19" s="16" t="str">
        <f t="shared" si="1"/>
        <v>按资料复核</v>
      </c>
    </row>
    <row r="20" spans="1:9" ht="58.05" customHeight="1">
      <c r="A20" s="16" t="s">
        <v>87</v>
      </c>
      <c r="B20" s="17" t="str">
        <f>识别与分组!I20</f>
        <v>模拟场馆L|场馆|活动场馆|元/场·天|不适用</v>
      </c>
      <c r="C20" s="19">
        <f>COUNTIFS(识别与分组!$I$6:$I$25,B20,计租与历史!$B$6:$B$25,"纳入",计租与历史!$D$6:$D$25,"&gt;0")</f>
        <v>1</v>
      </c>
      <c r="D20" s="24">
        <f>IF(C20=0,"",_xlfn.MINIFS(计租与历史!$D$6:$D$25,识别与分组!$I$6:$I$25,B20,计租与历史!$B$6:$B$25,"纳入",计租与历史!$D$6:$D$25,"&gt;0"))</f>
        <v>1800</v>
      </c>
      <c r="E20" s="24">
        <f>IF(C20=0,"",_xlfn.MAXIFS(计租与历史!$D$6:$D$25,识别与分组!$I$6:$I$25,B20,计租与历史!$B$6:$B$25,"纳入",计租与历史!$D$6:$D$25,"&gt;0"))</f>
        <v>1800</v>
      </c>
      <c r="F20" s="25" t="str">
        <f t="shared" si="0"/>
        <v/>
      </c>
      <c r="G20" s="17" t="str">
        <f>IF(C20&lt;2,"单项或无有效历史",IF(COUNT(F20)&lt;&gt;1,"待核历史资料",IF(F20&gt;内部复核参数!$B$6,"离散超限待复核","一般复核")))</f>
        <v>单项或无有效历史</v>
      </c>
      <c r="H20" s="8"/>
      <c r="I20" s="16" t="str">
        <f t="shared" si="1"/>
        <v>按资料复核</v>
      </c>
    </row>
    <row r="21" spans="1:9" ht="58.05" customHeight="1">
      <c r="A21" s="16" t="s">
        <v>88</v>
      </c>
      <c r="B21" s="17" t="str">
        <f>识别与分组!I21</f>
        <v>模拟广告点位M|广告位|广告点位|元/处/月|不适用</v>
      </c>
      <c r="C21" s="19">
        <f>COUNTIFS(识别与分组!$I$6:$I$25,B21,计租与历史!$B$6:$B$25,"纳入",计租与历史!$D$6:$D$25,"&gt;0")</f>
        <v>1</v>
      </c>
      <c r="D21" s="24">
        <f>IF(C21=0,"",_xlfn.MINIFS(计租与历史!$D$6:$D$25,识别与分组!$I$6:$I$25,B21,计租与历史!$B$6:$B$25,"纳入",计租与历史!$D$6:$D$25,"&gt;0"))</f>
        <v>380</v>
      </c>
      <c r="E21" s="24">
        <f>IF(C21=0,"",_xlfn.MAXIFS(计租与历史!$D$6:$D$25,识别与分组!$I$6:$I$25,B21,计租与历史!$B$6:$B$25,"纳入",计租与历史!$D$6:$D$25,"&gt;0"))</f>
        <v>380</v>
      </c>
      <c r="F21" s="25" t="str">
        <f t="shared" si="0"/>
        <v/>
      </c>
      <c r="G21" s="17" t="str">
        <f>IF(C21&lt;2,"单项或无有效历史",IF(COUNT(F21)&lt;&gt;1,"待核历史资料",IF(F21&gt;内部复核参数!$B$6,"离散超限待复核","一般复核")))</f>
        <v>单项或无有效历史</v>
      </c>
      <c r="H21" s="8"/>
      <c r="I21" s="16" t="str">
        <f t="shared" si="1"/>
        <v>按资料复核</v>
      </c>
    </row>
    <row r="22" spans="1:9" ht="58.05" customHeight="1">
      <c r="A22" s="16" t="s">
        <v>89</v>
      </c>
      <c r="B22" s="17" t="str">
        <f>识别与分组!I22</f>
        <v>模拟工业园E|设备|起重设备|元/台/月|不适用</v>
      </c>
      <c r="C22" s="19">
        <f>COUNTIFS(识别与分组!$I$6:$I$25,B22,计租与历史!$B$6:$B$25,"纳入",计租与历史!$D$6:$D$25,"&gt;0")</f>
        <v>1</v>
      </c>
      <c r="D22" s="24">
        <f>IF(C22=0,"",_xlfn.MINIFS(计租与历史!$D$6:$D$25,识别与分组!$I$6:$I$25,B22,计租与历史!$B$6:$B$25,"纳入",计租与历史!$D$6:$D$25,"&gt;0"))</f>
        <v>266.6666666667</v>
      </c>
      <c r="E22" s="24">
        <f>IF(C22=0,"",_xlfn.MAXIFS(计租与历史!$D$6:$D$25,识别与分组!$I$6:$I$25,B22,计租与历史!$B$6:$B$25,"纳入",计租与历史!$D$6:$D$25,"&gt;0"))</f>
        <v>266.6666666667</v>
      </c>
      <c r="F22" s="25" t="str">
        <f t="shared" si="0"/>
        <v/>
      </c>
      <c r="G22" s="17" t="str">
        <f>IF(C22&lt;2,"单项或无有效历史",IF(COUNT(F22)&lt;&gt;1,"待核历史资料",IF(F22&gt;内部复核参数!$B$6,"离散超限待复核","一般复核")))</f>
        <v>单项或无有效历史</v>
      </c>
      <c r="H22" s="8"/>
      <c r="I22" s="16" t="str">
        <f t="shared" si="1"/>
        <v>按资料复核</v>
      </c>
    </row>
    <row r="23" spans="1:9" ht="58.05" customHeight="1">
      <c r="A23" s="16" t="s">
        <v>90</v>
      </c>
      <c r="B23" s="17" t="str">
        <f>识别与分组!I23</f>
        <v>模拟工业园E|设备|加工设备|元/台/月|不适用</v>
      </c>
      <c r="C23" s="19">
        <f>COUNTIFS(识别与分组!$I$6:$I$25,B23,计租与历史!$B$6:$B$25,"纳入",计租与历史!$D$6:$D$25,"&gt;0")</f>
        <v>1</v>
      </c>
      <c r="D23" s="24">
        <f>IF(C23=0,"",_xlfn.MINIFS(计租与历史!$D$6:$D$25,识别与分组!$I$6:$I$25,B23,计租与历史!$B$6:$B$25,"纳入",计租与历史!$D$6:$D$25,"&gt;0"))</f>
        <v>133.3333333333</v>
      </c>
      <c r="E23" s="24">
        <f>IF(C23=0,"",_xlfn.MAXIFS(计租与历史!$D$6:$D$25,识别与分组!$I$6:$I$25,B23,计租与历史!$B$6:$B$25,"纳入",计租与历史!$D$6:$D$25,"&gt;0"))</f>
        <v>133.3333333333</v>
      </c>
      <c r="F23" s="25" t="str">
        <f t="shared" si="0"/>
        <v/>
      </c>
      <c r="G23" s="17" t="str">
        <f>IF(C23&lt;2,"单项或无有效历史",IF(COUNT(F23)&lt;&gt;1,"待核历史资料",IF(F23&gt;内部复核参数!$B$6,"离散超限待复核","一般复核")))</f>
        <v>单项或无有效历史</v>
      </c>
      <c r="H23" s="8"/>
      <c r="I23" s="16" t="str">
        <f t="shared" si="1"/>
        <v>按资料复核</v>
      </c>
    </row>
    <row r="24" spans="1:9" ht="58.05" customHeight="1">
      <c r="A24" s="16" t="s">
        <v>91</v>
      </c>
      <c r="B24" s="17" t="str">
        <f>识别与分组!I24</f>
        <v>模拟仓储楼D|仓储|仓储用房|元/㎡/月|1</v>
      </c>
      <c r="C24" s="19">
        <f>COUNTIFS(识别与分组!$I$6:$I$25,B24,计租与历史!$B$6:$B$25,"纳入",计租与历史!$D$6:$D$25,"&gt;0")</f>
        <v>1</v>
      </c>
      <c r="D24" s="24">
        <f>IF(C24=0,"",_xlfn.MINIFS(计租与历史!$D$6:$D$25,识别与分组!$I$6:$I$25,B24,计租与历史!$B$6:$B$25,"纳入",计租与历史!$D$6:$D$25,"&gt;0"))</f>
        <v>11</v>
      </c>
      <c r="E24" s="24">
        <f>IF(C24=0,"",_xlfn.MAXIFS(计租与历史!$D$6:$D$25,识别与分组!$I$6:$I$25,B24,计租与历史!$B$6:$B$25,"纳入",计租与历史!$D$6:$D$25,"&gt;0"))</f>
        <v>11</v>
      </c>
      <c r="F24" s="25" t="str">
        <f t="shared" si="0"/>
        <v/>
      </c>
      <c r="G24" s="17" t="str">
        <f>IF(C24&lt;2,"单项或无有效历史",IF(COUNT(F24)&lt;&gt;1,"待核历史资料",IF(F24&gt;内部复核参数!$B$6,"离散超限待复核","一般复核")))</f>
        <v>单项或无有效历史</v>
      </c>
      <c r="H24" s="8"/>
      <c r="I24" s="16" t="str">
        <f t="shared" si="1"/>
        <v>按资料复核</v>
      </c>
    </row>
    <row r="25" spans="1:9" ht="58.05" customHeight="1">
      <c r="A25" s="16" t="s">
        <v>92</v>
      </c>
      <c r="B25" s="17" t="str">
        <f>识别与分组!I25</f>
        <v>模拟范围外楼N|办公|办公用房|元/㎡/月|2</v>
      </c>
      <c r="C25" s="19">
        <f>COUNTIFS(识别与分组!$I$6:$I$25,B25,计租与历史!$B$6:$B$25,"纳入",计租与历史!$D$6:$D$25,"&gt;0")</f>
        <v>0</v>
      </c>
      <c r="D25" s="24" t="str">
        <f>IF(C25=0,"",_xlfn.MINIFS(计租与历史!$D$6:$D$25,识别与分组!$I$6:$I$25,B25,计租与历史!$B$6:$B$25,"纳入",计租与历史!$D$6:$D$25,"&gt;0"))</f>
        <v/>
      </c>
      <c r="E25" s="24" t="str">
        <f>IF(C25=0,"",_xlfn.MAXIFS(计租与历史!$D$6:$D$25,识别与分组!$I$6:$I$25,B25,计租与历史!$B$6:$B$25,"纳入",计租与历史!$D$6:$D$25,"&gt;0"))</f>
        <v/>
      </c>
      <c r="F25" s="25" t="str">
        <f t="shared" si="0"/>
        <v/>
      </c>
      <c r="G25" s="17" t="str">
        <f>IF(C25&lt;2,"单项或无有效历史",IF(COUNT(F25)&lt;&gt;1,"待核历史资料",IF(F25&gt;内部复核参数!$B$6,"离散超限待复核","一般复核")))</f>
        <v>单项或无有效历史</v>
      </c>
      <c r="H25" s="8"/>
      <c r="I25" s="16" t="str">
        <f t="shared" si="1"/>
        <v>按资料复核</v>
      </c>
    </row>
    <row r="26" spans="1:9" ht="25.05" customHeight="1">
      <c r="A26" s="1"/>
      <c r="B26" s="1"/>
      <c r="C26" s="1"/>
      <c r="D26" s="1"/>
      <c r="E26" s="1"/>
      <c r="F26" s="1"/>
      <c r="G26" s="1"/>
      <c r="H26" s="1"/>
      <c r="I26" s="1"/>
    </row>
    <row r="27" spans="1:9" ht="25.05" customHeight="1">
      <c r="A27" s="3" t="s">
        <v>604</v>
      </c>
      <c r="B27" s="1"/>
      <c r="C27" s="1"/>
      <c r="D27" s="1"/>
      <c r="E27" s="1"/>
      <c r="F27" s="1"/>
      <c r="G27" s="1"/>
      <c r="H27" s="1"/>
      <c r="I27" s="1"/>
    </row>
    <row r="28" spans="1:9" ht="25.05" customHeight="1">
      <c r="A28" s="1"/>
      <c r="B28" s="1"/>
      <c r="C28" s="1"/>
      <c r="D28" s="1"/>
      <c r="E28" s="1"/>
      <c r="F28" s="1"/>
      <c r="G28" s="1"/>
      <c r="H28" s="1"/>
      <c r="I28" s="1"/>
    </row>
  </sheetData>
  <phoneticPr fontId="8" type="noConversion"/>
  <conditionalFormatting sqref="G6:I25">
    <cfRule type="containsText" dxfId="1" priority="1" operator="containsText" text="待"/>
  </conditionalFormatting>
  <pageMargins left="0.39370078740157477" right="0.39370078740157477" top="0.75" bottom="0.75" header="0.3" footer="0.3"/>
  <pageSetup paperSize="8" scale="71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28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3" customWidth="1"/>
    <col min="3" max="3" width="22" customWidth="1"/>
    <col min="4" max="6" width="18" customWidth="1"/>
    <col min="7" max="7" width="23" customWidth="1"/>
    <col min="8" max="8" width="54" customWidth="1"/>
    <col min="9" max="9" width="23" customWidth="1"/>
    <col min="10" max="10" width="32" customWidth="1"/>
  </cols>
  <sheetData>
    <row r="1" spans="1:10" ht="25.0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4.049999999999997" customHeight="1">
      <c r="A2" s="2" t="s">
        <v>605</v>
      </c>
      <c r="B2" s="2"/>
      <c r="C2" s="2"/>
      <c r="D2" s="2"/>
      <c r="E2" s="2"/>
      <c r="F2" s="2"/>
      <c r="G2" s="2"/>
      <c r="H2" s="2"/>
      <c r="I2" s="2"/>
      <c r="J2" s="2"/>
    </row>
    <row r="3" spans="1:10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</row>
    <row r="4" spans="1:10" ht="25.0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4" customHeight="1">
      <c r="A5" s="4" t="s">
        <v>58</v>
      </c>
      <c r="B5" s="4" t="s">
        <v>59</v>
      </c>
      <c r="C5" s="4" t="s">
        <v>61</v>
      </c>
      <c r="D5" s="4" t="s">
        <v>606</v>
      </c>
      <c r="E5" s="4" t="s">
        <v>607</v>
      </c>
      <c r="F5" s="4" t="s">
        <v>67</v>
      </c>
      <c r="G5" s="4" t="s">
        <v>608</v>
      </c>
      <c r="H5" s="4" t="s">
        <v>609</v>
      </c>
      <c r="I5" s="4" t="s">
        <v>610</v>
      </c>
      <c r="J5" s="4" t="s">
        <v>611</v>
      </c>
    </row>
    <row r="6" spans="1:10" ht="52.05" customHeight="1">
      <c r="A6" s="17" t="str">
        <f>测算结果!A6</f>
        <v>RP-001</v>
      </c>
      <c r="B6" s="17" t="str">
        <f>测算结果!B6</f>
        <v>沿街商铺一</v>
      </c>
      <c r="C6" s="17" t="str">
        <f>测算结果!D6</f>
        <v>市场比较</v>
      </c>
      <c r="D6" s="24">
        <f>测算结果!I6</f>
        <v>48</v>
      </c>
      <c r="E6" s="24">
        <f>测算结果!G6</f>
        <v>54.7</v>
      </c>
      <c r="F6" s="30">
        <f>测算结果!J6</f>
        <v>0.13958333333333339</v>
      </c>
      <c r="G6" s="17" t="str">
        <f>IF(测算结果!L6&lt;&gt;"纳入","范围排除",IF(COUNT(F6)&lt;&gt;1,"不可比待核资料",IF(ABS(F6)&gt;内部复核参数!$B$10,"重大变动",IF(ABS(F6)&gt;内部复核参数!$B$9,"大幅变动",IF(ABS(F6)&gt;内部复核参数!$B$8,"重点复核",IF(ABS(F6)&gt;内部复核参数!$B$7,"差异提示","一般复核"))))))</f>
        <v>差异提示</v>
      </c>
      <c r="H6" s="8"/>
      <c r="I6" s="8"/>
      <c r="J6" s="16" t="str">
        <f t="shared" ref="J6:J25" si="0">IF(OR(G6="重大变动",G6="大幅变动",G6="重点复核",G6="差异提示"),IF(OR(H6="",I6=""),"待补原因及复核人","已记录待确认"),"一般资料核对")</f>
        <v>待补原因及复核人</v>
      </c>
    </row>
    <row r="7" spans="1:10" ht="52.05" customHeight="1">
      <c r="A7" s="17" t="str">
        <f>测算结果!A7</f>
        <v>RP-002</v>
      </c>
      <c r="B7" s="17" t="str">
        <f>测算结果!B7</f>
        <v>沿街商铺二</v>
      </c>
      <c r="C7" s="17" t="str">
        <f>测算结果!D7</f>
        <v>市场比较</v>
      </c>
      <c r="D7" s="24">
        <f>测算结果!I7</f>
        <v>47</v>
      </c>
      <c r="E7" s="24">
        <f>测算结果!G7</f>
        <v>52.2</v>
      </c>
      <c r="F7" s="30">
        <f>测算结果!J7</f>
        <v>0.11063829787234059</v>
      </c>
      <c r="G7" s="17" t="str">
        <f>IF(测算结果!L7&lt;&gt;"纳入","范围排除",IF(COUNT(F7)&lt;&gt;1,"不可比待核资料",IF(ABS(F7)&gt;内部复核参数!$B$10,"重大变动",IF(ABS(F7)&gt;内部复核参数!$B$9,"大幅变动",IF(ABS(F7)&gt;内部复核参数!$B$8,"重点复核",IF(ABS(F7)&gt;内部复核参数!$B$7,"差异提示","一般复核"))))))</f>
        <v>差异提示</v>
      </c>
      <c r="H7" s="8"/>
      <c r="I7" s="8"/>
      <c r="J7" s="16" t="str">
        <f t="shared" si="0"/>
        <v>待补原因及复核人</v>
      </c>
    </row>
    <row r="8" spans="1:10" ht="52.05" customHeight="1">
      <c r="A8" s="17" t="str">
        <f>测算结果!A8</f>
        <v>RP-003</v>
      </c>
      <c r="B8" s="17" t="str">
        <f>测算结果!B8</f>
        <v>二层商铺</v>
      </c>
      <c r="C8" s="17" t="str">
        <f>测算结果!D8</f>
        <v>市场比较</v>
      </c>
      <c r="D8" s="24">
        <f>测算结果!I8</f>
        <v>42</v>
      </c>
      <c r="E8" s="24">
        <f>测算结果!G8</f>
        <v>44.1</v>
      </c>
      <c r="F8" s="30">
        <f>测算结果!J8</f>
        <v>5.0000000000000044E-2</v>
      </c>
      <c r="G8" s="17" t="str">
        <f>IF(测算结果!L8&lt;&gt;"纳入","范围排除",IF(COUNT(F8)&lt;&gt;1,"不可比待核资料",IF(ABS(F8)&gt;内部复核参数!$B$10,"重大变动",IF(ABS(F8)&gt;内部复核参数!$B$9,"大幅变动",IF(ABS(F8)&gt;内部复核参数!$B$8,"重点复核",IF(ABS(F8)&gt;内部复核参数!$B$7,"差异提示","一般复核"))))))</f>
        <v>一般复核</v>
      </c>
      <c r="H8" s="8"/>
      <c r="I8" s="8"/>
      <c r="J8" s="16" t="str">
        <f t="shared" si="0"/>
        <v>一般资料核对</v>
      </c>
    </row>
    <row r="9" spans="1:10" ht="52.05" customHeight="1">
      <c r="A9" s="17" t="str">
        <f>测算结果!A9</f>
        <v>RP-004</v>
      </c>
      <c r="B9" s="17" t="str">
        <f>测算结果!B9</f>
        <v>内部通道商铺</v>
      </c>
      <c r="C9" s="17" t="str">
        <f>测算结果!D9</f>
        <v>市场比较</v>
      </c>
      <c r="D9" s="24">
        <f>测算结果!I9</f>
        <v>50</v>
      </c>
      <c r="E9" s="24">
        <f>测算结果!G9</f>
        <v>61.9</v>
      </c>
      <c r="F9" s="30">
        <f>测算结果!J9</f>
        <v>0.23799999999999999</v>
      </c>
      <c r="G9" s="17" t="str">
        <f>IF(测算结果!L9&lt;&gt;"纳入","范围排除",IF(COUNT(F9)&lt;&gt;1,"不可比待核资料",IF(ABS(F9)&gt;内部复核参数!$B$10,"重大变动",IF(ABS(F9)&gt;内部复核参数!$B$9,"大幅变动",IF(ABS(F9)&gt;内部复核参数!$B$8,"重点复核",IF(ABS(F9)&gt;内部复核参数!$B$7,"差异提示","一般复核"))))))</f>
        <v>重点复核</v>
      </c>
      <c r="H9" s="8"/>
      <c r="I9" s="8"/>
      <c r="J9" s="16" t="str">
        <f t="shared" si="0"/>
        <v>待补原因及复核人</v>
      </c>
    </row>
    <row r="10" spans="1:10" ht="52.05" customHeight="1">
      <c r="A10" s="17" t="str">
        <f>测算结果!A10</f>
        <v>RP-005</v>
      </c>
      <c r="B10" s="17" t="str">
        <f>测算结果!B10</f>
        <v>办公用房一</v>
      </c>
      <c r="C10" s="17" t="str">
        <f>测算结果!D10</f>
        <v>市场比较</v>
      </c>
      <c r="D10" s="24">
        <f>测算结果!I10</f>
        <v>14</v>
      </c>
      <c r="E10" s="24">
        <f>测算结果!G10</f>
        <v>26.5</v>
      </c>
      <c r="F10" s="30">
        <f>测算结果!J10</f>
        <v>0.89285714285714279</v>
      </c>
      <c r="G10" s="17" t="str">
        <f>IF(测算结果!L10&lt;&gt;"纳入","范围排除",IF(COUNT(F10)&lt;&gt;1,"不可比待核资料",IF(ABS(F10)&gt;内部复核参数!$B$10,"重大变动",IF(ABS(F10)&gt;内部复核参数!$B$9,"大幅变动",IF(ABS(F10)&gt;内部复核参数!$B$8,"重点复核",IF(ABS(F10)&gt;内部复核参数!$B$7,"差异提示","一般复核"))))))</f>
        <v>重大变动</v>
      </c>
      <c r="H10" s="8"/>
      <c r="I10" s="8"/>
      <c r="J10" s="16" t="str">
        <f t="shared" si="0"/>
        <v>待补原因及复核人</v>
      </c>
    </row>
    <row r="11" spans="1:10" ht="52.05" customHeight="1">
      <c r="A11" s="17" t="str">
        <f>测算结果!A11</f>
        <v>RP-006</v>
      </c>
      <c r="B11" s="17" t="str">
        <f>测算结果!B11</f>
        <v>办公用房二</v>
      </c>
      <c r="C11" s="17" t="str">
        <f>测算结果!D11</f>
        <v>市场比较</v>
      </c>
      <c r="D11" s="24">
        <f>测算结果!I11</f>
        <v>32</v>
      </c>
      <c r="E11" s="24">
        <f>测算结果!G11</f>
        <v>26.1</v>
      </c>
      <c r="F11" s="30">
        <f>测算结果!J11</f>
        <v>-0.18437499999999996</v>
      </c>
      <c r="G11" s="17" t="str">
        <f>IF(测算结果!L11&lt;&gt;"纳入","范围排除",IF(COUNT(F11)&lt;&gt;1,"不可比待核资料",IF(ABS(F11)&gt;内部复核参数!$B$10,"重大变动",IF(ABS(F11)&gt;内部复核参数!$B$9,"大幅变动",IF(ABS(F11)&gt;内部复核参数!$B$8,"重点复核",IF(ABS(F11)&gt;内部复核参数!$B$7,"差异提示","一般复核"))))))</f>
        <v>差异提示</v>
      </c>
      <c r="H11" s="8"/>
      <c r="I11" s="8"/>
      <c r="J11" s="16" t="str">
        <f t="shared" si="0"/>
        <v>待补原因及复核人</v>
      </c>
    </row>
    <row r="12" spans="1:10" ht="52.05" customHeight="1">
      <c r="A12" s="17" t="str">
        <f>测算结果!A12</f>
        <v>RP-007</v>
      </c>
      <c r="B12" s="17" t="str">
        <f>测算结果!B12</f>
        <v>仓储库房</v>
      </c>
      <c r="C12" s="17" t="str">
        <f>测算结果!D12</f>
        <v>市场比较</v>
      </c>
      <c r="D12" s="24">
        <f>测算结果!I12</f>
        <v>11</v>
      </c>
      <c r="E12" s="24">
        <f>测算结果!G12</f>
        <v>12.1</v>
      </c>
      <c r="F12" s="30">
        <f>测算结果!J12</f>
        <v>9.9999999999999867E-2</v>
      </c>
      <c r="G12" s="17" t="str">
        <f>IF(测算结果!L12&lt;&gt;"纳入","范围排除",IF(COUNT(F12)&lt;&gt;1,"不可比待核资料",IF(ABS(F12)&gt;内部复核参数!$B$10,"重大变动",IF(ABS(F12)&gt;内部复核参数!$B$9,"大幅变动",IF(ABS(F12)&gt;内部复核参数!$B$8,"重点复核",IF(ABS(F12)&gt;内部复核参数!$B$7,"差异提示","一般复核"))))))</f>
        <v>一般复核</v>
      </c>
      <c r="H12" s="8"/>
      <c r="I12" s="8"/>
      <c r="J12" s="16" t="str">
        <f t="shared" si="0"/>
        <v>一般资料核对</v>
      </c>
    </row>
    <row r="13" spans="1:10" ht="52.05" customHeight="1">
      <c r="A13" s="17" t="str">
        <f>测算结果!A13</f>
        <v>RP-008</v>
      </c>
      <c r="B13" s="17" t="str">
        <f>测算结果!B13</f>
        <v>工业厂房</v>
      </c>
      <c r="C13" s="17" t="str">
        <f>测算结果!D13</f>
        <v>市场比较</v>
      </c>
      <c r="D13" s="24">
        <f>测算结果!I13</f>
        <v>15</v>
      </c>
      <c r="E13" s="24">
        <f>测算结果!G13</f>
        <v>16.600000000000001</v>
      </c>
      <c r="F13" s="30">
        <f>测算结果!J13</f>
        <v>0.10666666666666669</v>
      </c>
      <c r="G13" s="17" t="str">
        <f>IF(测算结果!L13&lt;&gt;"纳入","范围排除",IF(COUNT(F13)&lt;&gt;1,"不可比待核资料",IF(ABS(F13)&gt;内部复核参数!$B$10,"重大变动",IF(ABS(F13)&gt;内部复核参数!$B$9,"大幅变动",IF(ABS(F13)&gt;内部复核参数!$B$8,"重点复核",IF(ABS(F13)&gt;内部复核参数!$B$7,"差异提示","一般复核"))))))</f>
        <v>差异提示</v>
      </c>
      <c r="H13" s="8"/>
      <c r="I13" s="8"/>
      <c r="J13" s="16" t="str">
        <f t="shared" si="0"/>
        <v>待补原因及复核人</v>
      </c>
    </row>
    <row r="14" spans="1:10" ht="52.05" customHeight="1">
      <c r="A14" s="17" t="str">
        <f>测算结果!A14</f>
        <v>RP-009</v>
      </c>
      <c r="B14" s="17" t="str">
        <f>测算结果!B14</f>
        <v>露天场地</v>
      </c>
      <c r="C14" s="17" t="str">
        <f>测算结果!D14</f>
        <v>市场比较</v>
      </c>
      <c r="D14" s="24">
        <f>测算结果!I14</f>
        <v>3</v>
      </c>
      <c r="E14" s="24">
        <f>测算结果!G14</f>
        <v>3.4</v>
      </c>
      <c r="F14" s="30">
        <f>测算结果!J14</f>
        <v>0.1333333333333333</v>
      </c>
      <c r="G14" s="17" t="str">
        <f>IF(测算结果!L14&lt;&gt;"纳入","范围排除",IF(COUNT(F14)&lt;&gt;1,"不可比待核资料",IF(ABS(F14)&gt;内部复核参数!$B$10,"重大变动",IF(ABS(F14)&gt;内部复核参数!$B$9,"大幅变动",IF(ABS(F14)&gt;内部复核参数!$B$8,"重点复核",IF(ABS(F14)&gt;内部复核参数!$B$7,"差异提示","一般复核"))))))</f>
        <v>差异提示</v>
      </c>
      <c r="H14" s="8"/>
      <c r="I14" s="8"/>
      <c r="J14" s="16" t="str">
        <f t="shared" si="0"/>
        <v>待补原因及复核人</v>
      </c>
    </row>
    <row r="15" spans="1:10" ht="52.05" customHeight="1">
      <c r="A15" s="17" t="str">
        <f>测算结果!A15</f>
        <v>RP-010</v>
      </c>
      <c r="B15" s="17" t="str">
        <f>测算结果!B15</f>
        <v>地面停车位组</v>
      </c>
      <c r="C15" s="17" t="str">
        <f>测算结果!D15</f>
        <v>市场比较</v>
      </c>
      <c r="D15" s="24">
        <f>测算结果!I15</f>
        <v>175</v>
      </c>
      <c r="E15" s="24">
        <f>测算结果!G15</f>
        <v>185</v>
      </c>
      <c r="F15" s="30">
        <f>测算结果!J15</f>
        <v>5.7142857142857162E-2</v>
      </c>
      <c r="G15" s="17" t="str">
        <f>IF(测算结果!L15&lt;&gt;"纳入","范围排除",IF(COUNT(F15)&lt;&gt;1,"不可比待核资料",IF(ABS(F15)&gt;内部复核参数!$B$10,"重大变动",IF(ABS(F15)&gt;内部复核参数!$B$9,"大幅变动",IF(ABS(F15)&gt;内部复核参数!$B$8,"重点复核",IF(ABS(F15)&gt;内部复核参数!$B$7,"差异提示","一般复核"))))))</f>
        <v>一般复核</v>
      </c>
      <c r="H15" s="8"/>
      <c r="I15" s="8"/>
      <c r="J15" s="16" t="str">
        <f t="shared" si="0"/>
        <v>一般资料核对</v>
      </c>
    </row>
    <row r="16" spans="1:10" ht="52.05" customHeight="1">
      <c r="A16" s="17" t="str">
        <f>测算结果!A16</f>
        <v>RP-011</v>
      </c>
      <c r="B16" s="17" t="str">
        <f>测算结果!B16</f>
        <v>按间计租宿舍</v>
      </c>
      <c r="C16" s="17" t="str">
        <f>测算结果!D16</f>
        <v>市场比较</v>
      </c>
      <c r="D16" s="24">
        <f>测算结果!I16</f>
        <v>620</v>
      </c>
      <c r="E16" s="24">
        <f>测算结果!G16</f>
        <v>664.4</v>
      </c>
      <c r="F16" s="30">
        <f>测算结果!J16</f>
        <v>7.1612903225806379E-2</v>
      </c>
      <c r="G16" s="17" t="str">
        <f>IF(测算结果!L16&lt;&gt;"纳入","范围排除",IF(COUNT(F16)&lt;&gt;1,"不可比待核资料",IF(ABS(F16)&gt;内部复核参数!$B$10,"重大变动",IF(ABS(F16)&gt;内部复核参数!$B$9,"大幅变动",IF(ABS(F16)&gt;内部复核参数!$B$8,"重点复核",IF(ABS(F16)&gt;内部复核参数!$B$7,"差异提示","一般复核"))))))</f>
        <v>一般复核</v>
      </c>
      <c r="H16" s="8"/>
      <c r="I16" s="8"/>
      <c r="J16" s="16" t="str">
        <f t="shared" si="0"/>
        <v>一般资料核对</v>
      </c>
    </row>
    <row r="17" spans="1:10" ht="52.05" customHeight="1">
      <c r="A17" s="17" t="str">
        <f>测算结果!A17</f>
        <v>RP-012</v>
      </c>
      <c r="B17" s="17" t="str">
        <f>测算结果!B17</f>
        <v>通信基站点位</v>
      </c>
      <c r="C17" s="17" t="str">
        <f>测算结果!D17</f>
        <v>市场比较</v>
      </c>
      <c r="D17" s="24">
        <f>测算结果!I17</f>
        <v>680</v>
      </c>
      <c r="E17" s="24">
        <f>测算结果!G17</f>
        <v>719</v>
      </c>
      <c r="F17" s="30">
        <f>测算结果!J17</f>
        <v>5.7352941176470607E-2</v>
      </c>
      <c r="G17" s="17" t="str">
        <f>IF(测算结果!L17&lt;&gt;"纳入","范围排除",IF(COUNT(F17)&lt;&gt;1,"不可比待核资料",IF(ABS(F17)&gt;内部复核参数!$B$10,"重大变动",IF(ABS(F17)&gt;内部复核参数!$B$9,"大幅变动",IF(ABS(F17)&gt;内部复核参数!$B$8,"重点复核",IF(ABS(F17)&gt;内部复核参数!$B$7,"差异提示","一般复核"))))))</f>
        <v>一般复核</v>
      </c>
      <c r="H17" s="8"/>
      <c r="I17" s="8"/>
      <c r="J17" s="16" t="str">
        <f t="shared" si="0"/>
        <v>一般资料核对</v>
      </c>
    </row>
    <row r="18" spans="1:10" ht="52.05" customHeight="1">
      <c r="A18" s="17" t="str">
        <f>测算结果!A18</f>
        <v>RP-013</v>
      </c>
      <c r="B18" s="17" t="str">
        <f>测算结果!B18</f>
        <v>小型附属库房</v>
      </c>
      <c r="C18" s="17" t="str">
        <f>测算结果!D18</f>
        <v>资料核定</v>
      </c>
      <c r="D18" s="24">
        <f>测算结果!I18</f>
        <v>4</v>
      </c>
      <c r="E18" s="24">
        <f>测算结果!G18</f>
        <v>4.8</v>
      </c>
      <c r="F18" s="30">
        <f>测算结果!J18</f>
        <v>0.19999999999999996</v>
      </c>
      <c r="G18" s="17" t="str">
        <f>IF(测算结果!L18&lt;&gt;"纳入","范围排除",IF(COUNT(F18)&lt;&gt;1,"不可比待核资料",IF(ABS(F18)&gt;内部复核参数!$B$10,"重大变动",IF(ABS(F18)&gt;内部复核参数!$B$9,"大幅变动",IF(ABS(F18)&gt;内部复核参数!$B$8,"重点复核",IF(ABS(F18)&gt;内部复核参数!$B$7,"差异提示","一般复核"))))))</f>
        <v>差异提示</v>
      </c>
      <c r="H18" s="8"/>
      <c r="I18" s="8"/>
      <c r="J18" s="16" t="str">
        <f t="shared" si="0"/>
        <v>待补原因及复核人</v>
      </c>
    </row>
    <row r="19" spans="1:10" ht="52.05" customHeight="1">
      <c r="A19" s="17" t="str">
        <f>测算结果!A19</f>
        <v>RP-014</v>
      </c>
      <c r="B19" s="17" t="str">
        <f>测算结果!B19</f>
        <v>屋顶使用点位</v>
      </c>
      <c r="C19" s="17" t="str">
        <f>测算结果!D19</f>
        <v>租赁资料核定</v>
      </c>
      <c r="D19" s="24">
        <f>测算结果!I19</f>
        <v>650</v>
      </c>
      <c r="E19" s="24">
        <f>测算结果!G19</f>
        <v>700</v>
      </c>
      <c r="F19" s="30">
        <f>测算结果!J19</f>
        <v>7.6923076923076872E-2</v>
      </c>
      <c r="G19" s="17" t="str">
        <f>IF(测算结果!L19&lt;&gt;"纳入","范围排除",IF(COUNT(F19)&lt;&gt;1,"不可比待核资料",IF(ABS(F19)&gt;内部复核参数!$B$10,"重大变动",IF(ABS(F19)&gt;内部复核参数!$B$9,"大幅变动",IF(ABS(F19)&gt;内部复核参数!$B$8,"重点复核",IF(ABS(F19)&gt;内部复核参数!$B$7,"差异提示","一般复核"))))))</f>
        <v>一般复核</v>
      </c>
      <c r="H19" s="8"/>
      <c r="I19" s="8"/>
      <c r="J19" s="16" t="str">
        <f t="shared" si="0"/>
        <v>一般资料核对</v>
      </c>
    </row>
    <row r="20" spans="1:10" ht="52.05" customHeight="1">
      <c r="A20" s="17" t="str">
        <f>测算结果!A20</f>
        <v>RP-015</v>
      </c>
      <c r="B20" s="17" t="str">
        <f>测算结果!B20</f>
        <v>活动场馆</v>
      </c>
      <c r="C20" s="17" t="str">
        <f>测算结果!D20</f>
        <v>专项计租</v>
      </c>
      <c r="D20" s="24">
        <f>测算结果!I20</f>
        <v>1800</v>
      </c>
      <c r="E20" s="24">
        <f>测算结果!G20</f>
        <v>1950</v>
      </c>
      <c r="F20" s="30">
        <f>测算结果!J20</f>
        <v>8.3333333333333259E-2</v>
      </c>
      <c r="G20" s="17" t="str">
        <f>IF(测算结果!L20&lt;&gt;"纳入","范围排除",IF(COUNT(F20)&lt;&gt;1,"不可比待核资料",IF(ABS(F20)&gt;内部复核参数!$B$10,"重大变动",IF(ABS(F20)&gt;内部复核参数!$B$9,"大幅变动",IF(ABS(F20)&gt;内部复核参数!$B$8,"重点复核",IF(ABS(F20)&gt;内部复核参数!$B$7,"差异提示","一般复核"))))))</f>
        <v>一般复核</v>
      </c>
      <c r="H20" s="8"/>
      <c r="I20" s="8"/>
      <c r="J20" s="16" t="str">
        <f t="shared" si="0"/>
        <v>一般资料核对</v>
      </c>
    </row>
    <row r="21" spans="1:10" ht="52.05" customHeight="1">
      <c r="A21" s="17" t="str">
        <f>测算结果!A21</f>
        <v>RP-016</v>
      </c>
      <c r="B21" s="17" t="str">
        <f>测算结果!B21</f>
        <v>广告设置点位</v>
      </c>
      <c r="C21" s="17" t="str">
        <f>测算结果!D21</f>
        <v>专项计租</v>
      </c>
      <c r="D21" s="24">
        <f>测算结果!I21</f>
        <v>380</v>
      </c>
      <c r="E21" s="24">
        <f>测算结果!G21</f>
        <v>400</v>
      </c>
      <c r="F21" s="30">
        <f>测算结果!J21</f>
        <v>5.2631578947368363E-2</v>
      </c>
      <c r="G21" s="17" t="str">
        <f>IF(测算结果!L21&lt;&gt;"纳入","范围排除",IF(COUNT(F21)&lt;&gt;1,"不可比待核资料",IF(ABS(F21)&gt;内部复核参数!$B$10,"重大变动",IF(ABS(F21)&gt;内部复核参数!$B$9,"大幅变动",IF(ABS(F21)&gt;内部复核参数!$B$8,"重点复核",IF(ABS(F21)&gt;内部复核参数!$B$7,"差异提示","一般复核"))))))</f>
        <v>一般复核</v>
      </c>
      <c r="H21" s="8"/>
      <c r="I21" s="8"/>
      <c r="J21" s="16" t="str">
        <f t="shared" si="0"/>
        <v>一般资料核对</v>
      </c>
    </row>
    <row r="22" spans="1:10" ht="52.05" customHeight="1">
      <c r="A22" s="17" t="str">
        <f>测算结果!A22</f>
        <v>RP-017</v>
      </c>
      <c r="B22" s="17" t="str">
        <f>测算结果!B22</f>
        <v>起重设备甲</v>
      </c>
      <c r="C22" s="17" t="str">
        <f>测算结果!D22</f>
        <v>设备附表</v>
      </c>
      <c r="D22" s="24">
        <f>测算结果!I22</f>
        <v>266.6666666667</v>
      </c>
      <c r="E22" s="24">
        <f>测算结果!G22</f>
        <v>300</v>
      </c>
      <c r="F22" s="30">
        <f>测算结果!J22</f>
        <v>0.12499999999985945</v>
      </c>
      <c r="G22" s="17" t="str">
        <f>IF(测算结果!L22&lt;&gt;"纳入","范围排除",IF(COUNT(F22)&lt;&gt;1,"不可比待核资料",IF(ABS(F22)&gt;内部复核参数!$B$10,"重大变动",IF(ABS(F22)&gt;内部复核参数!$B$9,"大幅变动",IF(ABS(F22)&gt;内部复核参数!$B$8,"重点复核",IF(ABS(F22)&gt;内部复核参数!$B$7,"差异提示","一般复核"))))))</f>
        <v>差异提示</v>
      </c>
      <c r="H22" s="8"/>
      <c r="I22" s="8"/>
      <c r="J22" s="16" t="str">
        <f t="shared" si="0"/>
        <v>待补原因及复核人</v>
      </c>
    </row>
    <row r="23" spans="1:10" ht="52.05" customHeight="1">
      <c r="A23" s="17" t="str">
        <f>测算结果!A23</f>
        <v>RP-018</v>
      </c>
      <c r="B23" s="17" t="str">
        <f>测算结果!B23</f>
        <v>加工设备乙</v>
      </c>
      <c r="C23" s="17" t="str">
        <f>测算结果!D23</f>
        <v>设备附表</v>
      </c>
      <c r="D23" s="24">
        <f>测算结果!I23</f>
        <v>133.3333333333</v>
      </c>
      <c r="E23" s="24">
        <f>测算结果!G23</f>
        <v>150</v>
      </c>
      <c r="F23" s="30">
        <f>测算结果!J23</f>
        <v>0.12500000000028111</v>
      </c>
      <c r="G23" s="17" t="str">
        <f>IF(测算结果!L23&lt;&gt;"纳入","范围排除",IF(COUNT(F23)&lt;&gt;1,"不可比待核资料",IF(ABS(F23)&gt;内部复核参数!$B$10,"重大变动",IF(ABS(F23)&gt;内部复核参数!$B$9,"大幅变动",IF(ABS(F23)&gt;内部复核参数!$B$8,"重点复核",IF(ABS(F23)&gt;内部复核参数!$B$7,"差异提示","一般复核"))))))</f>
        <v>差异提示</v>
      </c>
      <c r="H23" s="8"/>
      <c r="I23" s="8"/>
      <c r="J23" s="16" t="str">
        <f t="shared" si="0"/>
        <v>待补原因及复核人</v>
      </c>
    </row>
    <row r="24" spans="1:10" ht="52.05" customHeight="1">
      <c r="A24" s="17" t="str">
        <f>测算结果!A24</f>
        <v>RP-019</v>
      </c>
      <c r="B24" s="17" t="str">
        <f>测算结果!B24</f>
        <v>库房重复记录</v>
      </c>
      <c r="C24" s="17" t="str">
        <f>测算结果!D24</f>
        <v>不重复计租</v>
      </c>
      <c r="D24" s="24" t="str">
        <f>测算结果!I24</f>
        <v/>
      </c>
      <c r="E24" s="24">
        <f>测算结果!G24</f>
        <v>0</v>
      </c>
      <c r="F24" s="30" t="str">
        <f>测算结果!J24</f>
        <v/>
      </c>
      <c r="G24" s="17" t="str">
        <f>IF(测算结果!L24&lt;&gt;"纳入","范围排除",IF(COUNT(F24)&lt;&gt;1,"不可比待核资料",IF(ABS(F24)&gt;内部复核参数!$B$10,"重大变动",IF(ABS(F24)&gt;内部复核参数!$B$9,"大幅变动",IF(ABS(F24)&gt;内部复核参数!$B$8,"重点复核",IF(ABS(F24)&gt;内部复核参数!$B$7,"差异提示","一般复核"))))))</f>
        <v>范围排除</v>
      </c>
      <c r="H24" s="8"/>
      <c r="I24" s="8"/>
      <c r="J24" s="16" t="str">
        <f t="shared" si="0"/>
        <v>一般资料核对</v>
      </c>
    </row>
    <row r="25" spans="1:10" ht="52.05" customHeight="1">
      <c r="A25" s="17" t="str">
        <f>测算结果!A25</f>
        <v>RP-020</v>
      </c>
      <c r="B25" s="17" t="str">
        <f>测算结果!B25</f>
        <v>范围外房屋</v>
      </c>
      <c r="C25" s="17" t="str">
        <f>测算结果!D25</f>
        <v>不纳入</v>
      </c>
      <c r="D25" s="24" t="str">
        <f>测算结果!I25</f>
        <v/>
      </c>
      <c r="E25" s="24">
        <f>测算结果!G25</f>
        <v>0</v>
      </c>
      <c r="F25" s="30" t="str">
        <f>测算结果!J25</f>
        <v/>
      </c>
      <c r="G25" s="17" t="str">
        <f>IF(测算结果!L25&lt;&gt;"纳入","范围排除",IF(COUNT(F25)&lt;&gt;1,"不可比待核资料",IF(ABS(F25)&gt;内部复核参数!$B$10,"重大变动",IF(ABS(F25)&gt;内部复核参数!$B$9,"大幅变动",IF(ABS(F25)&gt;内部复核参数!$B$8,"重点复核",IF(ABS(F25)&gt;内部复核参数!$B$7,"差异提示","一般复核"))))))</f>
        <v>范围排除</v>
      </c>
      <c r="H25" s="8"/>
      <c r="I25" s="8"/>
      <c r="J25" s="16" t="str">
        <f t="shared" si="0"/>
        <v>一般资料核对</v>
      </c>
    </row>
    <row r="26" spans="1:10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25.05" customHeight="1">
      <c r="A27" s="3" t="s">
        <v>612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phoneticPr fontId="8" type="noConversion"/>
  <conditionalFormatting sqref="J6:J25">
    <cfRule type="containsText" dxfId="0" priority="1" operator="containsText" text="待"/>
  </conditionalFormatting>
  <pageMargins left="0.39370078740157477" right="0.39370078740157477" top="0.75" bottom="0.75" header="0.3" footer="0.3"/>
  <pageSetup paperSize="8" scale="74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C17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32" customWidth="1"/>
    <col min="2" max="2" width="20" customWidth="1"/>
    <col min="3" max="3" width="74" customWidth="1"/>
  </cols>
  <sheetData>
    <row r="1" spans="1:3" ht="25.05" customHeight="1">
      <c r="A1" s="1"/>
      <c r="B1" s="1"/>
      <c r="C1" s="1"/>
    </row>
    <row r="2" spans="1:3" ht="34.049999999999997" customHeight="1">
      <c r="A2" s="2" t="s">
        <v>613</v>
      </c>
      <c r="B2" s="2"/>
      <c r="C2" s="2"/>
    </row>
    <row r="3" spans="1:3" ht="25.05" customHeight="1">
      <c r="A3" s="3" t="s">
        <v>57</v>
      </c>
      <c r="B3" s="1"/>
      <c r="C3" s="1"/>
    </row>
    <row r="4" spans="1:3" ht="25.05" customHeight="1">
      <c r="A4" s="1"/>
      <c r="B4" s="1"/>
      <c r="C4" s="1"/>
    </row>
    <row r="5" spans="1:3" ht="44" customHeight="1">
      <c r="A5" s="4" t="s">
        <v>508</v>
      </c>
      <c r="B5" s="4" t="s">
        <v>509</v>
      </c>
      <c r="C5" s="4" t="s">
        <v>99</v>
      </c>
    </row>
    <row r="6" spans="1:3" ht="25.05" customHeight="1">
      <c r="A6" s="16" t="s">
        <v>614</v>
      </c>
      <c r="B6" s="29">
        <v>0.2</v>
      </c>
      <c r="C6" s="16" t="s">
        <v>615</v>
      </c>
    </row>
    <row r="7" spans="1:3" ht="25.05" customHeight="1">
      <c r="A7" s="16" t="s">
        <v>616</v>
      </c>
      <c r="B7" s="29">
        <v>0.1</v>
      </c>
      <c r="C7" s="16" t="s">
        <v>617</v>
      </c>
    </row>
    <row r="8" spans="1:3" ht="25.05" customHeight="1">
      <c r="A8" s="16" t="s">
        <v>618</v>
      </c>
      <c r="B8" s="29">
        <v>0.2</v>
      </c>
      <c r="C8" s="16" t="s">
        <v>619</v>
      </c>
    </row>
    <row r="9" spans="1:3" ht="25.05" customHeight="1">
      <c r="A9" s="16" t="s">
        <v>620</v>
      </c>
      <c r="B9" s="29">
        <v>0.3</v>
      </c>
      <c r="C9" s="16" t="s">
        <v>621</v>
      </c>
    </row>
    <row r="10" spans="1:3" ht="25.05" customHeight="1">
      <c r="A10" s="16" t="s">
        <v>622</v>
      </c>
      <c r="B10" s="29">
        <v>0.5</v>
      </c>
      <c r="C10" s="16" t="s">
        <v>623</v>
      </c>
    </row>
    <row r="11" spans="1:3" ht="25.05" customHeight="1">
      <c r="A11" s="16" t="s">
        <v>624</v>
      </c>
      <c r="B11" s="29">
        <v>0.1</v>
      </c>
      <c r="C11" s="16" t="s">
        <v>625</v>
      </c>
    </row>
    <row r="12" spans="1:3" ht="25.05" customHeight="1">
      <c r="A12" s="1"/>
      <c r="B12" s="1"/>
      <c r="C12" s="1"/>
    </row>
    <row r="13" spans="1:3" ht="25.05" customHeight="1">
      <c r="A13" s="3" t="s">
        <v>626</v>
      </c>
      <c r="B13" s="1"/>
      <c r="C13" s="1"/>
    </row>
    <row r="14" spans="1:3" ht="25.05" customHeight="1">
      <c r="A14" s="3" t="s">
        <v>627</v>
      </c>
      <c r="B14" s="1"/>
      <c r="C14" s="1"/>
    </row>
    <row r="15" spans="1:3" ht="25.05" customHeight="1">
      <c r="A15" s="1"/>
      <c r="B15" s="1"/>
      <c r="C15" s="1"/>
    </row>
    <row r="16" spans="1:3" ht="25.05" customHeight="1">
      <c r="A16" s="1"/>
      <c r="B16" s="1"/>
      <c r="C16" s="1"/>
    </row>
    <row r="17" spans="1:3" ht="25.05" customHeight="1">
      <c r="A17" s="1"/>
      <c r="B17" s="1"/>
      <c r="C17" s="1"/>
    </row>
  </sheetData>
  <phoneticPr fontId="8" type="noConversion"/>
  <pageMargins left="0.39370078740157477" right="0.39370078740157477" top="0.75" bottom="0.75" header="0.3" footer="0.3"/>
  <pageSetup paperSize="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65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23" customWidth="1"/>
    <col min="2" max="2" width="20" customWidth="1"/>
    <col min="3" max="3" width="24" customWidth="1"/>
    <col min="4" max="4" width="44" customWidth="1"/>
    <col min="5" max="5" width="35" customWidth="1"/>
    <col min="6" max="6" width="31" customWidth="1"/>
  </cols>
  <sheetData>
    <row r="1" spans="1:6" ht="25.05" customHeight="1">
      <c r="A1" s="1"/>
      <c r="B1" s="1"/>
      <c r="C1" s="1"/>
      <c r="D1" s="1"/>
      <c r="E1" s="1"/>
      <c r="F1" s="1"/>
    </row>
    <row r="2" spans="1:6" ht="34.049999999999997" customHeight="1">
      <c r="A2" s="2" t="s">
        <v>628</v>
      </c>
      <c r="B2" s="2"/>
      <c r="C2" s="2"/>
      <c r="D2" s="2"/>
      <c r="E2" s="2"/>
      <c r="F2" s="2"/>
    </row>
    <row r="3" spans="1:6" ht="25.05" customHeight="1">
      <c r="A3" s="3" t="s">
        <v>57</v>
      </c>
      <c r="B3" s="1"/>
      <c r="C3" s="1"/>
      <c r="D3" s="1"/>
      <c r="E3" s="1"/>
      <c r="F3" s="1"/>
    </row>
    <row r="4" spans="1:6" ht="25.05" customHeight="1">
      <c r="A4" s="1"/>
      <c r="B4" s="1"/>
      <c r="C4" s="1"/>
      <c r="D4" s="1"/>
      <c r="E4" s="1"/>
      <c r="F4" s="1"/>
    </row>
    <row r="5" spans="1:6" ht="44" customHeight="1">
      <c r="A5" s="4" t="s">
        <v>262</v>
      </c>
      <c r="B5" s="4" t="s">
        <v>629</v>
      </c>
      <c r="C5" s="4" t="s">
        <v>630</v>
      </c>
      <c r="D5" s="4" t="s">
        <v>631</v>
      </c>
      <c r="E5" s="4" t="s">
        <v>632</v>
      </c>
      <c r="F5" s="4" t="s">
        <v>633</v>
      </c>
    </row>
    <row r="6" spans="1:6" ht="42" customHeight="1">
      <c r="A6" s="16" t="s">
        <v>210</v>
      </c>
      <c r="B6" s="16" t="s">
        <v>634</v>
      </c>
      <c r="C6" s="16" t="s">
        <v>72</v>
      </c>
      <c r="D6" s="16" t="s">
        <v>635</v>
      </c>
      <c r="E6" s="16" t="s">
        <v>636</v>
      </c>
      <c r="F6" s="16" t="s">
        <v>637</v>
      </c>
    </row>
    <row r="7" spans="1:6" ht="42" customHeight="1">
      <c r="A7" s="16" t="s">
        <v>233</v>
      </c>
      <c r="B7" s="16" t="s">
        <v>634</v>
      </c>
      <c r="C7" s="16" t="s">
        <v>74</v>
      </c>
      <c r="D7" s="16" t="s">
        <v>635</v>
      </c>
      <c r="E7" s="16" t="s">
        <v>636</v>
      </c>
      <c r="F7" s="16" t="s">
        <v>637</v>
      </c>
    </row>
    <row r="8" spans="1:6" ht="42" customHeight="1">
      <c r="A8" s="16" t="s">
        <v>234</v>
      </c>
      <c r="B8" s="16" t="s">
        <v>634</v>
      </c>
      <c r="C8" s="16" t="s">
        <v>75</v>
      </c>
      <c r="D8" s="16" t="s">
        <v>635</v>
      </c>
      <c r="E8" s="16" t="s">
        <v>636</v>
      </c>
      <c r="F8" s="16" t="s">
        <v>637</v>
      </c>
    </row>
    <row r="9" spans="1:6" ht="42" customHeight="1">
      <c r="A9" s="16" t="s">
        <v>235</v>
      </c>
      <c r="B9" s="16" t="s">
        <v>634</v>
      </c>
      <c r="C9" s="16" t="s">
        <v>76</v>
      </c>
      <c r="D9" s="16" t="s">
        <v>635</v>
      </c>
      <c r="E9" s="16" t="s">
        <v>636</v>
      </c>
      <c r="F9" s="16" t="s">
        <v>637</v>
      </c>
    </row>
    <row r="10" spans="1:6" ht="42" customHeight="1">
      <c r="A10" s="16" t="s">
        <v>237</v>
      </c>
      <c r="B10" s="16" t="s">
        <v>634</v>
      </c>
      <c r="C10" s="16" t="s">
        <v>77</v>
      </c>
      <c r="D10" s="16" t="s">
        <v>635</v>
      </c>
      <c r="E10" s="16" t="s">
        <v>636</v>
      </c>
      <c r="F10" s="16" t="s">
        <v>637</v>
      </c>
    </row>
    <row r="11" spans="1:6" ht="42" customHeight="1">
      <c r="A11" s="16" t="s">
        <v>238</v>
      </c>
      <c r="B11" s="16" t="s">
        <v>634</v>
      </c>
      <c r="C11" s="16" t="s">
        <v>78</v>
      </c>
      <c r="D11" s="16" t="s">
        <v>635</v>
      </c>
      <c r="E11" s="16" t="s">
        <v>636</v>
      </c>
      <c r="F11" s="16" t="s">
        <v>637</v>
      </c>
    </row>
    <row r="12" spans="1:6" ht="42" customHeight="1">
      <c r="A12" s="16" t="s">
        <v>239</v>
      </c>
      <c r="B12" s="16" t="s">
        <v>634</v>
      </c>
      <c r="C12" s="16" t="s">
        <v>79</v>
      </c>
      <c r="D12" s="16" t="s">
        <v>635</v>
      </c>
      <c r="E12" s="16" t="s">
        <v>636</v>
      </c>
      <c r="F12" s="16" t="s">
        <v>637</v>
      </c>
    </row>
    <row r="13" spans="1:6" ht="42" customHeight="1">
      <c r="A13" s="16" t="s">
        <v>240</v>
      </c>
      <c r="B13" s="16" t="s">
        <v>634</v>
      </c>
      <c r="C13" s="16" t="s">
        <v>80</v>
      </c>
      <c r="D13" s="16" t="s">
        <v>635</v>
      </c>
      <c r="E13" s="16" t="s">
        <v>636</v>
      </c>
      <c r="F13" s="16" t="s">
        <v>637</v>
      </c>
    </row>
    <row r="14" spans="1:6" ht="42" customHeight="1">
      <c r="A14" s="16" t="s">
        <v>245</v>
      </c>
      <c r="B14" s="16" t="s">
        <v>634</v>
      </c>
      <c r="C14" s="16" t="s">
        <v>81</v>
      </c>
      <c r="D14" s="16" t="s">
        <v>635</v>
      </c>
      <c r="E14" s="16" t="s">
        <v>636</v>
      </c>
      <c r="F14" s="16" t="s">
        <v>637</v>
      </c>
    </row>
    <row r="15" spans="1:6" ht="42" customHeight="1">
      <c r="A15" s="16" t="s">
        <v>246</v>
      </c>
      <c r="B15" s="16" t="s">
        <v>634</v>
      </c>
      <c r="C15" s="16" t="s">
        <v>82</v>
      </c>
      <c r="D15" s="16" t="s">
        <v>635</v>
      </c>
      <c r="E15" s="16" t="s">
        <v>636</v>
      </c>
      <c r="F15" s="16" t="s">
        <v>637</v>
      </c>
    </row>
    <row r="16" spans="1:6" ht="42" customHeight="1">
      <c r="A16" s="16" t="s">
        <v>247</v>
      </c>
      <c r="B16" s="16" t="s">
        <v>634</v>
      </c>
      <c r="C16" s="16" t="s">
        <v>83</v>
      </c>
      <c r="D16" s="16" t="s">
        <v>635</v>
      </c>
      <c r="E16" s="16" t="s">
        <v>636</v>
      </c>
      <c r="F16" s="16" t="s">
        <v>637</v>
      </c>
    </row>
    <row r="17" spans="1:6" ht="42" customHeight="1">
      <c r="A17" s="16" t="s">
        <v>248</v>
      </c>
      <c r="B17" s="16" t="s">
        <v>634</v>
      </c>
      <c r="C17" s="16" t="s">
        <v>84</v>
      </c>
      <c r="D17" s="16" t="s">
        <v>635</v>
      </c>
      <c r="E17" s="16" t="s">
        <v>636</v>
      </c>
      <c r="F17" s="16" t="s">
        <v>637</v>
      </c>
    </row>
    <row r="18" spans="1:6" ht="42" customHeight="1">
      <c r="A18" s="16" t="s">
        <v>486</v>
      </c>
      <c r="B18" s="16" t="s">
        <v>634</v>
      </c>
      <c r="C18" s="16" t="s">
        <v>85</v>
      </c>
      <c r="D18" s="16" t="s">
        <v>635</v>
      </c>
      <c r="E18" s="16" t="s">
        <v>636</v>
      </c>
      <c r="F18" s="16" t="s">
        <v>637</v>
      </c>
    </row>
    <row r="19" spans="1:6" ht="42" customHeight="1">
      <c r="A19" s="16" t="s">
        <v>489</v>
      </c>
      <c r="B19" s="16" t="s">
        <v>634</v>
      </c>
      <c r="C19" s="16" t="s">
        <v>86</v>
      </c>
      <c r="D19" s="16" t="s">
        <v>635</v>
      </c>
      <c r="E19" s="16" t="s">
        <v>636</v>
      </c>
      <c r="F19" s="16" t="s">
        <v>637</v>
      </c>
    </row>
    <row r="20" spans="1:6" ht="42" customHeight="1">
      <c r="A20" s="16" t="s">
        <v>492</v>
      </c>
      <c r="B20" s="16" t="s">
        <v>634</v>
      </c>
      <c r="C20" s="16" t="s">
        <v>87</v>
      </c>
      <c r="D20" s="16" t="s">
        <v>635</v>
      </c>
      <c r="E20" s="16" t="s">
        <v>636</v>
      </c>
      <c r="F20" s="16" t="s">
        <v>637</v>
      </c>
    </row>
    <row r="21" spans="1:6" ht="42" customHeight="1">
      <c r="A21" s="16" t="s">
        <v>493</v>
      </c>
      <c r="B21" s="16" t="s">
        <v>634</v>
      </c>
      <c r="C21" s="16" t="s">
        <v>88</v>
      </c>
      <c r="D21" s="16" t="s">
        <v>635</v>
      </c>
      <c r="E21" s="16" t="s">
        <v>636</v>
      </c>
      <c r="F21" s="16" t="s">
        <v>637</v>
      </c>
    </row>
    <row r="22" spans="1:6" ht="42" customHeight="1">
      <c r="A22" s="16" t="s">
        <v>495</v>
      </c>
      <c r="B22" s="16" t="s">
        <v>634</v>
      </c>
      <c r="C22" s="16" t="s">
        <v>89</v>
      </c>
      <c r="D22" s="16" t="s">
        <v>635</v>
      </c>
      <c r="E22" s="16" t="s">
        <v>636</v>
      </c>
      <c r="F22" s="16" t="s">
        <v>637</v>
      </c>
    </row>
    <row r="23" spans="1:6" ht="42" customHeight="1">
      <c r="A23" s="16" t="s">
        <v>497</v>
      </c>
      <c r="B23" s="16" t="s">
        <v>634</v>
      </c>
      <c r="C23" s="16" t="s">
        <v>90</v>
      </c>
      <c r="D23" s="16" t="s">
        <v>635</v>
      </c>
      <c r="E23" s="16" t="s">
        <v>636</v>
      </c>
      <c r="F23" s="16" t="s">
        <v>637</v>
      </c>
    </row>
    <row r="24" spans="1:6" ht="42" customHeight="1">
      <c r="A24" s="16" t="s">
        <v>500</v>
      </c>
      <c r="B24" s="16" t="s">
        <v>634</v>
      </c>
      <c r="C24" s="16" t="s">
        <v>91</v>
      </c>
      <c r="D24" s="16" t="s">
        <v>635</v>
      </c>
      <c r="E24" s="16" t="s">
        <v>636</v>
      </c>
      <c r="F24" s="16" t="s">
        <v>637</v>
      </c>
    </row>
    <row r="25" spans="1:6" ht="42" customHeight="1">
      <c r="A25" s="16" t="s">
        <v>503</v>
      </c>
      <c r="B25" s="16" t="s">
        <v>634</v>
      </c>
      <c r="C25" s="16" t="s">
        <v>92</v>
      </c>
      <c r="D25" s="16" t="s">
        <v>635</v>
      </c>
      <c r="E25" s="16" t="s">
        <v>636</v>
      </c>
      <c r="F25" s="16" t="s">
        <v>637</v>
      </c>
    </row>
    <row r="26" spans="1:6" ht="42" customHeight="1">
      <c r="A26" s="16" t="s">
        <v>271</v>
      </c>
      <c r="B26" s="16" t="s">
        <v>638</v>
      </c>
      <c r="C26" s="16" t="s">
        <v>149</v>
      </c>
      <c r="D26" s="16" t="s">
        <v>639</v>
      </c>
      <c r="E26" s="16" t="s">
        <v>640</v>
      </c>
      <c r="F26" s="16" t="s">
        <v>637</v>
      </c>
    </row>
    <row r="27" spans="1:6" ht="42" customHeight="1">
      <c r="A27" s="16" t="s">
        <v>277</v>
      </c>
      <c r="B27" s="16" t="s">
        <v>638</v>
      </c>
      <c r="C27" s="16" t="s">
        <v>150</v>
      </c>
      <c r="D27" s="16" t="s">
        <v>639</v>
      </c>
      <c r="E27" s="16" t="s">
        <v>640</v>
      </c>
      <c r="F27" s="16" t="s">
        <v>637</v>
      </c>
    </row>
    <row r="28" spans="1:6" ht="42" customHeight="1">
      <c r="A28" s="16" t="s">
        <v>281</v>
      </c>
      <c r="B28" s="16" t="s">
        <v>638</v>
      </c>
      <c r="C28" s="16" t="s">
        <v>151</v>
      </c>
      <c r="D28" s="16" t="s">
        <v>639</v>
      </c>
      <c r="E28" s="16" t="s">
        <v>640</v>
      </c>
      <c r="F28" s="16" t="s">
        <v>637</v>
      </c>
    </row>
    <row r="29" spans="1:6" ht="42" customHeight="1">
      <c r="A29" s="16" t="s">
        <v>285</v>
      </c>
      <c r="B29" s="16" t="s">
        <v>638</v>
      </c>
      <c r="C29" s="16" t="s">
        <v>154</v>
      </c>
      <c r="D29" s="16" t="s">
        <v>639</v>
      </c>
      <c r="E29" s="16" t="s">
        <v>640</v>
      </c>
      <c r="F29" s="16" t="s">
        <v>637</v>
      </c>
    </row>
    <row r="30" spans="1:6" ht="42" customHeight="1">
      <c r="A30" s="16" t="s">
        <v>289</v>
      </c>
      <c r="B30" s="16" t="s">
        <v>638</v>
      </c>
      <c r="C30" s="16" t="s">
        <v>155</v>
      </c>
      <c r="D30" s="16" t="s">
        <v>639</v>
      </c>
      <c r="E30" s="16" t="s">
        <v>640</v>
      </c>
      <c r="F30" s="16" t="s">
        <v>637</v>
      </c>
    </row>
    <row r="31" spans="1:6" ht="42" customHeight="1">
      <c r="A31" s="16" t="s">
        <v>293</v>
      </c>
      <c r="B31" s="16" t="s">
        <v>638</v>
      </c>
      <c r="C31" s="16" t="s">
        <v>156</v>
      </c>
      <c r="D31" s="16" t="s">
        <v>639</v>
      </c>
      <c r="E31" s="16" t="s">
        <v>640</v>
      </c>
      <c r="F31" s="16" t="s">
        <v>637</v>
      </c>
    </row>
    <row r="32" spans="1:6" ht="42" customHeight="1">
      <c r="A32" s="16" t="s">
        <v>297</v>
      </c>
      <c r="B32" s="16" t="s">
        <v>638</v>
      </c>
      <c r="C32" s="16" t="s">
        <v>158</v>
      </c>
      <c r="D32" s="16" t="s">
        <v>639</v>
      </c>
      <c r="E32" s="16" t="s">
        <v>640</v>
      </c>
      <c r="F32" s="16" t="s">
        <v>637</v>
      </c>
    </row>
    <row r="33" spans="1:6" ht="42" customHeight="1">
      <c r="A33" s="16" t="s">
        <v>301</v>
      </c>
      <c r="B33" s="16" t="s">
        <v>638</v>
      </c>
      <c r="C33" s="16" t="s">
        <v>159</v>
      </c>
      <c r="D33" s="16" t="s">
        <v>639</v>
      </c>
      <c r="E33" s="16" t="s">
        <v>640</v>
      </c>
      <c r="F33" s="16" t="s">
        <v>637</v>
      </c>
    </row>
    <row r="34" spans="1:6" ht="42" customHeight="1">
      <c r="A34" s="16" t="s">
        <v>305</v>
      </c>
      <c r="B34" s="16" t="s">
        <v>638</v>
      </c>
      <c r="C34" s="16" t="s">
        <v>160</v>
      </c>
      <c r="D34" s="16" t="s">
        <v>639</v>
      </c>
      <c r="E34" s="16" t="s">
        <v>640</v>
      </c>
      <c r="F34" s="16" t="s">
        <v>637</v>
      </c>
    </row>
    <row r="35" spans="1:6" ht="42" customHeight="1">
      <c r="A35" s="16" t="s">
        <v>310</v>
      </c>
      <c r="B35" s="16" t="s">
        <v>638</v>
      </c>
      <c r="C35" s="16" t="s">
        <v>162</v>
      </c>
      <c r="D35" s="16" t="s">
        <v>639</v>
      </c>
      <c r="E35" s="16" t="s">
        <v>640</v>
      </c>
      <c r="F35" s="16" t="s">
        <v>637</v>
      </c>
    </row>
    <row r="36" spans="1:6" ht="42" customHeight="1">
      <c r="A36" s="16" t="s">
        <v>314</v>
      </c>
      <c r="B36" s="16" t="s">
        <v>638</v>
      </c>
      <c r="C36" s="16" t="s">
        <v>163</v>
      </c>
      <c r="D36" s="16" t="s">
        <v>639</v>
      </c>
      <c r="E36" s="16" t="s">
        <v>640</v>
      </c>
      <c r="F36" s="16" t="s">
        <v>637</v>
      </c>
    </row>
    <row r="37" spans="1:6" ht="42" customHeight="1">
      <c r="A37" s="16" t="s">
        <v>318</v>
      </c>
      <c r="B37" s="16" t="s">
        <v>638</v>
      </c>
      <c r="C37" s="16" t="s">
        <v>164</v>
      </c>
      <c r="D37" s="16" t="s">
        <v>639</v>
      </c>
      <c r="E37" s="16" t="s">
        <v>640</v>
      </c>
      <c r="F37" s="16" t="s">
        <v>637</v>
      </c>
    </row>
    <row r="38" spans="1:6" ht="42" customHeight="1">
      <c r="A38" s="16" t="s">
        <v>323</v>
      </c>
      <c r="B38" s="16" t="s">
        <v>638</v>
      </c>
      <c r="C38" s="16" t="s">
        <v>165</v>
      </c>
      <c r="D38" s="16" t="s">
        <v>639</v>
      </c>
      <c r="E38" s="16" t="s">
        <v>640</v>
      </c>
      <c r="F38" s="16" t="s">
        <v>637</v>
      </c>
    </row>
    <row r="39" spans="1:6" ht="42" customHeight="1">
      <c r="A39" s="16" t="s">
        <v>327</v>
      </c>
      <c r="B39" s="16" t="s">
        <v>638</v>
      </c>
      <c r="C39" s="16" t="s">
        <v>166</v>
      </c>
      <c r="D39" s="16" t="s">
        <v>639</v>
      </c>
      <c r="E39" s="16" t="s">
        <v>640</v>
      </c>
      <c r="F39" s="16" t="s">
        <v>637</v>
      </c>
    </row>
    <row r="40" spans="1:6" ht="42" customHeight="1">
      <c r="A40" s="16" t="s">
        <v>331</v>
      </c>
      <c r="B40" s="16" t="s">
        <v>638</v>
      </c>
      <c r="C40" s="16" t="s">
        <v>167</v>
      </c>
      <c r="D40" s="16" t="s">
        <v>639</v>
      </c>
      <c r="E40" s="16" t="s">
        <v>640</v>
      </c>
      <c r="F40" s="16" t="s">
        <v>637</v>
      </c>
    </row>
    <row r="41" spans="1:6" ht="42" customHeight="1">
      <c r="A41" s="16" t="s">
        <v>336</v>
      </c>
      <c r="B41" s="16" t="s">
        <v>638</v>
      </c>
      <c r="C41" s="16" t="s">
        <v>168</v>
      </c>
      <c r="D41" s="16" t="s">
        <v>639</v>
      </c>
      <c r="E41" s="16" t="s">
        <v>640</v>
      </c>
      <c r="F41" s="16" t="s">
        <v>637</v>
      </c>
    </row>
    <row r="42" spans="1:6" ht="42" customHeight="1">
      <c r="A42" s="16" t="s">
        <v>340</v>
      </c>
      <c r="B42" s="16" t="s">
        <v>638</v>
      </c>
      <c r="C42" s="16" t="s">
        <v>169</v>
      </c>
      <c r="D42" s="16" t="s">
        <v>639</v>
      </c>
      <c r="E42" s="16" t="s">
        <v>640</v>
      </c>
      <c r="F42" s="16" t="s">
        <v>637</v>
      </c>
    </row>
    <row r="43" spans="1:6" ht="42" customHeight="1">
      <c r="A43" s="16" t="s">
        <v>344</v>
      </c>
      <c r="B43" s="16" t="s">
        <v>638</v>
      </c>
      <c r="C43" s="16" t="s">
        <v>170</v>
      </c>
      <c r="D43" s="16" t="s">
        <v>639</v>
      </c>
      <c r="E43" s="16" t="s">
        <v>640</v>
      </c>
      <c r="F43" s="16" t="s">
        <v>637</v>
      </c>
    </row>
    <row r="44" spans="1:6" ht="42" customHeight="1">
      <c r="A44" s="16" t="s">
        <v>349</v>
      </c>
      <c r="B44" s="16" t="s">
        <v>638</v>
      </c>
      <c r="C44" s="16" t="s">
        <v>171</v>
      </c>
      <c r="D44" s="16" t="s">
        <v>639</v>
      </c>
      <c r="E44" s="16" t="s">
        <v>640</v>
      </c>
      <c r="F44" s="16" t="s">
        <v>637</v>
      </c>
    </row>
    <row r="45" spans="1:6" ht="42" customHeight="1">
      <c r="A45" s="16" t="s">
        <v>353</v>
      </c>
      <c r="B45" s="16" t="s">
        <v>638</v>
      </c>
      <c r="C45" s="16" t="s">
        <v>172</v>
      </c>
      <c r="D45" s="16" t="s">
        <v>639</v>
      </c>
      <c r="E45" s="16" t="s">
        <v>640</v>
      </c>
      <c r="F45" s="16" t="s">
        <v>637</v>
      </c>
    </row>
    <row r="46" spans="1:6" ht="42" customHeight="1">
      <c r="A46" s="16" t="s">
        <v>357</v>
      </c>
      <c r="B46" s="16" t="s">
        <v>638</v>
      </c>
      <c r="C46" s="16" t="s">
        <v>173</v>
      </c>
      <c r="D46" s="16" t="s">
        <v>639</v>
      </c>
      <c r="E46" s="16" t="s">
        <v>640</v>
      </c>
      <c r="F46" s="16" t="s">
        <v>637</v>
      </c>
    </row>
    <row r="47" spans="1:6" ht="42" customHeight="1">
      <c r="A47" s="16" t="s">
        <v>364</v>
      </c>
      <c r="B47" s="16" t="s">
        <v>638</v>
      </c>
      <c r="C47" s="16" t="s">
        <v>174</v>
      </c>
      <c r="D47" s="16" t="s">
        <v>639</v>
      </c>
      <c r="E47" s="16" t="s">
        <v>640</v>
      </c>
      <c r="F47" s="16" t="s">
        <v>637</v>
      </c>
    </row>
    <row r="48" spans="1:6" ht="42" customHeight="1">
      <c r="A48" s="16" t="s">
        <v>369</v>
      </c>
      <c r="B48" s="16" t="s">
        <v>638</v>
      </c>
      <c r="C48" s="16" t="s">
        <v>175</v>
      </c>
      <c r="D48" s="16" t="s">
        <v>639</v>
      </c>
      <c r="E48" s="16" t="s">
        <v>640</v>
      </c>
      <c r="F48" s="16" t="s">
        <v>637</v>
      </c>
    </row>
    <row r="49" spans="1:6" ht="42" customHeight="1">
      <c r="A49" s="16" t="s">
        <v>373</v>
      </c>
      <c r="B49" s="16" t="s">
        <v>638</v>
      </c>
      <c r="C49" s="16" t="s">
        <v>176</v>
      </c>
      <c r="D49" s="16" t="s">
        <v>639</v>
      </c>
      <c r="E49" s="16" t="s">
        <v>640</v>
      </c>
      <c r="F49" s="16" t="s">
        <v>637</v>
      </c>
    </row>
    <row r="50" spans="1:6" ht="42" customHeight="1">
      <c r="A50" s="16" t="s">
        <v>379</v>
      </c>
      <c r="B50" s="16" t="s">
        <v>638</v>
      </c>
      <c r="C50" s="16" t="s">
        <v>177</v>
      </c>
      <c r="D50" s="16" t="s">
        <v>639</v>
      </c>
      <c r="E50" s="16" t="s">
        <v>640</v>
      </c>
      <c r="F50" s="16" t="s">
        <v>637</v>
      </c>
    </row>
    <row r="51" spans="1:6" ht="42" customHeight="1">
      <c r="A51" s="16" t="s">
        <v>383</v>
      </c>
      <c r="B51" s="16" t="s">
        <v>638</v>
      </c>
      <c r="C51" s="16" t="s">
        <v>178</v>
      </c>
      <c r="D51" s="16" t="s">
        <v>639</v>
      </c>
      <c r="E51" s="16" t="s">
        <v>640</v>
      </c>
      <c r="F51" s="16" t="s">
        <v>637</v>
      </c>
    </row>
    <row r="52" spans="1:6" ht="42" customHeight="1">
      <c r="A52" s="16" t="s">
        <v>387</v>
      </c>
      <c r="B52" s="16" t="s">
        <v>638</v>
      </c>
      <c r="C52" s="16" t="s">
        <v>179</v>
      </c>
      <c r="D52" s="16" t="s">
        <v>639</v>
      </c>
      <c r="E52" s="16" t="s">
        <v>640</v>
      </c>
      <c r="F52" s="16" t="s">
        <v>637</v>
      </c>
    </row>
    <row r="53" spans="1:6" ht="42" customHeight="1">
      <c r="A53" s="16" t="s">
        <v>393</v>
      </c>
      <c r="B53" s="16" t="s">
        <v>638</v>
      </c>
      <c r="C53" s="16" t="s">
        <v>180</v>
      </c>
      <c r="D53" s="16" t="s">
        <v>639</v>
      </c>
      <c r="E53" s="16" t="s">
        <v>640</v>
      </c>
      <c r="F53" s="16" t="s">
        <v>637</v>
      </c>
    </row>
    <row r="54" spans="1:6" ht="42" customHeight="1">
      <c r="A54" s="16" t="s">
        <v>397</v>
      </c>
      <c r="B54" s="16" t="s">
        <v>638</v>
      </c>
      <c r="C54" s="16" t="s">
        <v>181</v>
      </c>
      <c r="D54" s="16" t="s">
        <v>639</v>
      </c>
      <c r="E54" s="16" t="s">
        <v>640</v>
      </c>
      <c r="F54" s="16" t="s">
        <v>637</v>
      </c>
    </row>
    <row r="55" spans="1:6" ht="42" customHeight="1">
      <c r="A55" s="16" t="s">
        <v>401</v>
      </c>
      <c r="B55" s="16" t="s">
        <v>638</v>
      </c>
      <c r="C55" s="16" t="s">
        <v>182</v>
      </c>
      <c r="D55" s="16" t="s">
        <v>639</v>
      </c>
      <c r="E55" s="16" t="s">
        <v>640</v>
      </c>
      <c r="F55" s="16" t="s">
        <v>637</v>
      </c>
    </row>
    <row r="56" spans="1:6" ht="42" customHeight="1">
      <c r="A56" s="16" t="s">
        <v>560</v>
      </c>
      <c r="B56" s="16" t="s">
        <v>641</v>
      </c>
      <c r="C56" s="16" t="s">
        <v>85</v>
      </c>
      <c r="D56" s="16" t="s">
        <v>642</v>
      </c>
      <c r="E56" s="16" t="s">
        <v>643</v>
      </c>
      <c r="F56" s="16" t="s">
        <v>637</v>
      </c>
    </row>
    <row r="57" spans="1:6" ht="42" customHeight="1">
      <c r="A57" s="16" t="s">
        <v>563</v>
      </c>
      <c r="B57" s="16" t="s">
        <v>641</v>
      </c>
      <c r="C57" s="16" t="s">
        <v>86</v>
      </c>
      <c r="D57" s="16" t="s">
        <v>642</v>
      </c>
      <c r="E57" s="16" t="s">
        <v>643</v>
      </c>
      <c r="F57" s="16" t="s">
        <v>637</v>
      </c>
    </row>
    <row r="58" spans="1:6" ht="42" customHeight="1">
      <c r="A58" s="16" t="s">
        <v>576</v>
      </c>
      <c r="B58" s="16" t="s">
        <v>641</v>
      </c>
      <c r="C58" s="16" t="s">
        <v>87</v>
      </c>
      <c r="D58" s="16" t="s">
        <v>642</v>
      </c>
      <c r="E58" s="16" t="s">
        <v>643</v>
      </c>
      <c r="F58" s="16" t="s">
        <v>637</v>
      </c>
    </row>
    <row r="59" spans="1:6" ht="42" customHeight="1">
      <c r="A59" s="16" t="s">
        <v>579</v>
      </c>
      <c r="B59" s="16" t="s">
        <v>641</v>
      </c>
      <c r="C59" s="16" t="s">
        <v>88</v>
      </c>
      <c r="D59" s="16" t="s">
        <v>642</v>
      </c>
      <c r="E59" s="16" t="s">
        <v>643</v>
      </c>
      <c r="F59" s="16" t="s">
        <v>637</v>
      </c>
    </row>
    <row r="60" spans="1:6" ht="42" customHeight="1">
      <c r="A60" s="16" t="s">
        <v>591</v>
      </c>
      <c r="B60" s="16" t="s">
        <v>641</v>
      </c>
      <c r="C60" s="16" t="s">
        <v>89</v>
      </c>
      <c r="D60" s="16" t="s">
        <v>642</v>
      </c>
      <c r="E60" s="16" t="s">
        <v>643</v>
      </c>
      <c r="F60" s="16" t="s">
        <v>637</v>
      </c>
    </row>
    <row r="61" spans="1:6" ht="42" customHeight="1">
      <c r="A61" s="16" t="s">
        <v>594</v>
      </c>
      <c r="B61" s="16" t="s">
        <v>641</v>
      </c>
      <c r="C61" s="16" t="s">
        <v>90</v>
      </c>
      <c r="D61" s="16" t="s">
        <v>642</v>
      </c>
      <c r="E61" s="16" t="s">
        <v>643</v>
      </c>
      <c r="F61" s="16" t="s">
        <v>637</v>
      </c>
    </row>
    <row r="62" spans="1:6" ht="25.05" customHeight="1">
      <c r="A62" s="1"/>
      <c r="B62" s="1"/>
      <c r="C62" s="1"/>
      <c r="D62" s="1"/>
      <c r="E62" s="1"/>
      <c r="F62" s="1"/>
    </row>
    <row r="63" spans="1:6" ht="25.05" customHeight="1">
      <c r="A63" s="3" t="s">
        <v>644</v>
      </c>
      <c r="B63" s="1"/>
      <c r="C63" s="1"/>
      <c r="D63" s="1"/>
      <c r="E63" s="1"/>
      <c r="F63" s="1"/>
    </row>
    <row r="64" spans="1:6" ht="25.05" customHeight="1">
      <c r="A64" s="1"/>
      <c r="B64" s="1"/>
      <c r="C64" s="1"/>
      <c r="D64" s="1"/>
      <c r="E64" s="1"/>
      <c r="F64" s="1"/>
    </row>
    <row r="65" spans="1:6" ht="25.05" customHeight="1">
      <c r="A65" s="1"/>
      <c r="B65" s="1"/>
      <c r="C65" s="1"/>
      <c r="D65" s="1"/>
      <c r="E65" s="1"/>
      <c r="F65" s="1"/>
    </row>
  </sheetData>
  <phoneticPr fontId="8" type="noConversion"/>
  <pageMargins left="0.39370078740157477" right="0.39370078740157477" top="0.75" bottom="0.75" header="0.3" footer="0.3"/>
  <pageSetup paperSize="8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25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16" customWidth="1"/>
    <col min="2" max="2" width="24" customWidth="1"/>
    <col min="3" max="3" width="22" customWidth="1"/>
    <col min="4" max="4" width="16" customWidth="1"/>
    <col min="5" max="6" width="21" customWidth="1"/>
    <col min="7" max="7" width="66" customWidth="1"/>
    <col min="8" max="8" width="28" customWidth="1"/>
    <col min="9" max="9" width="40" customWidth="1"/>
    <col min="10" max="10" width="23" customWidth="1"/>
  </cols>
  <sheetData>
    <row r="1" spans="1:10" ht="25.0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4.049999999999997" customHeight="1">
      <c r="A2" s="2" t="s">
        <v>645</v>
      </c>
      <c r="B2" s="2"/>
      <c r="C2" s="2"/>
      <c r="D2" s="2"/>
      <c r="E2" s="2"/>
      <c r="F2" s="2"/>
      <c r="G2" s="2"/>
      <c r="H2" s="2"/>
      <c r="I2" s="2"/>
      <c r="J2" s="2"/>
    </row>
    <row r="3" spans="1:10" ht="25.05" customHeight="1">
      <c r="A3" s="3" t="s">
        <v>57</v>
      </c>
      <c r="B3" s="1"/>
      <c r="C3" s="1"/>
      <c r="D3" s="1"/>
      <c r="E3" s="1"/>
      <c r="F3" s="1"/>
      <c r="G3" s="1"/>
      <c r="H3" s="1"/>
      <c r="I3" s="1"/>
      <c r="J3" s="1"/>
    </row>
    <row r="4" spans="1:10" ht="25.0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4" customHeight="1">
      <c r="A5" s="4" t="s">
        <v>646</v>
      </c>
      <c r="B5" s="4" t="s">
        <v>647</v>
      </c>
      <c r="C5" s="4" t="s">
        <v>648</v>
      </c>
      <c r="D5" s="4" t="s">
        <v>649</v>
      </c>
      <c r="E5" s="4" t="s">
        <v>650</v>
      </c>
      <c r="F5" s="4" t="s">
        <v>651</v>
      </c>
      <c r="G5" s="4" t="s">
        <v>652</v>
      </c>
      <c r="H5" s="4" t="s">
        <v>653</v>
      </c>
      <c r="I5" s="4" t="s">
        <v>654</v>
      </c>
      <c r="J5" s="4" t="s">
        <v>655</v>
      </c>
    </row>
    <row r="6" spans="1:10" ht="65" customHeight="1">
      <c r="A6" s="16" t="s">
        <v>656</v>
      </c>
      <c r="B6" s="16" t="s">
        <v>657</v>
      </c>
      <c r="C6" s="16" t="s">
        <v>658</v>
      </c>
      <c r="D6" s="16" t="s">
        <v>659</v>
      </c>
      <c r="E6" s="16">
        <v>53</v>
      </c>
      <c r="F6" s="16">
        <v>58</v>
      </c>
      <c r="G6" s="16" t="s">
        <v>660</v>
      </c>
      <c r="H6" s="16" t="s">
        <v>661</v>
      </c>
      <c r="I6" s="8"/>
      <c r="J6" s="8"/>
    </row>
    <row r="7" spans="1:10" ht="65" customHeight="1">
      <c r="A7" s="16" t="s">
        <v>662</v>
      </c>
      <c r="B7" s="16" t="s">
        <v>663</v>
      </c>
      <c r="C7" s="16" t="s">
        <v>658</v>
      </c>
      <c r="D7" s="16" t="s">
        <v>659</v>
      </c>
      <c r="E7" s="16">
        <v>53</v>
      </c>
      <c r="F7" s="16"/>
      <c r="G7" s="16" t="s">
        <v>664</v>
      </c>
      <c r="H7" s="16" t="s">
        <v>661</v>
      </c>
      <c r="I7" s="8"/>
      <c r="J7" s="8"/>
    </row>
    <row r="8" spans="1:10" ht="65" customHeight="1">
      <c r="A8" s="16" t="s">
        <v>665</v>
      </c>
      <c r="B8" s="16" t="s">
        <v>666</v>
      </c>
      <c r="C8" s="16" t="s">
        <v>27</v>
      </c>
      <c r="D8" s="16" t="s">
        <v>667</v>
      </c>
      <c r="E8" s="16" t="s">
        <v>149</v>
      </c>
      <c r="F8" s="16" t="s">
        <v>150</v>
      </c>
      <c r="G8" s="16" t="s">
        <v>668</v>
      </c>
      <c r="H8" s="16" t="s">
        <v>669</v>
      </c>
      <c r="I8" s="8"/>
      <c r="J8" s="8"/>
    </row>
    <row r="9" spans="1:10" ht="65" customHeight="1">
      <c r="A9" s="16" t="s">
        <v>670</v>
      </c>
      <c r="B9" s="16" t="s">
        <v>671</v>
      </c>
      <c r="C9" s="16" t="s">
        <v>658</v>
      </c>
      <c r="D9" s="16" t="s">
        <v>672</v>
      </c>
      <c r="E9" s="16" t="s">
        <v>275</v>
      </c>
      <c r="F9" s="16" t="s">
        <v>266</v>
      </c>
      <c r="G9" s="16" t="s">
        <v>673</v>
      </c>
      <c r="H9" s="16" t="s">
        <v>674</v>
      </c>
      <c r="I9" s="8"/>
      <c r="J9" s="8"/>
    </row>
    <row r="10" spans="1:10" ht="65" customHeight="1">
      <c r="A10" s="16" t="s">
        <v>675</v>
      </c>
      <c r="B10" s="16" t="s">
        <v>676</v>
      </c>
      <c r="C10" s="16" t="s">
        <v>658</v>
      </c>
      <c r="D10" s="16" t="s">
        <v>677</v>
      </c>
      <c r="E10" s="16" t="s">
        <v>268</v>
      </c>
      <c r="F10" s="16" t="s">
        <v>361</v>
      </c>
      <c r="G10" s="16" t="s">
        <v>678</v>
      </c>
      <c r="H10" s="16" t="s">
        <v>679</v>
      </c>
      <c r="I10" s="8"/>
      <c r="J10" s="8"/>
    </row>
    <row r="11" spans="1:10" ht="65" customHeight="1">
      <c r="A11" s="16" t="s">
        <v>680</v>
      </c>
      <c r="B11" s="16" t="s">
        <v>681</v>
      </c>
      <c r="C11" s="16" t="s">
        <v>658</v>
      </c>
      <c r="D11" s="16" t="s">
        <v>682</v>
      </c>
      <c r="E11" s="16">
        <v>102</v>
      </c>
      <c r="F11" s="16">
        <v>150</v>
      </c>
      <c r="G11" s="16" t="s">
        <v>683</v>
      </c>
      <c r="H11" s="16" t="s">
        <v>684</v>
      </c>
      <c r="I11" s="8"/>
      <c r="J11" s="8"/>
    </row>
    <row r="12" spans="1:10" ht="65" customHeight="1">
      <c r="A12" s="16" t="s">
        <v>685</v>
      </c>
      <c r="B12" s="16" t="s">
        <v>686</v>
      </c>
      <c r="C12" s="16" t="s">
        <v>658</v>
      </c>
      <c r="D12" s="16" t="s">
        <v>659</v>
      </c>
      <c r="E12" s="16">
        <v>53</v>
      </c>
      <c r="F12" s="16">
        <v>90</v>
      </c>
      <c r="G12" s="16" t="s">
        <v>687</v>
      </c>
      <c r="H12" s="16" t="s">
        <v>661</v>
      </c>
      <c r="I12" s="8"/>
      <c r="J12" s="8"/>
    </row>
    <row r="13" spans="1:10" ht="65" customHeight="1">
      <c r="A13" s="16" t="s">
        <v>688</v>
      </c>
      <c r="B13" s="16" t="s">
        <v>689</v>
      </c>
      <c r="C13" s="16" t="s">
        <v>690</v>
      </c>
      <c r="D13" s="16" t="s">
        <v>691</v>
      </c>
      <c r="E13" s="16">
        <v>36</v>
      </c>
      <c r="F13" s="16"/>
      <c r="G13" s="16" t="s">
        <v>692</v>
      </c>
      <c r="H13" s="16" t="s">
        <v>693</v>
      </c>
      <c r="I13" s="8"/>
      <c r="J13" s="8"/>
    </row>
    <row r="14" spans="1:10" ht="65" customHeight="1">
      <c r="A14" s="16" t="s">
        <v>694</v>
      </c>
      <c r="B14" s="16" t="s">
        <v>695</v>
      </c>
      <c r="C14" s="16" t="s">
        <v>690</v>
      </c>
      <c r="D14" s="16" t="s">
        <v>677</v>
      </c>
      <c r="E14" s="16">
        <v>1</v>
      </c>
      <c r="F14" s="16">
        <v>2</v>
      </c>
      <c r="G14" s="16" t="s">
        <v>696</v>
      </c>
      <c r="H14" s="16" t="s">
        <v>697</v>
      </c>
      <c r="I14" s="8"/>
      <c r="J14" s="8"/>
    </row>
    <row r="15" spans="1:10" ht="65" customHeight="1">
      <c r="A15" s="16" t="s">
        <v>698</v>
      </c>
      <c r="B15" s="16" t="s">
        <v>699</v>
      </c>
      <c r="C15" s="16" t="s">
        <v>488</v>
      </c>
      <c r="D15" s="16" t="s">
        <v>700</v>
      </c>
      <c r="E15" s="16" t="s">
        <v>561</v>
      </c>
      <c r="F15" s="16" t="s">
        <v>701</v>
      </c>
      <c r="G15" s="16" t="s">
        <v>702</v>
      </c>
      <c r="H15" s="16" t="s">
        <v>703</v>
      </c>
      <c r="I15" s="8"/>
      <c r="J15" s="8"/>
    </row>
    <row r="16" spans="1:10" ht="65" customHeight="1">
      <c r="A16" s="16" t="s">
        <v>704</v>
      </c>
      <c r="B16" s="16" t="s">
        <v>705</v>
      </c>
      <c r="C16" s="16" t="s">
        <v>488</v>
      </c>
      <c r="D16" s="16" t="s">
        <v>706</v>
      </c>
      <c r="E16" s="16">
        <v>4.8</v>
      </c>
      <c r="F16" s="16">
        <v>600</v>
      </c>
      <c r="G16" s="16" t="s">
        <v>707</v>
      </c>
      <c r="H16" s="16" t="s">
        <v>708</v>
      </c>
      <c r="I16" s="8"/>
      <c r="J16" s="8"/>
    </row>
    <row r="17" spans="1:10" ht="65" customHeight="1">
      <c r="A17" s="16" t="s">
        <v>709</v>
      </c>
      <c r="B17" s="16" t="s">
        <v>710</v>
      </c>
      <c r="C17" s="16" t="s">
        <v>27</v>
      </c>
      <c r="D17" s="16" t="s">
        <v>667</v>
      </c>
      <c r="E17" s="16" t="s">
        <v>149</v>
      </c>
      <c r="F17" s="16" t="s">
        <v>154</v>
      </c>
      <c r="G17" s="16" t="s">
        <v>711</v>
      </c>
      <c r="H17" s="16" t="s">
        <v>669</v>
      </c>
      <c r="I17" s="8"/>
      <c r="J17" s="8"/>
    </row>
    <row r="18" spans="1:10" ht="65" customHeight="1">
      <c r="A18" s="16" t="s">
        <v>712</v>
      </c>
      <c r="B18" s="16" t="s">
        <v>713</v>
      </c>
      <c r="C18" s="16" t="s">
        <v>714</v>
      </c>
      <c r="D18" s="16" t="s">
        <v>715</v>
      </c>
      <c r="E18" s="16">
        <v>60</v>
      </c>
      <c r="F18" s="16"/>
      <c r="G18" s="16" t="s">
        <v>716</v>
      </c>
      <c r="H18" s="16" t="s">
        <v>717</v>
      </c>
      <c r="I18" s="8"/>
      <c r="J18" s="8"/>
    </row>
    <row r="19" spans="1:10" ht="65" customHeight="1">
      <c r="A19" s="16" t="s">
        <v>718</v>
      </c>
      <c r="B19" s="16" t="s">
        <v>719</v>
      </c>
      <c r="C19" s="16" t="s">
        <v>658</v>
      </c>
      <c r="D19" s="16" t="s">
        <v>720</v>
      </c>
      <c r="E19" s="16">
        <v>44</v>
      </c>
      <c r="F19" s="16">
        <v>30</v>
      </c>
      <c r="G19" s="16" t="s">
        <v>721</v>
      </c>
      <c r="H19" s="16" t="s">
        <v>722</v>
      </c>
      <c r="I19" s="8"/>
      <c r="J19" s="8"/>
    </row>
    <row r="20" spans="1:10" ht="65" customHeight="1">
      <c r="A20" s="16" t="s">
        <v>723</v>
      </c>
      <c r="B20" s="16" t="s">
        <v>724</v>
      </c>
      <c r="C20" s="16" t="s">
        <v>658</v>
      </c>
      <c r="D20" s="16" t="s">
        <v>659</v>
      </c>
      <c r="E20" s="16">
        <v>53</v>
      </c>
      <c r="F20" s="16">
        <v>0</v>
      </c>
      <c r="G20" s="16" t="s">
        <v>725</v>
      </c>
      <c r="H20" s="16" t="s">
        <v>661</v>
      </c>
      <c r="I20" s="8"/>
      <c r="J20" s="8"/>
    </row>
    <row r="21" spans="1:10" ht="65" customHeight="1">
      <c r="A21" s="16" t="s">
        <v>726</v>
      </c>
      <c r="B21" s="16" t="s">
        <v>727</v>
      </c>
      <c r="C21" s="16" t="s">
        <v>488</v>
      </c>
      <c r="D21" s="16" t="s">
        <v>728</v>
      </c>
      <c r="E21" s="16" t="s">
        <v>86</v>
      </c>
      <c r="F21" s="16" t="s">
        <v>85</v>
      </c>
      <c r="G21" s="16" t="s">
        <v>729</v>
      </c>
      <c r="H21" s="16" t="s">
        <v>730</v>
      </c>
      <c r="I21" s="8"/>
      <c r="J21" s="8"/>
    </row>
    <row r="22" spans="1:10" ht="25.05" customHeight="1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ht="25.05" customHeight="1">
      <c r="A23" s="3" t="s">
        <v>731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ht="25.05" customHeight="1">
      <c r="A24" s="3" t="s">
        <v>732</v>
      </c>
      <c r="B24" s="1"/>
      <c r="C24" s="1"/>
      <c r="D24" s="1"/>
      <c r="E24" s="1"/>
      <c r="F24" s="1"/>
      <c r="G24" s="1"/>
      <c r="H24" s="1"/>
      <c r="I24" s="1"/>
      <c r="J24" s="1"/>
    </row>
    <row r="25" spans="1:10" ht="25.05" customHeight="1">
      <c r="A25" s="1"/>
      <c r="B25" s="1"/>
      <c r="C25" s="1"/>
      <c r="D25" s="1"/>
      <c r="E25" s="1"/>
      <c r="F25" s="1"/>
      <c r="G25" s="1"/>
      <c r="H25" s="1"/>
      <c r="I25" s="1"/>
      <c r="J25" s="1"/>
    </row>
  </sheetData>
  <phoneticPr fontId="8" type="noConversion"/>
  <pageMargins left="0.39370078740157477" right="0.39370078740157477" top="0.75" bottom="0.75" header="0.3" footer="0.3"/>
  <pageSetup paperSize="8" scale="66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5"/>
  <sheetViews>
    <sheetView showGridLines="0" workbookViewId="0"/>
  </sheetViews>
  <sheetFormatPr defaultRowHeight="13.5"/>
  <cols>
    <col min="1" max="1" width="28" customWidth="1"/>
    <col min="2" max="3" width="22" customWidth="1"/>
    <col min="4" max="4" width="20" customWidth="1"/>
    <col min="5" max="5" width="24" customWidth="1"/>
    <col min="6" max="6" width="48" customWidth="1"/>
  </cols>
  <sheetData>
    <row r="1" spans="1:6" ht="25.05" customHeight="1">
      <c r="A1" s="1"/>
      <c r="B1" s="1"/>
      <c r="C1" s="1"/>
      <c r="D1" s="1"/>
      <c r="E1" s="1"/>
      <c r="F1" s="1"/>
    </row>
    <row r="2" spans="1:6" ht="34.049999999999997" customHeight="1">
      <c r="A2" s="2" t="s">
        <v>733</v>
      </c>
      <c r="B2" s="2"/>
      <c r="C2" s="2"/>
      <c r="D2" s="2"/>
      <c r="E2" s="2"/>
      <c r="F2" s="2"/>
    </row>
    <row r="3" spans="1:6" ht="25.05" customHeight="1">
      <c r="A3" s="3" t="s">
        <v>57</v>
      </c>
      <c r="B3" s="1"/>
      <c r="C3" s="1"/>
      <c r="D3" s="1"/>
      <c r="E3" s="1"/>
      <c r="F3" s="1"/>
    </row>
    <row r="4" spans="1:6" ht="25.05" customHeight="1">
      <c r="A4" s="1"/>
      <c r="B4" s="1"/>
      <c r="C4" s="1"/>
      <c r="D4" s="1"/>
      <c r="E4" s="1"/>
      <c r="F4" s="1"/>
    </row>
    <row r="5" spans="1:6" ht="25.05" customHeight="1">
      <c r="A5" s="1" t="s">
        <v>734</v>
      </c>
      <c r="B5" s="5"/>
      <c r="C5" s="1"/>
      <c r="D5" s="1" t="s">
        <v>735</v>
      </c>
      <c r="E5" s="5"/>
      <c r="F5" s="1"/>
    </row>
    <row r="6" spans="1:6" ht="25.05" customHeight="1">
      <c r="A6" s="1"/>
      <c r="B6" s="1"/>
      <c r="C6" s="1"/>
      <c r="D6" s="1"/>
      <c r="E6" s="1"/>
      <c r="F6" s="1"/>
    </row>
    <row r="7" spans="1:6" ht="44" customHeight="1">
      <c r="A7" s="4" t="s">
        <v>736</v>
      </c>
      <c r="B7" s="4" t="s">
        <v>737</v>
      </c>
      <c r="C7" s="4" t="s">
        <v>738</v>
      </c>
      <c r="D7" s="4" t="s">
        <v>739</v>
      </c>
      <c r="E7" s="4" t="s">
        <v>740</v>
      </c>
      <c r="F7" s="4" t="s">
        <v>741</v>
      </c>
    </row>
    <row r="8" spans="1:6" ht="25.05" customHeight="1">
      <c r="A8" s="1" t="s">
        <v>742</v>
      </c>
      <c r="B8" s="34"/>
      <c r="C8" s="34"/>
      <c r="D8" s="35" t="str">
        <f t="shared" ref="D8:D13" si="0">IF(COUNT(B8:C8)&lt;&gt;2,"",B8-C8)</f>
        <v/>
      </c>
      <c r="E8" s="1" t="str">
        <f t="shared" ref="E8:E13" si="1">IF(COUNT(B8:C8)&lt;&gt;2,"待记录",IF(MIN(B8:C8)&lt;0,"待纠正负数","已记录"))</f>
        <v>待记录</v>
      </c>
      <c r="F8" s="5"/>
    </row>
    <row r="9" spans="1:6" ht="25.05" customHeight="1">
      <c r="A9" s="1" t="s">
        <v>743</v>
      </c>
      <c r="B9" s="34"/>
      <c r="C9" s="34"/>
      <c r="D9" s="35" t="str">
        <f t="shared" si="0"/>
        <v/>
      </c>
      <c r="E9" s="1" t="str">
        <f t="shared" si="1"/>
        <v>待记录</v>
      </c>
      <c r="F9" s="5"/>
    </row>
    <row r="10" spans="1:6" ht="25.05" customHeight="1">
      <c r="A10" s="1" t="s">
        <v>744</v>
      </c>
      <c r="B10" s="34"/>
      <c r="C10" s="34"/>
      <c r="D10" s="35" t="str">
        <f t="shared" si="0"/>
        <v/>
      </c>
      <c r="E10" s="1" t="str">
        <f t="shared" si="1"/>
        <v>待记录</v>
      </c>
      <c r="F10" s="5"/>
    </row>
    <row r="11" spans="1:6" ht="25.05" customHeight="1">
      <c r="A11" s="1" t="s">
        <v>745</v>
      </c>
      <c r="B11" s="34"/>
      <c r="C11" s="34"/>
      <c r="D11" s="35" t="str">
        <f t="shared" si="0"/>
        <v/>
      </c>
      <c r="E11" s="1" t="str">
        <f t="shared" si="1"/>
        <v>待记录</v>
      </c>
      <c r="F11" s="5"/>
    </row>
    <row r="12" spans="1:6" ht="25.05" customHeight="1">
      <c r="A12" s="1" t="s">
        <v>746</v>
      </c>
      <c r="B12" s="34"/>
      <c r="C12" s="34"/>
      <c r="D12" s="35" t="str">
        <f t="shared" si="0"/>
        <v/>
      </c>
      <c r="E12" s="1" t="str">
        <f t="shared" si="1"/>
        <v>待记录</v>
      </c>
      <c r="F12" s="5"/>
    </row>
    <row r="13" spans="1:6" ht="25.05" customHeight="1">
      <c r="A13" s="1" t="s">
        <v>747</v>
      </c>
      <c r="B13" s="34"/>
      <c r="C13" s="34"/>
      <c r="D13" s="35" t="str">
        <f t="shared" si="0"/>
        <v/>
      </c>
      <c r="E13" s="1" t="str">
        <f t="shared" si="1"/>
        <v>待记录</v>
      </c>
      <c r="F13" s="5"/>
    </row>
    <row r="14" spans="1:6" ht="25.05" customHeight="1">
      <c r="A14" s="1"/>
      <c r="B14" s="35"/>
      <c r="C14" s="35"/>
      <c r="D14" s="35"/>
      <c r="E14" s="1"/>
      <c r="F14" s="1"/>
    </row>
    <row r="15" spans="1:6" ht="25.05" customHeight="1">
      <c r="A15" s="1" t="s">
        <v>748</v>
      </c>
      <c r="B15" s="35" t="str">
        <f>IF(COUNT(B8:B13)&lt;&gt;6,"",SUM(B8:B13))</f>
        <v/>
      </c>
      <c r="C15" s="35" t="str">
        <f>IF(COUNT(C8:C13)&lt;&gt;6,"",SUM(C8:C13))</f>
        <v/>
      </c>
      <c r="D15" s="35" t="str">
        <f>IF(OR(COUNT(B5,E5)&lt;&gt;2,B5&lt;=0,E5&lt;=0,B5&lt;&gt;E5,COUNT(B8:C13)&lt;&gt;12,MIN(B8:C13)&lt;0),"",B15-C15)</f>
        <v/>
      </c>
      <c r="E15" s="1"/>
      <c r="F15" s="1"/>
    </row>
    <row r="16" spans="1:6" ht="25.05" customHeight="1">
      <c r="A16" s="1"/>
      <c r="B16" s="1"/>
      <c r="C16" s="1"/>
      <c r="D16" s="1"/>
      <c r="E16" s="1"/>
      <c r="F16" s="1"/>
    </row>
    <row r="17" spans="1:6" ht="25.05" customHeight="1">
      <c r="A17" s="1" t="s">
        <v>749</v>
      </c>
      <c r="B17" s="23" t="str">
        <f>IF(OR(COUNT(D15)&lt;&gt;1,B15&lt;=0),"",D15/B15)</f>
        <v/>
      </c>
      <c r="C17" s="1"/>
      <c r="D17" s="1"/>
      <c r="E17" s="1"/>
      <c r="F17" s="1"/>
    </row>
    <row r="18" spans="1:6" ht="25.05" customHeight="1">
      <c r="A18" s="1"/>
      <c r="B18" s="1"/>
      <c r="C18" s="1"/>
      <c r="D18" s="1"/>
      <c r="E18" s="1"/>
      <c r="F18" s="1"/>
    </row>
    <row r="19" spans="1:6" ht="25.05" customHeight="1">
      <c r="A19" s="3" t="s">
        <v>750</v>
      </c>
      <c r="B19" s="1"/>
      <c r="C19" s="1"/>
      <c r="D19" s="1"/>
      <c r="E19" s="1"/>
      <c r="F19" s="1"/>
    </row>
    <row r="20" spans="1:6" ht="25.05" customHeight="1">
      <c r="A20" s="1"/>
      <c r="B20" s="1"/>
      <c r="C20" s="1"/>
      <c r="D20" s="1"/>
      <c r="E20" s="1"/>
      <c r="F20" s="1"/>
    </row>
    <row r="21" spans="1:6" ht="25.05" customHeight="1">
      <c r="A21" s="1"/>
      <c r="B21" s="1"/>
      <c r="C21" s="1"/>
      <c r="D21" s="1"/>
      <c r="E21" s="1"/>
      <c r="F21" s="1"/>
    </row>
    <row r="22" spans="1:6" ht="44" customHeight="1">
      <c r="A22" s="4" t="s">
        <v>751</v>
      </c>
      <c r="B22" s="4" t="s">
        <v>752</v>
      </c>
      <c r="C22" s="4" t="s">
        <v>753</v>
      </c>
      <c r="D22" s="4" t="s">
        <v>754</v>
      </c>
      <c r="E22" s="4" t="s">
        <v>755</v>
      </c>
      <c r="F22" s="4" t="s">
        <v>756</v>
      </c>
    </row>
    <row r="23" spans="1:6" ht="52.05" customHeight="1">
      <c r="A23" s="11"/>
      <c r="B23" s="5"/>
      <c r="C23" s="5"/>
      <c r="D23" s="5"/>
      <c r="E23" s="5"/>
      <c r="F23" s="5"/>
    </row>
    <row r="24" spans="1:6" ht="52.05" customHeight="1">
      <c r="A24" s="11"/>
      <c r="B24" s="5"/>
      <c r="C24" s="5"/>
      <c r="D24" s="5"/>
      <c r="E24" s="5"/>
      <c r="F24" s="5"/>
    </row>
    <row r="25" spans="1:6" ht="52.05" customHeight="1">
      <c r="A25" s="11"/>
      <c r="B25" s="5"/>
      <c r="C25" s="5"/>
      <c r="D25" s="5"/>
      <c r="E25" s="5"/>
      <c r="F25" s="5"/>
    </row>
    <row r="26" spans="1:6" ht="52.05" customHeight="1">
      <c r="A26" s="11"/>
      <c r="B26" s="5"/>
      <c r="C26" s="5"/>
      <c r="D26" s="5"/>
      <c r="E26" s="5"/>
      <c r="F26" s="5"/>
    </row>
    <row r="27" spans="1:6" ht="25.05" customHeight="1">
      <c r="A27" s="1"/>
      <c r="B27" s="1"/>
      <c r="C27" s="1"/>
      <c r="D27" s="1"/>
      <c r="E27" s="1"/>
      <c r="F27" s="1"/>
    </row>
    <row r="28" spans="1:6" ht="25.05" customHeight="1">
      <c r="A28" s="3" t="s">
        <v>757</v>
      </c>
      <c r="B28" s="1"/>
      <c r="C28" s="1"/>
      <c r="D28" s="1"/>
      <c r="E28" s="1"/>
      <c r="F28" s="1"/>
    </row>
    <row r="29" spans="1:6" ht="25.05" customHeight="1">
      <c r="A29" s="1"/>
      <c r="B29" s="1"/>
      <c r="C29" s="1"/>
      <c r="D29" s="1"/>
      <c r="E29" s="1"/>
      <c r="F29" s="1"/>
    </row>
    <row r="30" spans="1:6" ht="25.05" customHeight="1">
      <c r="A30" s="1"/>
      <c r="B30" s="1"/>
      <c r="C30" s="1"/>
      <c r="D30" s="1"/>
      <c r="E30" s="1"/>
      <c r="F30" s="1"/>
    </row>
    <row r="31" spans="1:6" ht="25.05" customHeight="1">
      <c r="A31" s="1"/>
      <c r="B31" s="1"/>
      <c r="C31" s="1"/>
      <c r="D31" s="1"/>
      <c r="E31" s="1"/>
      <c r="F31" s="1"/>
    </row>
    <row r="32" spans="1:6" ht="25.05" customHeight="1">
      <c r="A32" s="1"/>
      <c r="B32" s="1"/>
      <c r="C32" s="1"/>
      <c r="D32" s="1"/>
      <c r="E32" s="1"/>
      <c r="F32" s="1"/>
    </row>
    <row r="33" spans="1:6" ht="25.05" customHeight="1">
      <c r="A33" s="1"/>
      <c r="B33" s="1"/>
      <c r="C33" s="1"/>
      <c r="D33" s="1"/>
      <c r="E33" s="1"/>
      <c r="F33" s="1"/>
    </row>
    <row r="34" spans="1:6" ht="25.05" customHeight="1">
      <c r="A34" s="1"/>
      <c r="B34" s="1"/>
      <c r="C34" s="1"/>
      <c r="D34" s="1"/>
      <c r="E34" s="1"/>
      <c r="F34" s="1"/>
    </row>
    <row r="35" spans="1:6" ht="25.05" customHeight="1">
      <c r="A35" s="1"/>
      <c r="B35" s="1"/>
      <c r="C35" s="1"/>
      <c r="D35" s="1"/>
      <c r="E35" s="1"/>
      <c r="F35" s="1"/>
    </row>
  </sheetData>
  <phoneticPr fontId="8" type="noConversion"/>
  <dataValidations count="1">
    <dataValidation type="list" sqref="E23:E26" xr:uid="{00000000-0002-0000-1400-000000000000}">
      <formula1>"愿意,暂不愿意,需更多信息"</formula1>
    </dataValidation>
  </dataValidations>
  <pageMargins left="0.39370078740157477" right="0.3937007874015747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命名范围</vt:lpstr>
      </vt:variant>
      <vt:variant>
        <vt:i4>21</vt:i4>
      </vt:variant>
    </vt:vector>
  </HeadingPairs>
  <TitlesOfParts>
    <vt:vector size="42" baseType="lpstr">
      <vt:lpstr>专业总览</vt:lpstr>
      <vt:lpstr>测算结果</vt:lpstr>
      <vt:lpstr>资产分类汇总</vt:lpstr>
      <vt:lpstr>两年金额对比</vt:lpstr>
      <vt:lpstr>识别与分组</vt:lpstr>
      <vt:lpstr>三案例选用</vt:lpstr>
      <vt:lpstr>三案例测算</vt:lpstr>
      <vt:lpstr>修正明细</vt:lpstr>
      <vt:lpstr>市场案例库</vt:lpstr>
      <vt:lpstr>资产清单</vt:lpstr>
      <vt:lpstr>计租与历史</vt:lpstr>
      <vt:lpstr>测算参数</vt:lpstr>
      <vt:lpstr>租赁资料核定</vt:lpstr>
      <vt:lpstr>特殊计租</vt:lpstr>
      <vt:lpstr>设备附表</vt:lpstr>
      <vt:lpstr>历史离散复核</vt:lpstr>
      <vt:lpstr>大幅变动复核</vt:lpstr>
      <vt:lpstr>内部复核参数</vt:lpstr>
      <vt:lpstr>资料索引</vt:lpstr>
      <vt:lpstr>异常练习</vt:lpstr>
      <vt:lpstr>工时与反馈</vt:lpstr>
      <vt:lpstr>测算参数!Print_Area</vt:lpstr>
      <vt:lpstr>测算结果!Print_Area</vt:lpstr>
      <vt:lpstr>大幅变动复核!Print_Area</vt:lpstr>
      <vt:lpstr>工时与反馈!Print_Area</vt:lpstr>
      <vt:lpstr>计租与历史!Print_Area</vt:lpstr>
      <vt:lpstr>历史离散复核!Print_Area</vt:lpstr>
      <vt:lpstr>两年金额对比!Print_Area</vt:lpstr>
      <vt:lpstr>内部复核参数!Print_Area</vt:lpstr>
      <vt:lpstr>三案例测算!Print_Area</vt:lpstr>
      <vt:lpstr>三案例选用!Print_Area</vt:lpstr>
      <vt:lpstr>设备附表!Print_Area</vt:lpstr>
      <vt:lpstr>识别与分组!Print_Area</vt:lpstr>
      <vt:lpstr>市场案例库!Print_Area</vt:lpstr>
      <vt:lpstr>特殊计租!Print_Area</vt:lpstr>
      <vt:lpstr>修正明细!Print_Area</vt:lpstr>
      <vt:lpstr>异常练习!Print_Area</vt:lpstr>
      <vt:lpstr>专业总览!Print_Area</vt:lpstr>
      <vt:lpstr>资产分类汇总!Print_Area</vt:lpstr>
      <vt:lpstr>资产清单!Print_Area</vt:lpstr>
      <vt:lpstr>资料索引!Print_Area</vt:lpstr>
      <vt:lpstr>租赁资料核定!Print_Area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2026-10-09T06:00:29Z</dcterms:modified>
</cp:coreProperties>
</file>